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nart\Documents\MEA\"/>
    </mc:Choice>
  </mc:AlternateContent>
  <bookViews>
    <workbookView xWindow="0" yWindow="0" windowWidth="28800" windowHeight="12435" activeTab="7"/>
  </bookViews>
  <sheets>
    <sheet name="baseline" sheetId="1" r:id="rId1"/>
    <sheet name="exposure" sheetId="2" r:id="rId2"/>
    <sheet name="Control" sheetId="5" r:id="rId3"/>
    <sheet name="0.01" sheetId="6" r:id="rId4"/>
    <sheet name="0.1" sheetId="7" r:id="rId5"/>
    <sheet name="1" sheetId="8" r:id="rId6"/>
    <sheet name="10" sheetId="9" r:id="rId7"/>
    <sheet name="100" sheetId="10" r:id="rId8"/>
    <sheet name="Summery" sheetId="3" r:id="rId9"/>
    <sheet name="Parms" sheetId="4" r:id="rId10"/>
  </sheets>
  <definedNames>
    <definedName name="RelMean">Control!$Z$5:$Z$47</definedName>
    <definedName name="solvent">Control!$A$1</definedName>
    <definedName name="VERSION">Parms!$G$1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5" i="10" l="1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Z5" i="10"/>
  <c r="AA5" i="10"/>
  <c r="AB5" i="10"/>
  <c r="AC5" i="10"/>
  <c r="AD5" i="10"/>
  <c r="AE5" i="10"/>
  <c r="AF5" i="10"/>
  <c r="AG5" i="10"/>
  <c r="Z6" i="10"/>
  <c r="AA6" i="10"/>
  <c r="AB6" i="10"/>
  <c r="AC6" i="10"/>
  <c r="AD6" i="10"/>
  <c r="AE6" i="10"/>
  <c r="AF6" i="10"/>
  <c r="AG6" i="10"/>
  <c r="Z7" i="10"/>
  <c r="AA7" i="10"/>
  <c r="AB7" i="10"/>
  <c r="AC7" i="10"/>
  <c r="AD7" i="10"/>
  <c r="AE7" i="10"/>
  <c r="AF7" i="10"/>
  <c r="AG7" i="10"/>
  <c r="Z8" i="10"/>
  <c r="AA8" i="10"/>
  <c r="AB8" i="10"/>
  <c r="AC8" i="10"/>
  <c r="AD8" i="10"/>
  <c r="AE8" i="10"/>
  <c r="AF8" i="10"/>
  <c r="AG8" i="10"/>
  <c r="Z9" i="10"/>
  <c r="AA9" i="10"/>
  <c r="AB9" i="10"/>
  <c r="AC9" i="10"/>
  <c r="AD9" i="10"/>
  <c r="AE9" i="10"/>
  <c r="AF9" i="10"/>
  <c r="AG9" i="10"/>
  <c r="Z10" i="10"/>
  <c r="AA10" i="10"/>
  <c r="AB10" i="10"/>
  <c r="AC10" i="10"/>
  <c r="AD10" i="10"/>
  <c r="AE10" i="10"/>
  <c r="AF10" i="10"/>
  <c r="AG10" i="10"/>
  <c r="Z11" i="10"/>
  <c r="AA11" i="10"/>
  <c r="AB11" i="10"/>
  <c r="AC11" i="10"/>
  <c r="AD11" i="10"/>
  <c r="AE11" i="10"/>
  <c r="AF11" i="10"/>
  <c r="AG11" i="10"/>
  <c r="Z12" i="10"/>
  <c r="AA12" i="10"/>
  <c r="AB12" i="10"/>
  <c r="AC12" i="10"/>
  <c r="AD12" i="10"/>
  <c r="AE12" i="10"/>
  <c r="AF12" i="10"/>
  <c r="AG12" i="10"/>
  <c r="Z13" i="10"/>
  <c r="AA13" i="10"/>
  <c r="AB13" i="10"/>
  <c r="AC13" i="10"/>
  <c r="AD13" i="10"/>
  <c r="AE13" i="10"/>
  <c r="AF13" i="10"/>
  <c r="AG13" i="10"/>
  <c r="Z14" i="10"/>
  <c r="AA14" i="10"/>
  <c r="AB14" i="10"/>
  <c r="AC14" i="10"/>
  <c r="AD14" i="10"/>
  <c r="AE14" i="10"/>
  <c r="AF14" i="10"/>
  <c r="AG14" i="10"/>
  <c r="Z15" i="10"/>
  <c r="AA15" i="10"/>
  <c r="AB15" i="10"/>
  <c r="AC15" i="10"/>
  <c r="AD15" i="10"/>
  <c r="AE15" i="10"/>
  <c r="AF15" i="10"/>
  <c r="AG15" i="10"/>
  <c r="Z16" i="10"/>
  <c r="AA16" i="10"/>
  <c r="AB16" i="10"/>
  <c r="AC16" i="10"/>
  <c r="AD16" i="10"/>
  <c r="AE16" i="10"/>
  <c r="AF16" i="10"/>
  <c r="AG16" i="10"/>
  <c r="Z17" i="10"/>
  <c r="AA17" i="10"/>
  <c r="AB17" i="10"/>
  <c r="AC17" i="10"/>
  <c r="AD17" i="10"/>
  <c r="AE17" i="10"/>
  <c r="AF17" i="10"/>
  <c r="AG17" i="10"/>
  <c r="Z18" i="10"/>
  <c r="AA18" i="10"/>
  <c r="AB18" i="10"/>
  <c r="AC18" i="10"/>
  <c r="AD18" i="10"/>
  <c r="AE18" i="10"/>
  <c r="AF18" i="10"/>
  <c r="AG18" i="10"/>
  <c r="Z19" i="10"/>
  <c r="AA19" i="10"/>
  <c r="AB19" i="10"/>
  <c r="AC19" i="10"/>
  <c r="AD19" i="10"/>
  <c r="AE19" i="10"/>
  <c r="AF19" i="10"/>
  <c r="AG19" i="10"/>
  <c r="Z20" i="10"/>
  <c r="AA20" i="10"/>
  <c r="AB20" i="10"/>
  <c r="AC20" i="10"/>
  <c r="AD20" i="10"/>
  <c r="AE20" i="10"/>
  <c r="AF20" i="10"/>
  <c r="AG20" i="10"/>
  <c r="Z21" i="10"/>
  <c r="AA21" i="10"/>
  <c r="AB21" i="10"/>
  <c r="AC21" i="10"/>
  <c r="AD21" i="10"/>
  <c r="AE21" i="10"/>
  <c r="AF21" i="10"/>
  <c r="AG21" i="10"/>
  <c r="Z22" i="10"/>
  <c r="AA22" i="10"/>
  <c r="AB22" i="10"/>
  <c r="AC22" i="10"/>
  <c r="AD22" i="10"/>
  <c r="AE22" i="10"/>
  <c r="AF22" i="10"/>
  <c r="AG22" i="10"/>
  <c r="Z23" i="10"/>
  <c r="AA23" i="10"/>
  <c r="AB23" i="10"/>
  <c r="AC23" i="10"/>
  <c r="AD23" i="10"/>
  <c r="AE23" i="10"/>
  <c r="AF23" i="10"/>
  <c r="AG23" i="10"/>
  <c r="Z24" i="10"/>
  <c r="AA24" i="10"/>
  <c r="AB24" i="10"/>
  <c r="AC24" i="10"/>
  <c r="AD24" i="10"/>
  <c r="AE24" i="10"/>
  <c r="AF24" i="10"/>
  <c r="AG24" i="10"/>
  <c r="Z25" i="10"/>
  <c r="AA25" i="10"/>
  <c r="AB25" i="10"/>
  <c r="AC25" i="10"/>
  <c r="AD25" i="10"/>
  <c r="AE25" i="10"/>
  <c r="AF25" i="10"/>
  <c r="AG25" i="10"/>
  <c r="Z26" i="10"/>
  <c r="AA26" i="10"/>
  <c r="AB26" i="10"/>
  <c r="AC26" i="10"/>
  <c r="AD26" i="10"/>
  <c r="AE26" i="10"/>
  <c r="AF26" i="10"/>
  <c r="AG26" i="10"/>
  <c r="Z27" i="10"/>
  <c r="AA27" i="10"/>
  <c r="AB27" i="10"/>
  <c r="AC27" i="10"/>
  <c r="AD27" i="10"/>
  <c r="AE27" i="10"/>
  <c r="AF27" i="10"/>
  <c r="AG27" i="10"/>
  <c r="Z28" i="10"/>
  <c r="AA28" i="10"/>
  <c r="AB28" i="10"/>
  <c r="AC28" i="10"/>
  <c r="AD28" i="10"/>
  <c r="AE28" i="10"/>
  <c r="AF28" i="10"/>
  <c r="AG28" i="10"/>
  <c r="Z29" i="10"/>
  <c r="AA29" i="10"/>
  <c r="AB29" i="10"/>
  <c r="AC29" i="10"/>
  <c r="AD29" i="10"/>
  <c r="AE29" i="10"/>
  <c r="AF29" i="10"/>
  <c r="AG29" i="10"/>
  <c r="Z30" i="10"/>
  <c r="AA30" i="10"/>
  <c r="AB30" i="10"/>
  <c r="AC30" i="10"/>
  <c r="AD30" i="10"/>
  <c r="AE30" i="10"/>
  <c r="AF30" i="10"/>
  <c r="AG30" i="10"/>
  <c r="Z31" i="10"/>
  <c r="AA31" i="10"/>
  <c r="AB31" i="10"/>
  <c r="AC31" i="10"/>
  <c r="AD31" i="10"/>
  <c r="AE31" i="10"/>
  <c r="AF31" i="10"/>
  <c r="AG31" i="10"/>
  <c r="Z32" i="10"/>
  <c r="AA32" i="10"/>
  <c r="AB32" i="10"/>
  <c r="AC32" i="10"/>
  <c r="AD32" i="10"/>
  <c r="AE32" i="10"/>
  <c r="AF32" i="10"/>
  <c r="AG32" i="10"/>
  <c r="Z33" i="10"/>
  <c r="AA33" i="10"/>
  <c r="AB33" i="10"/>
  <c r="AC33" i="10"/>
  <c r="AD33" i="10"/>
  <c r="AE33" i="10"/>
  <c r="AF33" i="10"/>
  <c r="AG33" i="10"/>
  <c r="Z34" i="10"/>
  <c r="AA34" i="10"/>
  <c r="AB34" i="10"/>
  <c r="AC34" i="10"/>
  <c r="AD34" i="10"/>
  <c r="AE34" i="10"/>
  <c r="AF34" i="10"/>
  <c r="AG34" i="10"/>
  <c r="Z35" i="10"/>
  <c r="AA35" i="10"/>
  <c r="AB35" i="10"/>
  <c r="AC35" i="10"/>
  <c r="AD35" i="10"/>
  <c r="AE35" i="10"/>
  <c r="AF35" i="10"/>
  <c r="AG35" i="10"/>
  <c r="Z36" i="10"/>
  <c r="AA36" i="10"/>
  <c r="AB36" i="10"/>
  <c r="AC36" i="10"/>
  <c r="AD36" i="10"/>
  <c r="AE36" i="10"/>
  <c r="AF36" i="10"/>
  <c r="AG36" i="10"/>
  <c r="Z37" i="10"/>
  <c r="AA37" i="10"/>
  <c r="AB37" i="10"/>
  <c r="AC37" i="10"/>
  <c r="AD37" i="10"/>
  <c r="AE37" i="10"/>
  <c r="AF37" i="10"/>
  <c r="AG37" i="10"/>
  <c r="Z38" i="10"/>
  <c r="AA38" i="10"/>
  <c r="AB38" i="10"/>
  <c r="AC38" i="10"/>
  <c r="AD38" i="10"/>
  <c r="AE38" i="10"/>
  <c r="AF38" i="10"/>
  <c r="AG38" i="10"/>
  <c r="Z39" i="10"/>
  <c r="AA39" i="10"/>
  <c r="AB39" i="10"/>
  <c r="AC39" i="10"/>
  <c r="AD39" i="10"/>
  <c r="AE39" i="10"/>
  <c r="AF39" i="10"/>
  <c r="AG39" i="10"/>
  <c r="Z40" i="10"/>
  <c r="AA40" i="10"/>
  <c r="AB40" i="10"/>
  <c r="AC40" i="10"/>
  <c r="AD40" i="10"/>
  <c r="AE40" i="10"/>
  <c r="AF40" i="10"/>
  <c r="AG40" i="10"/>
  <c r="Z41" i="10"/>
  <c r="AA41" i="10"/>
  <c r="AB41" i="10"/>
  <c r="AC41" i="10"/>
  <c r="AD41" i="10"/>
  <c r="AE41" i="10"/>
  <c r="AF41" i="10"/>
  <c r="AG41" i="10"/>
  <c r="Z42" i="10"/>
  <c r="AA42" i="10"/>
  <c r="AB42" i="10"/>
  <c r="AC42" i="10"/>
  <c r="AD42" i="10"/>
  <c r="AE42" i="10"/>
  <c r="AF42" i="10"/>
  <c r="AG42" i="10"/>
  <c r="Z43" i="10"/>
  <c r="AA43" i="10"/>
  <c r="AB43" i="10"/>
  <c r="AC43" i="10"/>
  <c r="AD43" i="10"/>
  <c r="AE43" i="10"/>
  <c r="AF43" i="10"/>
  <c r="AG43" i="10"/>
  <c r="Z44" i="10"/>
  <c r="AA44" i="10"/>
  <c r="AB44" i="10"/>
  <c r="AC44" i="10"/>
  <c r="AD44" i="10"/>
  <c r="AE44" i="10"/>
  <c r="AF44" i="10"/>
  <c r="AG44" i="10"/>
  <c r="Z45" i="10"/>
  <c r="AA45" i="10"/>
  <c r="AB45" i="10"/>
  <c r="AC45" i="10"/>
  <c r="AD45" i="10"/>
  <c r="AE45" i="10"/>
  <c r="AF45" i="10"/>
  <c r="AG45" i="10"/>
  <c r="Z46" i="10"/>
  <c r="AA46" i="10"/>
  <c r="AB46" i="10"/>
  <c r="AC46" i="10"/>
  <c r="AD46" i="10"/>
  <c r="AE46" i="10"/>
  <c r="AF46" i="10"/>
  <c r="AG46" i="10"/>
  <c r="Z47" i="10"/>
  <c r="AA47" i="10"/>
  <c r="AB47" i="10"/>
  <c r="AC47" i="10"/>
  <c r="AD47" i="10"/>
  <c r="AE47" i="10"/>
  <c r="AF47" i="10"/>
  <c r="AG47" i="10"/>
  <c r="R5" i="10"/>
  <c r="S5" i="10"/>
  <c r="T5" i="10"/>
  <c r="U5" i="10"/>
  <c r="V5" i="10"/>
  <c r="W5" i="10"/>
  <c r="X5" i="10"/>
  <c r="Y5" i="10"/>
  <c r="R6" i="10"/>
  <c r="S6" i="10"/>
  <c r="T6" i="10"/>
  <c r="U6" i="10"/>
  <c r="V6" i="10"/>
  <c r="W6" i="10"/>
  <c r="X6" i="10"/>
  <c r="Y6" i="10"/>
  <c r="R7" i="10"/>
  <c r="S7" i="10"/>
  <c r="T7" i="10"/>
  <c r="U7" i="10"/>
  <c r="V7" i="10"/>
  <c r="W7" i="10"/>
  <c r="X7" i="10"/>
  <c r="Y7" i="10"/>
  <c r="R8" i="10"/>
  <c r="S8" i="10"/>
  <c r="T8" i="10"/>
  <c r="U8" i="10"/>
  <c r="V8" i="10"/>
  <c r="W8" i="10"/>
  <c r="X8" i="10"/>
  <c r="Y8" i="10"/>
  <c r="R9" i="10"/>
  <c r="S9" i="10"/>
  <c r="T9" i="10"/>
  <c r="U9" i="10"/>
  <c r="V9" i="10"/>
  <c r="W9" i="10"/>
  <c r="X9" i="10"/>
  <c r="Y9" i="10"/>
  <c r="R10" i="10"/>
  <c r="S10" i="10"/>
  <c r="T10" i="10"/>
  <c r="U10" i="10"/>
  <c r="V10" i="10"/>
  <c r="W10" i="10"/>
  <c r="X10" i="10"/>
  <c r="Y10" i="10"/>
  <c r="R11" i="10"/>
  <c r="S11" i="10"/>
  <c r="T11" i="10"/>
  <c r="U11" i="10"/>
  <c r="V11" i="10"/>
  <c r="W11" i="10"/>
  <c r="X11" i="10"/>
  <c r="Y11" i="10"/>
  <c r="R12" i="10"/>
  <c r="S12" i="10"/>
  <c r="T12" i="10"/>
  <c r="U12" i="10"/>
  <c r="V12" i="10"/>
  <c r="W12" i="10"/>
  <c r="X12" i="10"/>
  <c r="Y12" i="10"/>
  <c r="R13" i="10"/>
  <c r="S13" i="10"/>
  <c r="T13" i="10"/>
  <c r="U13" i="10"/>
  <c r="V13" i="10"/>
  <c r="W13" i="10"/>
  <c r="X13" i="10"/>
  <c r="Y13" i="10"/>
  <c r="R14" i="10"/>
  <c r="S14" i="10"/>
  <c r="T14" i="10"/>
  <c r="U14" i="10"/>
  <c r="V14" i="10"/>
  <c r="W14" i="10"/>
  <c r="X14" i="10"/>
  <c r="Y14" i="10"/>
  <c r="R15" i="10"/>
  <c r="S15" i="10"/>
  <c r="T15" i="10"/>
  <c r="U15" i="10"/>
  <c r="V15" i="10"/>
  <c r="W15" i="10"/>
  <c r="X15" i="10"/>
  <c r="Y15" i="10"/>
  <c r="R16" i="10"/>
  <c r="S16" i="10"/>
  <c r="T16" i="10"/>
  <c r="U16" i="10"/>
  <c r="V16" i="10"/>
  <c r="W16" i="10"/>
  <c r="X16" i="10"/>
  <c r="Y16" i="10"/>
  <c r="R17" i="10"/>
  <c r="S17" i="10"/>
  <c r="T17" i="10"/>
  <c r="U17" i="10"/>
  <c r="V17" i="10"/>
  <c r="W17" i="10"/>
  <c r="X17" i="10"/>
  <c r="Y17" i="10"/>
  <c r="R18" i="10"/>
  <c r="S18" i="10"/>
  <c r="T18" i="10"/>
  <c r="U18" i="10"/>
  <c r="V18" i="10"/>
  <c r="W18" i="10"/>
  <c r="X18" i="10"/>
  <c r="Y18" i="10"/>
  <c r="R19" i="10"/>
  <c r="S19" i="10"/>
  <c r="T19" i="10"/>
  <c r="U19" i="10"/>
  <c r="V19" i="10"/>
  <c r="W19" i="10"/>
  <c r="X19" i="10"/>
  <c r="Y19" i="10"/>
  <c r="R20" i="10"/>
  <c r="S20" i="10"/>
  <c r="T20" i="10"/>
  <c r="U20" i="10"/>
  <c r="V20" i="10"/>
  <c r="W20" i="10"/>
  <c r="X20" i="10"/>
  <c r="Y20" i="10"/>
  <c r="R21" i="10"/>
  <c r="S21" i="10"/>
  <c r="T21" i="10"/>
  <c r="U21" i="10"/>
  <c r="V21" i="10"/>
  <c r="W21" i="10"/>
  <c r="X21" i="10"/>
  <c r="Y21" i="10"/>
  <c r="R22" i="10"/>
  <c r="S22" i="10"/>
  <c r="T22" i="10"/>
  <c r="U22" i="10"/>
  <c r="V22" i="10"/>
  <c r="W22" i="10"/>
  <c r="X22" i="10"/>
  <c r="Y22" i="10"/>
  <c r="R23" i="10"/>
  <c r="S23" i="10"/>
  <c r="T23" i="10"/>
  <c r="U23" i="10"/>
  <c r="V23" i="10"/>
  <c r="W23" i="10"/>
  <c r="X23" i="10"/>
  <c r="Y23" i="10"/>
  <c r="R24" i="10"/>
  <c r="S24" i="10"/>
  <c r="T24" i="10"/>
  <c r="U24" i="10"/>
  <c r="V24" i="10"/>
  <c r="W24" i="10"/>
  <c r="X24" i="10"/>
  <c r="Y24" i="10"/>
  <c r="R25" i="10"/>
  <c r="S25" i="10"/>
  <c r="T25" i="10"/>
  <c r="U25" i="10"/>
  <c r="V25" i="10"/>
  <c r="W25" i="10"/>
  <c r="X25" i="10"/>
  <c r="Y25" i="10"/>
  <c r="R26" i="10"/>
  <c r="S26" i="10"/>
  <c r="T26" i="10"/>
  <c r="U26" i="10"/>
  <c r="V26" i="10"/>
  <c r="W26" i="10"/>
  <c r="X26" i="10"/>
  <c r="Y26" i="10"/>
  <c r="R27" i="10"/>
  <c r="S27" i="10"/>
  <c r="T27" i="10"/>
  <c r="U27" i="10"/>
  <c r="V27" i="10"/>
  <c r="W27" i="10"/>
  <c r="X27" i="10"/>
  <c r="Y27" i="10"/>
  <c r="R28" i="10"/>
  <c r="S28" i="10"/>
  <c r="T28" i="10"/>
  <c r="U28" i="10"/>
  <c r="V28" i="10"/>
  <c r="W28" i="10"/>
  <c r="X28" i="10"/>
  <c r="Y28" i="10"/>
  <c r="R29" i="10"/>
  <c r="S29" i="10"/>
  <c r="T29" i="10"/>
  <c r="U29" i="10"/>
  <c r="V29" i="10"/>
  <c r="W29" i="10"/>
  <c r="X29" i="10"/>
  <c r="Y29" i="10"/>
  <c r="R30" i="10"/>
  <c r="S30" i="10"/>
  <c r="T30" i="10"/>
  <c r="U30" i="10"/>
  <c r="V30" i="10"/>
  <c r="W30" i="10"/>
  <c r="X30" i="10"/>
  <c r="Y30" i="10"/>
  <c r="R31" i="10"/>
  <c r="S31" i="10"/>
  <c r="T31" i="10"/>
  <c r="U31" i="10"/>
  <c r="V31" i="10"/>
  <c r="W31" i="10"/>
  <c r="X31" i="10"/>
  <c r="Y31" i="10"/>
  <c r="R32" i="10"/>
  <c r="S32" i="10"/>
  <c r="T32" i="10"/>
  <c r="U32" i="10"/>
  <c r="V32" i="10"/>
  <c r="W32" i="10"/>
  <c r="X32" i="10"/>
  <c r="Y32" i="10"/>
  <c r="R33" i="10"/>
  <c r="S33" i="10"/>
  <c r="T33" i="10"/>
  <c r="U33" i="10"/>
  <c r="V33" i="10"/>
  <c r="W33" i="10"/>
  <c r="X33" i="10"/>
  <c r="Y33" i="10"/>
  <c r="R34" i="10"/>
  <c r="S34" i="10"/>
  <c r="T34" i="10"/>
  <c r="U34" i="10"/>
  <c r="V34" i="10"/>
  <c r="W34" i="10"/>
  <c r="X34" i="10"/>
  <c r="Y34" i="10"/>
  <c r="R35" i="10"/>
  <c r="S35" i="10"/>
  <c r="T35" i="10"/>
  <c r="U35" i="10"/>
  <c r="V35" i="10"/>
  <c r="W35" i="10"/>
  <c r="X35" i="10"/>
  <c r="Y35" i="10"/>
  <c r="R36" i="10"/>
  <c r="S36" i="10"/>
  <c r="T36" i="10"/>
  <c r="U36" i="10"/>
  <c r="V36" i="10"/>
  <c r="W36" i="10"/>
  <c r="X36" i="10"/>
  <c r="Y36" i="10"/>
  <c r="R37" i="10"/>
  <c r="S37" i="10"/>
  <c r="T37" i="10"/>
  <c r="U37" i="10"/>
  <c r="V37" i="10"/>
  <c r="W37" i="10"/>
  <c r="X37" i="10"/>
  <c r="Y37" i="10"/>
  <c r="R38" i="10"/>
  <c r="S38" i="10"/>
  <c r="T38" i="10"/>
  <c r="U38" i="10"/>
  <c r="V38" i="10"/>
  <c r="W38" i="10"/>
  <c r="X38" i="10"/>
  <c r="Y38" i="10"/>
  <c r="R39" i="10"/>
  <c r="S39" i="10"/>
  <c r="T39" i="10"/>
  <c r="U39" i="10"/>
  <c r="V39" i="10"/>
  <c r="W39" i="10"/>
  <c r="X39" i="10"/>
  <c r="Y39" i="10"/>
  <c r="R40" i="10"/>
  <c r="S40" i="10"/>
  <c r="T40" i="10"/>
  <c r="U40" i="10"/>
  <c r="V40" i="10"/>
  <c r="W40" i="10"/>
  <c r="X40" i="10"/>
  <c r="Y40" i="10"/>
  <c r="R41" i="10"/>
  <c r="S41" i="10"/>
  <c r="T41" i="10"/>
  <c r="U41" i="10"/>
  <c r="V41" i="10"/>
  <c r="W41" i="10"/>
  <c r="X41" i="10"/>
  <c r="Y41" i="10"/>
  <c r="R42" i="10"/>
  <c r="S42" i="10"/>
  <c r="T42" i="10"/>
  <c r="U42" i="10"/>
  <c r="V42" i="10"/>
  <c r="W42" i="10"/>
  <c r="X42" i="10"/>
  <c r="Y42" i="10"/>
  <c r="R43" i="10"/>
  <c r="S43" i="10"/>
  <c r="T43" i="10"/>
  <c r="U43" i="10"/>
  <c r="V43" i="10"/>
  <c r="W43" i="10"/>
  <c r="X43" i="10"/>
  <c r="Y43" i="10"/>
  <c r="R44" i="10"/>
  <c r="S44" i="10"/>
  <c r="T44" i="10"/>
  <c r="U44" i="10"/>
  <c r="V44" i="10"/>
  <c r="W44" i="10"/>
  <c r="X44" i="10"/>
  <c r="Y44" i="10"/>
  <c r="R45" i="10"/>
  <c r="S45" i="10"/>
  <c r="T45" i="10"/>
  <c r="U45" i="10"/>
  <c r="V45" i="10"/>
  <c r="W45" i="10"/>
  <c r="X45" i="10"/>
  <c r="Y45" i="10"/>
  <c r="R46" i="10"/>
  <c r="S46" i="10"/>
  <c r="T46" i="10"/>
  <c r="U46" i="10"/>
  <c r="V46" i="10"/>
  <c r="W46" i="10"/>
  <c r="X46" i="10"/>
  <c r="Y46" i="10"/>
  <c r="R47" i="10"/>
  <c r="S47" i="10"/>
  <c r="T47" i="10"/>
  <c r="U47" i="10"/>
  <c r="V47" i="10"/>
  <c r="W47" i="10"/>
  <c r="X47" i="10"/>
  <c r="Y47" i="10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Z5" i="9"/>
  <c r="AA5" i="9"/>
  <c r="AB5" i="9"/>
  <c r="AC5" i="9"/>
  <c r="AD5" i="9"/>
  <c r="AE5" i="9"/>
  <c r="AF5" i="9"/>
  <c r="AG5" i="9"/>
  <c r="Z6" i="9"/>
  <c r="AA6" i="9"/>
  <c r="AB6" i="9"/>
  <c r="AC6" i="9"/>
  <c r="AD6" i="9"/>
  <c r="AE6" i="9"/>
  <c r="AF6" i="9"/>
  <c r="AG6" i="9"/>
  <c r="Z7" i="9"/>
  <c r="AA7" i="9"/>
  <c r="AB7" i="9"/>
  <c r="AC7" i="9"/>
  <c r="AD7" i="9"/>
  <c r="AE7" i="9"/>
  <c r="AF7" i="9"/>
  <c r="AG7" i="9"/>
  <c r="Z8" i="9"/>
  <c r="AA8" i="9"/>
  <c r="AB8" i="9"/>
  <c r="AC8" i="9"/>
  <c r="AD8" i="9"/>
  <c r="AE8" i="9"/>
  <c r="AF8" i="9"/>
  <c r="AG8" i="9"/>
  <c r="Z9" i="9"/>
  <c r="AA9" i="9"/>
  <c r="AB9" i="9"/>
  <c r="AC9" i="9"/>
  <c r="AD9" i="9"/>
  <c r="AE9" i="9"/>
  <c r="AF9" i="9"/>
  <c r="AG9" i="9"/>
  <c r="Z10" i="9"/>
  <c r="AA10" i="9"/>
  <c r="AB10" i="9"/>
  <c r="AC10" i="9"/>
  <c r="AD10" i="9"/>
  <c r="AE10" i="9"/>
  <c r="AF10" i="9"/>
  <c r="AG10" i="9"/>
  <c r="Z11" i="9"/>
  <c r="AA11" i="9"/>
  <c r="AB11" i="9"/>
  <c r="AC11" i="9"/>
  <c r="AD11" i="9"/>
  <c r="AE11" i="9"/>
  <c r="AF11" i="9"/>
  <c r="AG11" i="9"/>
  <c r="Z12" i="9"/>
  <c r="AA12" i="9"/>
  <c r="AB12" i="9"/>
  <c r="AC12" i="9"/>
  <c r="AD12" i="9"/>
  <c r="AE12" i="9"/>
  <c r="AF12" i="9"/>
  <c r="AG12" i="9"/>
  <c r="Z13" i="9"/>
  <c r="AA13" i="9"/>
  <c r="AB13" i="9"/>
  <c r="AC13" i="9"/>
  <c r="AD13" i="9"/>
  <c r="AE13" i="9"/>
  <c r="AF13" i="9"/>
  <c r="AG13" i="9"/>
  <c r="Z14" i="9"/>
  <c r="AA14" i="9"/>
  <c r="AB14" i="9"/>
  <c r="AC14" i="9"/>
  <c r="AD14" i="9"/>
  <c r="AE14" i="9"/>
  <c r="AF14" i="9"/>
  <c r="AG14" i="9"/>
  <c r="Z15" i="9"/>
  <c r="AA15" i="9"/>
  <c r="AB15" i="9"/>
  <c r="AC15" i="9"/>
  <c r="AD15" i="9"/>
  <c r="AE15" i="9"/>
  <c r="AF15" i="9"/>
  <c r="AG15" i="9"/>
  <c r="Z16" i="9"/>
  <c r="AA16" i="9"/>
  <c r="AB16" i="9"/>
  <c r="AC16" i="9"/>
  <c r="AD16" i="9"/>
  <c r="AE16" i="9"/>
  <c r="AF16" i="9"/>
  <c r="AG16" i="9"/>
  <c r="Z17" i="9"/>
  <c r="AA17" i="9"/>
  <c r="AB17" i="9"/>
  <c r="AC17" i="9"/>
  <c r="AD17" i="9"/>
  <c r="AE17" i="9"/>
  <c r="AF17" i="9"/>
  <c r="AG17" i="9"/>
  <c r="Z18" i="9"/>
  <c r="AA18" i="9"/>
  <c r="AB18" i="9"/>
  <c r="AC18" i="9"/>
  <c r="AD18" i="9"/>
  <c r="AE18" i="9"/>
  <c r="AF18" i="9"/>
  <c r="AG18" i="9"/>
  <c r="Z19" i="9"/>
  <c r="AA19" i="9"/>
  <c r="AB19" i="9"/>
  <c r="AC19" i="9"/>
  <c r="AD19" i="9"/>
  <c r="AE19" i="9"/>
  <c r="AF19" i="9"/>
  <c r="AG19" i="9"/>
  <c r="Z20" i="9"/>
  <c r="AA20" i="9"/>
  <c r="AB20" i="9"/>
  <c r="AC20" i="9"/>
  <c r="AD20" i="9"/>
  <c r="AE20" i="9"/>
  <c r="AF20" i="9"/>
  <c r="AG20" i="9"/>
  <c r="Z21" i="9"/>
  <c r="AA21" i="9"/>
  <c r="AB21" i="9"/>
  <c r="AC21" i="9"/>
  <c r="AD21" i="9"/>
  <c r="AE21" i="9"/>
  <c r="AF21" i="9"/>
  <c r="AG21" i="9"/>
  <c r="Z22" i="9"/>
  <c r="AA22" i="9"/>
  <c r="AB22" i="9"/>
  <c r="AC22" i="9"/>
  <c r="AD22" i="9"/>
  <c r="AE22" i="9"/>
  <c r="AF22" i="9"/>
  <c r="AG22" i="9"/>
  <c r="Z23" i="9"/>
  <c r="AA23" i="9"/>
  <c r="AB23" i="9"/>
  <c r="AC23" i="9"/>
  <c r="AD23" i="9"/>
  <c r="AE23" i="9"/>
  <c r="AF23" i="9"/>
  <c r="AG23" i="9"/>
  <c r="Z24" i="9"/>
  <c r="AA24" i="9"/>
  <c r="AB24" i="9"/>
  <c r="AC24" i="9"/>
  <c r="AD24" i="9"/>
  <c r="AE24" i="9"/>
  <c r="AF24" i="9"/>
  <c r="AG24" i="9"/>
  <c r="Z25" i="9"/>
  <c r="AA25" i="9"/>
  <c r="AB25" i="9"/>
  <c r="AC25" i="9"/>
  <c r="AD25" i="9"/>
  <c r="AE25" i="9"/>
  <c r="AF25" i="9"/>
  <c r="AG25" i="9"/>
  <c r="Z26" i="9"/>
  <c r="AA26" i="9"/>
  <c r="AB26" i="9"/>
  <c r="AC26" i="9"/>
  <c r="AD26" i="9"/>
  <c r="AE26" i="9"/>
  <c r="AF26" i="9"/>
  <c r="AG26" i="9"/>
  <c r="Z27" i="9"/>
  <c r="AA27" i="9"/>
  <c r="AB27" i="9"/>
  <c r="AC27" i="9"/>
  <c r="AD27" i="9"/>
  <c r="AE27" i="9"/>
  <c r="AF27" i="9"/>
  <c r="AG27" i="9"/>
  <c r="Z28" i="9"/>
  <c r="AA28" i="9"/>
  <c r="AB28" i="9"/>
  <c r="AC28" i="9"/>
  <c r="AD28" i="9"/>
  <c r="AE28" i="9"/>
  <c r="AF28" i="9"/>
  <c r="AG28" i="9"/>
  <c r="Z29" i="9"/>
  <c r="AA29" i="9"/>
  <c r="AB29" i="9"/>
  <c r="AC29" i="9"/>
  <c r="AD29" i="9"/>
  <c r="AE29" i="9"/>
  <c r="AF29" i="9"/>
  <c r="AG29" i="9"/>
  <c r="Z30" i="9"/>
  <c r="AA30" i="9"/>
  <c r="AB30" i="9"/>
  <c r="AC30" i="9"/>
  <c r="AD30" i="9"/>
  <c r="AE30" i="9"/>
  <c r="AF30" i="9"/>
  <c r="AG30" i="9"/>
  <c r="Z31" i="9"/>
  <c r="AA31" i="9"/>
  <c r="AB31" i="9"/>
  <c r="AC31" i="9"/>
  <c r="AD31" i="9"/>
  <c r="AE31" i="9"/>
  <c r="AF31" i="9"/>
  <c r="AG31" i="9"/>
  <c r="Z32" i="9"/>
  <c r="AA32" i="9"/>
  <c r="AB32" i="9"/>
  <c r="AC32" i="9"/>
  <c r="AD32" i="9"/>
  <c r="AE32" i="9"/>
  <c r="AF32" i="9"/>
  <c r="AG32" i="9"/>
  <c r="Z33" i="9"/>
  <c r="AA33" i="9"/>
  <c r="AB33" i="9"/>
  <c r="AC33" i="9"/>
  <c r="AD33" i="9"/>
  <c r="AE33" i="9"/>
  <c r="AF33" i="9"/>
  <c r="AG33" i="9"/>
  <c r="Z34" i="9"/>
  <c r="AA34" i="9"/>
  <c r="AB34" i="9"/>
  <c r="AC34" i="9"/>
  <c r="AD34" i="9"/>
  <c r="AE34" i="9"/>
  <c r="AF34" i="9"/>
  <c r="AG34" i="9"/>
  <c r="Z35" i="9"/>
  <c r="AA35" i="9"/>
  <c r="AB35" i="9"/>
  <c r="AC35" i="9"/>
  <c r="AD35" i="9"/>
  <c r="AE35" i="9"/>
  <c r="AF35" i="9"/>
  <c r="AG35" i="9"/>
  <c r="Z36" i="9"/>
  <c r="AA36" i="9"/>
  <c r="AB36" i="9"/>
  <c r="AC36" i="9"/>
  <c r="AD36" i="9"/>
  <c r="AE36" i="9"/>
  <c r="AF36" i="9"/>
  <c r="AG36" i="9"/>
  <c r="Z37" i="9"/>
  <c r="AA37" i="9"/>
  <c r="AB37" i="9"/>
  <c r="AC37" i="9"/>
  <c r="AD37" i="9"/>
  <c r="AE37" i="9"/>
  <c r="AF37" i="9"/>
  <c r="AG37" i="9"/>
  <c r="Z38" i="9"/>
  <c r="AA38" i="9"/>
  <c r="AB38" i="9"/>
  <c r="AC38" i="9"/>
  <c r="AD38" i="9"/>
  <c r="AE38" i="9"/>
  <c r="AF38" i="9"/>
  <c r="AG38" i="9"/>
  <c r="Z39" i="9"/>
  <c r="AA39" i="9"/>
  <c r="AB39" i="9"/>
  <c r="AC39" i="9"/>
  <c r="AD39" i="9"/>
  <c r="AE39" i="9"/>
  <c r="AF39" i="9"/>
  <c r="AG39" i="9"/>
  <c r="Z40" i="9"/>
  <c r="AA40" i="9"/>
  <c r="AB40" i="9"/>
  <c r="AC40" i="9"/>
  <c r="AD40" i="9"/>
  <c r="AE40" i="9"/>
  <c r="AF40" i="9"/>
  <c r="AG40" i="9"/>
  <c r="Z41" i="9"/>
  <c r="AA41" i="9"/>
  <c r="AB41" i="9"/>
  <c r="AC41" i="9"/>
  <c r="AD41" i="9"/>
  <c r="AE41" i="9"/>
  <c r="AF41" i="9"/>
  <c r="AG41" i="9"/>
  <c r="Z42" i="9"/>
  <c r="AA42" i="9"/>
  <c r="AB42" i="9"/>
  <c r="AC42" i="9"/>
  <c r="AD42" i="9"/>
  <c r="AE42" i="9"/>
  <c r="AF42" i="9"/>
  <c r="AG42" i="9"/>
  <c r="Z43" i="9"/>
  <c r="AA43" i="9"/>
  <c r="AB43" i="9"/>
  <c r="AC43" i="9"/>
  <c r="AD43" i="9"/>
  <c r="AE43" i="9"/>
  <c r="AF43" i="9"/>
  <c r="AG43" i="9"/>
  <c r="Z44" i="9"/>
  <c r="AA44" i="9"/>
  <c r="AB44" i="9"/>
  <c r="AC44" i="9"/>
  <c r="AD44" i="9"/>
  <c r="AE44" i="9"/>
  <c r="AF44" i="9"/>
  <c r="AG44" i="9"/>
  <c r="Z45" i="9"/>
  <c r="AA45" i="9"/>
  <c r="AB45" i="9"/>
  <c r="AC45" i="9"/>
  <c r="AD45" i="9"/>
  <c r="AE45" i="9"/>
  <c r="AF45" i="9"/>
  <c r="AG45" i="9"/>
  <c r="Z46" i="9"/>
  <c r="AA46" i="9"/>
  <c r="AB46" i="9"/>
  <c r="AC46" i="9"/>
  <c r="AD46" i="9"/>
  <c r="AE46" i="9"/>
  <c r="AF46" i="9"/>
  <c r="AG46" i="9"/>
  <c r="Z47" i="9"/>
  <c r="AA47" i="9"/>
  <c r="AB47" i="9"/>
  <c r="AC47" i="9"/>
  <c r="AD47" i="9"/>
  <c r="AE47" i="9"/>
  <c r="AF47" i="9"/>
  <c r="AG47" i="9"/>
  <c r="R5" i="9"/>
  <c r="S5" i="9"/>
  <c r="T5" i="9"/>
  <c r="U5" i="9"/>
  <c r="V5" i="9"/>
  <c r="W5" i="9"/>
  <c r="X5" i="9"/>
  <c r="Y5" i="9"/>
  <c r="R6" i="9"/>
  <c r="S6" i="9"/>
  <c r="T6" i="9"/>
  <c r="U6" i="9"/>
  <c r="V6" i="9"/>
  <c r="W6" i="9"/>
  <c r="X6" i="9"/>
  <c r="Y6" i="9"/>
  <c r="R7" i="9"/>
  <c r="S7" i="9"/>
  <c r="T7" i="9"/>
  <c r="U7" i="9"/>
  <c r="V7" i="9"/>
  <c r="W7" i="9"/>
  <c r="X7" i="9"/>
  <c r="Y7" i="9"/>
  <c r="R8" i="9"/>
  <c r="S8" i="9"/>
  <c r="T8" i="9"/>
  <c r="U8" i="9"/>
  <c r="V8" i="9"/>
  <c r="W8" i="9"/>
  <c r="X8" i="9"/>
  <c r="Y8" i="9"/>
  <c r="R9" i="9"/>
  <c r="S9" i="9"/>
  <c r="T9" i="9"/>
  <c r="U9" i="9"/>
  <c r="V9" i="9"/>
  <c r="W9" i="9"/>
  <c r="X9" i="9"/>
  <c r="Y9" i="9"/>
  <c r="R10" i="9"/>
  <c r="S10" i="9"/>
  <c r="T10" i="9"/>
  <c r="U10" i="9"/>
  <c r="V10" i="9"/>
  <c r="W10" i="9"/>
  <c r="X10" i="9"/>
  <c r="Y10" i="9"/>
  <c r="R11" i="9"/>
  <c r="S11" i="9"/>
  <c r="T11" i="9"/>
  <c r="U11" i="9"/>
  <c r="V11" i="9"/>
  <c r="W11" i="9"/>
  <c r="X11" i="9"/>
  <c r="Y11" i="9"/>
  <c r="R12" i="9"/>
  <c r="S12" i="9"/>
  <c r="T12" i="9"/>
  <c r="U12" i="9"/>
  <c r="V12" i="9"/>
  <c r="W12" i="9"/>
  <c r="X12" i="9"/>
  <c r="Y12" i="9"/>
  <c r="R13" i="9"/>
  <c r="S13" i="9"/>
  <c r="T13" i="9"/>
  <c r="U13" i="9"/>
  <c r="V13" i="9"/>
  <c r="W13" i="9"/>
  <c r="X13" i="9"/>
  <c r="Y13" i="9"/>
  <c r="R14" i="9"/>
  <c r="S14" i="9"/>
  <c r="T14" i="9"/>
  <c r="U14" i="9"/>
  <c r="V14" i="9"/>
  <c r="W14" i="9"/>
  <c r="X14" i="9"/>
  <c r="Y14" i="9"/>
  <c r="R15" i="9"/>
  <c r="S15" i="9"/>
  <c r="T15" i="9"/>
  <c r="U15" i="9"/>
  <c r="V15" i="9"/>
  <c r="W15" i="9"/>
  <c r="X15" i="9"/>
  <c r="Y15" i="9"/>
  <c r="R16" i="9"/>
  <c r="S16" i="9"/>
  <c r="T16" i="9"/>
  <c r="U16" i="9"/>
  <c r="V16" i="9"/>
  <c r="W16" i="9"/>
  <c r="X16" i="9"/>
  <c r="Y16" i="9"/>
  <c r="R17" i="9"/>
  <c r="S17" i="9"/>
  <c r="T17" i="9"/>
  <c r="U17" i="9"/>
  <c r="V17" i="9"/>
  <c r="W17" i="9"/>
  <c r="X17" i="9"/>
  <c r="Y17" i="9"/>
  <c r="R18" i="9"/>
  <c r="S18" i="9"/>
  <c r="T18" i="9"/>
  <c r="U18" i="9"/>
  <c r="V18" i="9"/>
  <c r="W18" i="9"/>
  <c r="X18" i="9"/>
  <c r="Y18" i="9"/>
  <c r="R19" i="9"/>
  <c r="S19" i="9"/>
  <c r="T19" i="9"/>
  <c r="U19" i="9"/>
  <c r="V19" i="9"/>
  <c r="W19" i="9"/>
  <c r="X19" i="9"/>
  <c r="Y19" i="9"/>
  <c r="R20" i="9"/>
  <c r="S20" i="9"/>
  <c r="T20" i="9"/>
  <c r="U20" i="9"/>
  <c r="V20" i="9"/>
  <c r="W20" i="9"/>
  <c r="X20" i="9"/>
  <c r="Y20" i="9"/>
  <c r="R21" i="9"/>
  <c r="S21" i="9"/>
  <c r="T21" i="9"/>
  <c r="U21" i="9"/>
  <c r="V21" i="9"/>
  <c r="W21" i="9"/>
  <c r="X21" i="9"/>
  <c r="Y21" i="9"/>
  <c r="R22" i="9"/>
  <c r="S22" i="9"/>
  <c r="T22" i="9"/>
  <c r="U22" i="9"/>
  <c r="V22" i="9"/>
  <c r="W22" i="9"/>
  <c r="X22" i="9"/>
  <c r="Y22" i="9"/>
  <c r="R23" i="9"/>
  <c r="S23" i="9"/>
  <c r="T23" i="9"/>
  <c r="U23" i="9"/>
  <c r="V23" i="9"/>
  <c r="W23" i="9"/>
  <c r="X23" i="9"/>
  <c r="Y23" i="9"/>
  <c r="R24" i="9"/>
  <c r="S24" i="9"/>
  <c r="T24" i="9"/>
  <c r="U24" i="9"/>
  <c r="V24" i="9"/>
  <c r="W24" i="9"/>
  <c r="X24" i="9"/>
  <c r="Y24" i="9"/>
  <c r="R25" i="9"/>
  <c r="S25" i="9"/>
  <c r="T25" i="9"/>
  <c r="U25" i="9"/>
  <c r="V25" i="9"/>
  <c r="W25" i="9"/>
  <c r="X25" i="9"/>
  <c r="Y25" i="9"/>
  <c r="R26" i="9"/>
  <c r="S26" i="9"/>
  <c r="T26" i="9"/>
  <c r="U26" i="9"/>
  <c r="V26" i="9"/>
  <c r="W26" i="9"/>
  <c r="X26" i="9"/>
  <c r="Y26" i="9"/>
  <c r="R27" i="9"/>
  <c r="S27" i="9"/>
  <c r="T27" i="9"/>
  <c r="U27" i="9"/>
  <c r="V27" i="9"/>
  <c r="W27" i="9"/>
  <c r="X27" i="9"/>
  <c r="Y27" i="9"/>
  <c r="R28" i="9"/>
  <c r="S28" i="9"/>
  <c r="T28" i="9"/>
  <c r="U28" i="9"/>
  <c r="V28" i="9"/>
  <c r="W28" i="9"/>
  <c r="X28" i="9"/>
  <c r="Y28" i="9"/>
  <c r="R29" i="9"/>
  <c r="S29" i="9"/>
  <c r="T29" i="9"/>
  <c r="U29" i="9"/>
  <c r="V29" i="9"/>
  <c r="W29" i="9"/>
  <c r="X29" i="9"/>
  <c r="Y29" i="9"/>
  <c r="R30" i="9"/>
  <c r="S30" i="9"/>
  <c r="T30" i="9"/>
  <c r="U30" i="9"/>
  <c r="V30" i="9"/>
  <c r="W30" i="9"/>
  <c r="X30" i="9"/>
  <c r="Y30" i="9"/>
  <c r="R31" i="9"/>
  <c r="S31" i="9"/>
  <c r="T31" i="9"/>
  <c r="U31" i="9"/>
  <c r="V31" i="9"/>
  <c r="W31" i="9"/>
  <c r="X31" i="9"/>
  <c r="Y31" i="9"/>
  <c r="R32" i="9"/>
  <c r="S32" i="9"/>
  <c r="T32" i="9"/>
  <c r="U32" i="9"/>
  <c r="V32" i="9"/>
  <c r="W32" i="9"/>
  <c r="X32" i="9"/>
  <c r="Y32" i="9"/>
  <c r="R33" i="9"/>
  <c r="S33" i="9"/>
  <c r="T33" i="9"/>
  <c r="U33" i="9"/>
  <c r="V33" i="9"/>
  <c r="W33" i="9"/>
  <c r="X33" i="9"/>
  <c r="Y33" i="9"/>
  <c r="R34" i="9"/>
  <c r="S34" i="9"/>
  <c r="T34" i="9"/>
  <c r="U34" i="9"/>
  <c r="V34" i="9"/>
  <c r="W34" i="9"/>
  <c r="X34" i="9"/>
  <c r="Y34" i="9"/>
  <c r="R35" i="9"/>
  <c r="S35" i="9"/>
  <c r="T35" i="9"/>
  <c r="U35" i="9"/>
  <c r="V35" i="9"/>
  <c r="W35" i="9"/>
  <c r="X35" i="9"/>
  <c r="Y35" i="9"/>
  <c r="R36" i="9"/>
  <c r="S36" i="9"/>
  <c r="T36" i="9"/>
  <c r="U36" i="9"/>
  <c r="V36" i="9"/>
  <c r="W36" i="9"/>
  <c r="X36" i="9"/>
  <c r="Y36" i="9"/>
  <c r="R37" i="9"/>
  <c r="S37" i="9"/>
  <c r="T37" i="9"/>
  <c r="U37" i="9"/>
  <c r="V37" i="9"/>
  <c r="W37" i="9"/>
  <c r="X37" i="9"/>
  <c r="Y37" i="9"/>
  <c r="R38" i="9"/>
  <c r="S38" i="9"/>
  <c r="T38" i="9"/>
  <c r="U38" i="9"/>
  <c r="V38" i="9"/>
  <c r="W38" i="9"/>
  <c r="X38" i="9"/>
  <c r="Y38" i="9"/>
  <c r="R39" i="9"/>
  <c r="S39" i="9"/>
  <c r="T39" i="9"/>
  <c r="U39" i="9"/>
  <c r="V39" i="9"/>
  <c r="W39" i="9"/>
  <c r="X39" i="9"/>
  <c r="Y39" i="9"/>
  <c r="R40" i="9"/>
  <c r="S40" i="9"/>
  <c r="T40" i="9"/>
  <c r="U40" i="9"/>
  <c r="V40" i="9"/>
  <c r="W40" i="9"/>
  <c r="X40" i="9"/>
  <c r="Y40" i="9"/>
  <c r="R41" i="9"/>
  <c r="S41" i="9"/>
  <c r="T41" i="9"/>
  <c r="U41" i="9"/>
  <c r="V41" i="9"/>
  <c r="W41" i="9"/>
  <c r="X41" i="9"/>
  <c r="Y41" i="9"/>
  <c r="R42" i="9"/>
  <c r="S42" i="9"/>
  <c r="T42" i="9"/>
  <c r="U42" i="9"/>
  <c r="V42" i="9"/>
  <c r="W42" i="9"/>
  <c r="X42" i="9"/>
  <c r="Y42" i="9"/>
  <c r="R43" i="9"/>
  <c r="S43" i="9"/>
  <c r="T43" i="9"/>
  <c r="U43" i="9"/>
  <c r="V43" i="9"/>
  <c r="W43" i="9"/>
  <c r="X43" i="9"/>
  <c r="Y43" i="9"/>
  <c r="R44" i="9"/>
  <c r="S44" i="9"/>
  <c r="T44" i="9"/>
  <c r="U44" i="9"/>
  <c r="V44" i="9"/>
  <c r="W44" i="9"/>
  <c r="X44" i="9"/>
  <c r="Y44" i="9"/>
  <c r="R45" i="9"/>
  <c r="S45" i="9"/>
  <c r="T45" i="9"/>
  <c r="U45" i="9"/>
  <c r="V45" i="9"/>
  <c r="W45" i="9"/>
  <c r="X45" i="9"/>
  <c r="Y45" i="9"/>
  <c r="R46" i="9"/>
  <c r="S46" i="9"/>
  <c r="T46" i="9"/>
  <c r="U46" i="9"/>
  <c r="V46" i="9"/>
  <c r="W46" i="9"/>
  <c r="X46" i="9"/>
  <c r="Y46" i="9"/>
  <c r="R47" i="9"/>
  <c r="S47" i="9"/>
  <c r="T47" i="9"/>
  <c r="U47" i="9"/>
  <c r="V47" i="9"/>
  <c r="W47" i="9"/>
  <c r="X47" i="9"/>
  <c r="Y47" i="9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Z5" i="8"/>
  <c r="AA5" i="8"/>
  <c r="AB5" i="8"/>
  <c r="AC5" i="8"/>
  <c r="AD5" i="8"/>
  <c r="AE5" i="8"/>
  <c r="AF5" i="8"/>
  <c r="AG5" i="8"/>
  <c r="Z6" i="8"/>
  <c r="AA6" i="8"/>
  <c r="AB6" i="8"/>
  <c r="AC6" i="8"/>
  <c r="AD6" i="8"/>
  <c r="AE6" i="8"/>
  <c r="AF6" i="8"/>
  <c r="AG6" i="8"/>
  <c r="Z7" i="8"/>
  <c r="AA7" i="8"/>
  <c r="AB7" i="8"/>
  <c r="AC7" i="8"/>
  <c r="AD7" i="8"/>
  <c r="AE7" i="8"/>
  <c r="AF7" i="8"/>
  <c r="AG7" i="8"/>
  <c r="Z8" i="8"/>
  <c r="AA8" i="8"/>
  <c r="AB8" i="8"/>
  <c r="AC8" i="8"/>
  <c r="AD8" i="8"/>
  <c r="AE8" i="8"/>
  <c r="AF8" i="8"/>
  <c r="AG8" i="8"/>
  <c r="Z9" i="8"/>
  <c r="AA9" i="8"/>
  <c r="AB9" i="8"/>
  <c r="AC9" i="8"/>
  <c r="AD9" i="8"/>
  <c r="AE9" i="8"/>
  <c r="AF9" i="8"/>
  <c r="AG9" i="8"/>
  <c r="Z10" i="8"/>
  <c r="AA10" i="8"/>
  <c r="AB10" i="8"/>
  <c r="AC10" i="8"/>
  <c r="AD10" i="8"/>
  <c r="AE10" i="8"/>
  <c r="AF10" i="8"/>
  <c r="AG10" i="8"/>
  <c r="Z11" i="8"/>
  <c r="AA11" i="8"/>
  <c r="AB11" i="8"/>
  <c r="AC11" i="8"/>
  <c r="AD11" i="8"/>
  <c r="AE11" i="8"/>
  <c r="AF11" i="8"/>
  <c r="AG11" i="8"/>
  <c r="Z12" i="8"/>
  <c r="AA12" i="8"/>
  <c r="AB12" i="8"/>
  <c r="AC12" i="8"/>
  <c r="AD12" i="8"/>
  <c r="AE12" i="8"/>
  <c r="AF12" i="8"/>
  <c r="AG12" i="8"/>
  <c r="Z13" i="8"/>
  <c r="AA13" i="8"/>
  <c r="AB13" i="8"/>
  <c r="AC13" i="8"/>
  <c r="AD13" i="8"/>
  <c r="AE13" i="8"/>
  <c r="AF13" i="8"/>
  <c r="AG13" i="8"/>
  <c r="Z14" i="8"/>
  <c r="AA14" i="8"/>
  <c r="AB14" i="8"/>
  <c r="AC14" i="8"/>
  <c r="AD14" i="8"/>
  <c r="AE14" i="8"/>
  <c r="AF14" i="8"/>
  <c r="AG14" i="8"/>
  <c r="Z15" i="8"/>
  <c r="AA15" i="8"/>
  <c r="AB15" i="8"/>
  <c r="AC15" i="8"/>
  <c r="AD15" i="8"/>
  <c r="AE15" i="8"/>
  <c r="AF15" i="8"/>
  <c r="AG15" i="8"/>
  <c r="Z16" i="8"/>
  <c r="AA16" i="8"/>
  <c r="AB16" i="8"/>
  <c r="AC16" i="8"/>
  <c r="AD16" i="8"/>
  <c r="AE16" i="8"/>
  <c r="AF16" i="8"/>
  <c r="AG16" i="8"/>
  <c r="Z17" i="8"/>
  <c r="AA17" i="8"/>
  <c r="AB17" i="8"/>
  <c r="AC17" i="8"/>
  <c r="AD17" i="8"/>
  <c r="AE17" i="8"/>
  <c r="AF17" i="8"/>
  <c r="AG17" i="8"/>
  <c r="Z18" i="8"/>
  <c r="AA18" i="8"/>
  <c r="AB18" i="8"/>
  <c r="AC18" i="8"/>
  <c r="AD18" i="8"/>
  <c r="AE18" i="8"/>
  <c r="AF18" i="8"/>
  <c r="AG18" i="8"/>
  <c r="Z19" i="8"/>
  <c r="AA19" i="8"/>
  <c r="AB19" i="8"/>
  <c r="AC19" i="8"/>
  <c r="AD19" i="8"/>
  <c r="AE19" i="8"/>
  <c r="AF19" i="8"/>
  <c r="AG19" i="8"/>
  <c r="Z20" i="8"/>
  <c r="AA20" i="8"/>
  <c r="AB20" i="8"/>
  <c r="AC20" i="8"/>
  <c r="AD20" i="8"/>
  <c r="AE20" i="8"/>
  <c r="AF20" i="8"/>
  <c r="AG20" i="8"/>
  <c r="Z21" i="8"/>
  <c r="AA21" i="8"/>
  <c r="AB21" i="8"/>
  <c r="AC21" i="8"/>
  <c r="AD21" i="8"/>
  <c r="AE21" i="8"/>
  <c r="AF21" i="8"/>
  <c r="AG21" i="8"/>
  <c r="Z22" i="8"/>
  <c r="AA22" i="8"/>
  <c r="AB22" i="8"/>
  <c r="AC22" i="8"/>
  <c r="AD22" i="8"/>
  <c r="AE22" i="8"/>
  <c r="AF22" i="8"/>
  <c r="AG22" i="8"/>
  <c r="Z23" i="8"/>
  <c r="AA23" i="8"/>
  <c r="AB23" i="8"/>
  <c r="AC23" i="8"/>
  <c r="AD23" i="8"/>
  <c r="AE23" i="8"/>
  <c r="AF23" i="8"/>
  <c r="AG23" i="8"/>
  <c r="Z24" i="8"/>
  <c r="AA24" i="8"/>
  <c r="AB24" i="8"/>
  <c r="AC24" i="8"/>
  <c r="AD24" i="8"/>
  <c r="AE24" i="8"/>
  <c r="AF24" i="8"/>
  <c r="AG24" i="8"/>
  <c r="Z25" i="8"/>
  <c r="AA25" i="8"/>
  <c r="AB25" i="8"/>
  <c r="AC25" i="8"/>
  <c r="AD25" i="8"/>
  <c r="AE25" i="8"/>
  <c r="AF25" i="8"/>
  <c r="AG25" i="8"/>
  <c r="Z26" i="8"/>
  <c r="AA26" i="8"/>
  <c r="AB26" i="8"/>
  <c r="AC26" i="8"/>
  <c r="AD26" i="8"/>
  <c r="AE26" i="8"/>
  <c r="AF26" i="8"/>
  <c r="AG26" i="8"/>
  <c r="Z27" i="8"/>
  <c r="AA27" i="8"/>
  <c r="AB27" i="8"/>
  <c r="AC27" i="8"/>
  <c r="AD27" i="8"/>
  <c r="AE27" i="8"/>
  <c r="AF27" i="8"/>
  <c r="AG27" i="8"/>
  <c r="Z28" i="8"/>
  <c r="AA28" i="8"/>
  <c r="AB28" i="8"/>
  <c r="AC28" i="8"/>
  <c r="AD28" i="8"/>
  <c r="AE28" i="8"/>
  <c r="AF28" i="8"/>
  <c r="AG28" i="8"/>
  <c r="Z29" i="8"/>
  <c r="AA29" i="8"/>
  <c r="AB29" i="8"/>
  <c r="AC29" i="8"/>
  <c r="AD29" i="8"/>
  <c r="AE29" i="8"/>
  <c r="AF29" i="8"/>
  <c r="AG29" i="8"/>
  <c r="Z30" i="8"/>
  <c r="AA30" i="8"/>
  <c r="AB30" i="8"/>
  <c r="AC30" i="8"/>
  <c r="AD30" i="8"/>
  <c r="AE30" i="8"/>
  <c r="AF30" i="8"/>
  <c r="AG30" i="8"/>
  <c r="Z31" i="8"/>
  <c r="AA31" i="8"/>
  <c r="AB31" i="8"/>
  <c r="AC31" i="8"/>
  <c r="AD31" i="8"/>
  <c r="AE31" i="8"/>
  <c r="AF31" i="8"/>
  <c r="AG31" i="8"/>
  <c r="Z32" i="8"/>
  <c r="AA32" i="8"/>
  <c r="AB32" i="8"/>
  <c r="AC32" i="8"/>
  <c r="AD32" i="8"/>
  <c r="AE32" i="8"/>
  <c r="AF32" i="8"/>
  <c r="AG32" i="8"/>
  <c r="Z33" i="8"/>
  <c r="AA33" i="8"/>
  <c r="AB33" i="8"/>
  <c r="AC33" i="8"/>
  <c r="AD33" i="8"/>
  <c r="AE33" i="8"/>
  <c r="AF33" i="8"/>
  <c r="AG33" i="8"/>
  <c r="Z34" i="8"/>
  <c r="AA34" i="8"/>
  <c r="AB34" i="8"/>
  <c r="AC34" i="8"/>
  <c r="AD34" i="8"/>
  <c r="AE34" i="8"/>
  <c r="AF34" i="8"/>
  <c r="AG34" i="8"/>
  <c r="Z35" i="8"/>
  <c r="AA35" i="8"/>
  <c r="AB35" i="8"/>
  <c r="AC35" i="8"/>
  <c r="AD35" i="8"/>
  <c r="AE35" i="8"/>
  <c r="AF35" i="8"/>
  <c r="AG35" i="8"/>
  <c r="Z36" i="8"/>
  <c r="AA36" i="8"/>
  <c r="AB36" i="8"/>
  <c r="AC36" i="8"/>
  <c r="AD36" i="8"/>
  <c r="AE36" i="8"/>
  <c r="AF36" i="8"/>
  <c r="AG36" i="8"/>
  <c r="Z37" i="8"/>
  <c r="AA37" i="8"/>
  <c r="AB37" i="8"/>
  <c r="AC37" i="8"/>
  <c r="AD37" i="8"/>
  <c r="AE37" i="8"/>
  <c r="AF37" i="8"/>
  <c r="AG37" i="8"/>
  <c r="Z38" i="8"/>
  <c r="AA38" i="8"/>
  <c r="AB38" i="8"/>
  <c r="AC38" i="8"/>
  <c r="AD38" i="8"/>
  <c r="AE38" i="8"/>
  <c r="AF38" i="8"/>
  <c r="AG38" i="8"/>
  <c r="Z39" i="8"/>
  <c r="AA39" i="8"/>
  <c r="AB39" i="8"/>
  <c r="AC39" i="8"/>
  <c r="AD39" i="8"/>
  <c r="AE39" i="8"/>
  <c r="AF39" i="8"/>
  <c r="AG39" i="8"/>
  <c r="Z40" i="8"/>
  <c r="AA40" i="8"/>
  <c r="AB40" i="8"/>
  <c r="AC40" i="8"/>
  <c r="AD40" i="8"/>
  <c r="AE40" i="8"/>
  <c r="AF40" i="8"/>
  <c r="AG40" i="8"/>
  <c r="Z41" i="8"/>
  <c r="AA41" i="8"/>
  <c r="AB41" i="8"/>
  <c r="AC41" i="8"/>
  <c r="AD41" i="8"/>
  <c r="AE41" i="8"/>
  <c r="AF41" i="8"/>
  <c r="AG41" i="8"/>
  <c r="Z42" i="8"/>
  <c r="AA42" i="8"/>
  <c r="AB42" i="8"/>
  <c r="AC42" i="8"/>
  <c r="AD42" i="8"/>
  <c r="AE42" i="8"/>
  <c r="AF42" i="8"/>
  <c r="AG42" i="8"/>
  <c r="Z43" i="8"/>
  <c r="AA43" i="8"/>
  <c r="AB43" i="8"/>
  <c r="AC43" i="8"/>
  <c r="AD43" i="8"/>
  <c r="AE43" i="8"/>
  <c r="AF43" i="8"/>
  <c r="AG43" i="8"/>
  <c r="Z44" i="8"/>
  <c r="AA44" i="8"/>
  <c r="AB44" i="8"/>
  <c r="AC44" i="8"/>
  <c r="AD44" i="8"/>
  <c r="AE44" i="8"/>
  <c r="AF44" i="8"/>
  <c r="AG44" i="8"/>
  <c r="Z45" i="8"/>
  <c r="AA45" i="8"/>
  <c r="AB45" i="8"/>
  <c r="AC45" i="8"/>
  <c r="AD45" i="8"/>
  <c r="AE45" i="8"/>
  <c r="AF45" i="8"/>
  <c r="AG45" i="8"/>
  <c r="Z46" i="8"/>
  <c r="AA46" i="8"/>
  <c r="AB46" i="8"/>
  <c r="AC46" i="8"/>
  <c r="AD46" i="8"/>
  <c r="AE46" i="8"/>
  <c r="AF46" i="8"/>
  <c r="AG46" i="8"/>
  <c r="Z47" i="8"/>
  <c r="AA47" i="8"/>
  <c r="AB47" i="8"/>
  <c r="AC47" i="8"/>
  <c r="AD47" i="8"/>
  <c r="AE47" i="8"/>
  <c r="AF47" i="8"/>
  <c r="AG47" i="8"/>
  <c r="R5" i="8"/>
  <c r="S5" i="8"/>
  <c r="T5" i="8"/>
  <c r="U5" i="8"/>
  <c r="V5" i="8"/>
  <c r="W5" i="8"/>
  <c r="X5" i="8"/>
  <c r="Y5" i="8"/>
  <c r="R6" i="8"/>
  <c r="S6" i="8"/>
  <c r="T6" i="8"/>
  <c r="U6" i="8"/>
  <c r="V6" i="8"/>
  <c r="W6" i="8"/>
  <c r="X6" i="8"/>
  <c r="Y6" i="8"/>
  <c r="R7" i="8"/>
  <c r="S7" i="8"/>
  <c r="T7" i="8"/>
  <c r="U7" i="8"/>
  <c r="V7" i="8"/>
  <c r="W7" i="8"/>
  <c r="X7" i="8"/>
  <c r="Y7" i="8"/>
  <c r="R8" i="8"/>
  <c r="S8" i="8"/>
  <c r="T8" i="8"/>
  <c r="U8" i="8"/>
  <c r="V8" i="8"/>
  <c r="W8" i="8"/>
  <c r="X8" i="8"/>
  <c r="Y8" i="8"/>
  <c r="R9" i="8"/>
  <c r="S9" i="8"/>
  <c r="T9" i="8"/>
  <c r="U9" i="8"/>
  <c r="V9" i="8"/>
  <c r="W9" i="8"/>
  <c r="X9" i="8"/>
  <c r="Y9" i="8"/>
  <c r="R10" i="8"/>
  <c r="S10" i="8"/>
  <c r="T10" i="8"/>
  <c r="U10" i="8"/>
  <c r="V10" i="8"/>
  <c r="W10" i="8"/>
  <c r="X10" i="8"/>
  <c r="Y10" i="8"/>
  <c r="R11" i="8"/>
  <c r="S11" i="8"/>
  <c r="T11" i="8"/>
  <c r="U11" i="8"/>
  <c r="V11" i="8"/>
  <c r="W11" i="8"/>
  <c r="X11" i="8"/>
  <c r="Y11" i="8"/>
  <c r="R12" i="8"/>
  <c r="S12" i="8"/>
  <c r="T12" i="8"/>
  <c r="U12" i="8"/>
  <c r="V12" i="8"/>
  <c r="W12" i="8"/>
  <c r="X12" i="8"/>
  <c r="Y12" i="8"/>
  <c r="R13" i="8"/>
  <c r="S13" i="8"/>
  <c r="T13" i="8"/>
  <c r="U13" i="8"/>
  <c r="V13" i="8"/>
  <c r="W13" i="8"/>
  <c r="X13" i="8"/>
  <c r="Y13" i="8"/>
  <c r="R14" i="8"/>
  <c r="S14" i="8"/>
  <c r="T14" i="8"/>
  <c r="U14" i="8"/>
  <c r="V14" i="8"/>
  <c r="W14" i="8"/>
  <c r="X14" i="8"/>
  <c r="Y14" i="8"/>
  <c r="R15" i="8"/>
  <c r="S15" i="8"/>
  <c r="T15" i="8"/>
  <c r="U15" i="8"/>
  <c r="V15" i="8"/>
  <c r="W15" i="8"/>
  <c r="X15" i="8"/>
  <c r="Y15" i="8"/>
  <c r="R16" i="8"/>
  <c r="S16" i="8"/>
  <c r="T16" i="8"/>
  <c r="U16" i="8"/>
  <c r="V16" i="8"/>
  <c r="W16" i="8"/>
  <c r="X16" i="8"/>
  <c r="Y16" i="8"/>
  <c r="R17" i="8"/>
  <c r="S17" i="8"/>
  <c r="T17" i="8"/>
  <c r="U17" i="8"/>
  <c r="V17" i="8"/>
  <c r="W17" i="8"/>
  <c r="X17" i="8"/>
  <c r="Y17" i="8"/>
  <c r="R18" i="8"/>
  <c r="S18" i="8"/>
  <c r="T18" i="8"/>
  <c r="U18" i="8"/>
  <c r="V18" i="8"/>
  <c r="W18" i="8"/>
  <c r="X18" i="8"/>
  <c r="Y18" i="8"/>
  <c r="R19" i="8"/>
  <c r="S19" i="8"/>
  <c r="T19" i="8"/>
  <c r="U19" i="8"/>
  <c r="V19" i="8"/>
  <c r="W19" i="8"/>
  <c r="X19" i="8"/>
  <c r="Y19" i="8"/>
  <c r="R20" i="8"/>
  <c r="S20" i="8"/>
  <c r="T20" i="8"/>
  <c r="U20" i="8"/>
  <c r="V20" i="8"/>
  <c r="W20" i="8"/>
  <c r="X20" i="8"/>
  <c r="Y20" i="8"/>
  <c r="R21" i="8"/>
  <c r="S21" i="8"/>
  <c r="T21" i="8"/>
  <c r="U21" i="8"/>
  <c r="V21" i="8"/>
  <c r="W21" i="8"/>
  <c r="X21" i="8"/>
  <c r="Y21" i="8"/>
  <c r="R22" i="8"/>
  <c r="S22" i="8"/>
  <c r="T22" i="8"/>
  <c r="U22" i="8"/>
  <c r="V22" i="8"/>
  <c r="W22" i="8"/>
  <c r="X22" i="8"/>
  <c r="Y22" i="8"/>
  <c r="R23" i="8"/>
  <c r="S23" i="8"/>
  <c r="T23" i="8"/>
  <c r="U23" i="8"/>
  <c r="V23" i="8"/>
  <c r="W23" i="8"/>
  <c r="X23" i="8"/>
  <c r="Y23" i="8"/>
  <c r="R24" i="8"/>
  <c r="S24" i="8"/>
  <c r="T24" i="8"/>
  <c r="U24" i="8"/>
  <c r="V24" i="8"/>
  <c r="W24" i="8"/>
  <c r="X24" i="8"/>
  <c r="Y24" i="8"/>
  <c r="R25" i="8"/>
  <c r="S25" i="8"/>
  <c r="T25" i="8"/>
  <c r="U25" i="8"/>
  <c r="V25" i="8"/>
  <c r="W25" i="8"/>
  <c r="X25" i="8"/>
  <c r="Y25" i="8"/>
  <c r="R26" i="8"/>
  <c r="S26" i="8"/>
  <c r="T26" i="8"/>
  <c r="U26" i="8"/>
  <c r="V26" i="8"/>
  <c r="W26" i="8"/>
  <c r="X26" i="8"/>
  <c r="Y26" i="8"/>
  <c r="R27" i="8"/>
  <c r="S27" i="8"/>
  <c r="T27" i="8"/>
  <c r="U27" i="8"/>
  <c r="V27" i="8"/>
  <c r="W27" i="8"/>
  <c r="X27" i="8"/>
  <c r="Y27" i="8"/>
  <c r="R28" i="8"/>
  <c r="S28" i="8"/>
  <c r="T28" i="8"/>
  <c r="U28" i="8"/>
  <c r="V28" i="8"/>
  <c r="W28" i="8"/>
  <c r="X28" i="8"/>
  <c r="Y28" i="8"/>
  <c r="R29" i="8"/>
  <c r="S29" i="8"/>
  <c r="T29" i="8"/>
  <c r="U29" i="8"/>
  <c r="V29" i="8"/>
  <c r="W29" i="8"/>
  <c r="X29" i="8"/>
  <c r="Y29" i="8"/>
  <c r="R30" i="8"/>
  <c r="S30" i="8"/>
  <c r="T30" i="8"/>
  <c r="U30" i="8"/>
  <c r="V30" i="8"/>
  <c r="W30" i="8"/>
  <c r="X30" i="8"/>
  <c r="Y30" i="8"/>
  <c r="R31" i="8"/>
  <c r="S31" i="8"/>
  <c r="T31" i="8"/>
  <c r="U31" i="8"/>
  <c r="V31" i="8"/>
  <c r="W31" i="8"/>
  <c r="X31" i="8"/>
  <c r="Y31" i="8"/>
  <c r="R32" i="8"/>
  <c r="S32" i="8"/>
  <c r="T32" i="8"/>
  <c r="U32" i="8"/>
  <c r="V32" i="8"/>
  <c r="W32" i="8"/>
  <c r="X32" i="8"/>
  <c r="Y32" i="8"/>
  <c r="R33" i="8"/>
  <c r="S33" i="8"/>
  <c r="T33" i="8"/>
  <c r="U33" i="8"/>
  <c r="V33" i="8"/>
  <c r="W33" i="8"/>
  <c r="X33" i="8"/>
  <c r="Y33" i="8"/>
  <c r="R34" i="8"/>
  <c r="S34" i="8"/>
  <c r="T34" i="8"/>
  <c r="U34" i="8"/>
  <c r="V34" i="8"/>
  <c r="W34" i="8"/>
  <c r="X34" i="8"/>
  <c r="Y34" i="8"/>
  <c r="R35" i="8"/>
  <c r="S35" i="8"/>
  <c r="T35" i="8"/>
  <c r="U35" i="8"/>
  <c r="V35" i="8"/>
  <c r="W35" i="8"/>
  <c r="X35" i="8"/>
  <c r="Y35" i="8"/>
  <c r="R36" i="8"/>
  <c r="S36" i="8"/>
  <c r="T36" i="8"/>
  <c r="U36" i="8"/>
  <c r="V36" i="8"/>
  <c r="W36" i="8"/>
  <c r="X36" i="8"/>
  <c r="Y36" i="8"/>
  <c r="R37" i="8"/>
  <c r="S37" i="8"/>
  <c r="T37" i="8"/>
  <c r="U37" i="8"/>
  <c r="V37" i="8"/>
  <c r="W37" i="8"/>
  <c r="X37" i="8"/>
  <c r="Y37" i="8"/>
  <c r="R38" i="8"/>
  <c r="S38" i="8"/>
  <c r="T38" i="8"/>
  <c r="U38" i="8"/>
  <c r="V38" i="8"/>
  <c r="W38" i="8"/>
  <c r="X38" i="8"/>
  <c r="Y38" i="8"/>
  <c r="R39" i="8"/>
  <c r="S39" i="8"/>
  <c r="T39" i="8"/>
  <c r="U39" i="8"/>
  <c r="V39" i="8"/>
  <c r="W39" i="8"/>
  <c r="X39" i="8"/>
  <c r="Y39" i="8"/>
  <c r="R40" i="8"/>
  <c r="S40" i="8"/>
  <c r="T40" i="8"/>
  <c r="U40" i="8"/>
  <c r="V40" i="8"/>
  <c r="W40" i="8"/>
  <c r="X40" i="8"/>
  <c r="Y40" i="8"/>
  <c r="R41" i="8"/>
  <c r="S41" i="8"/>
  <c r="T41" i="8"/>
  <c r="U41" i="8"/>
  <c r="V41" i="8"/>
  <c r="W41" i="8"/>
  <c r="X41" i="8"/>
  <c r="Y41" i="8"/>
  <c r="R42" i="8"/>
  <c r="S42" i="8"/>
  <c r="T42" i="8"/>
  <c r="U42" i="8"/>
  <c r="V42" i="8"/>
  <c r="W42" i="8"/>
  <c r="X42" i="8"/>
  <c r="Y42" i="8"/>
  <c r="R43" i="8"/>
  <c r="S43" i="8"/>
  <c r="T43" i="8"/>
  <c r="U43" i="8"/>
  <c r="V43" i="8"/>
  <c r="W43" i="8"/>
  <c r="X43" i="8"/>
  <c r="Y43" i="8"/>
  <c r="R44" i="8"/>
  <c r="S44" i="8"/>
  <c r="T44" i="8"/>
  <c r="U44" i="8"/>
  <c r="V44" i="8"/>
  <c r="W44" i="8"/>
  <c r="X44" i="8"/>
  <c r="Y44" i="8"/>
  <c r="R45" i="8"/>
  <c r="S45" i="8"/>
  <c r="T45" i="8"/>
  <c r="U45" i="8"/>
  <c r="V45" i="8"/>
  <c r="W45" i="8"/>
  <c r="X45" i="8"/>
  <c r="Y45" i="8"/>
  <c r="R46" i="8"/>
  <c r="S46" i="8"/>
  <c r="T46" i="8"/>
  <c r="U46" i="8"/>
  <c r="V46" i="8"/>
  <c r="W46" i="8"/>
  <c r="X46" i="8"/>
  <c r="Y46" i="8"/>
  <c r="R47" i="8"/>
  <c r="S47" i="8"/>
  <c r="T47" i="8"/>
  <c r="U47" i="8"/>
  <c r="V47" i="8"/>
  <c r="W47" i="8"/>
  <c r="X47" i="8"/>
  <c r="Y47" i="8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Z5" i="7"/>
  <c r="AA5" i="7"/>
  <c r="AB5" i="7"/>
  <c r="AC5" i="7"/>
  <c r="AD5" i="7"/>
  <c r="AE5" i="7"/>
  <c r="AF5" i="7"/>
  <c r="AG5" i="7"/>
  <c r="Z6" i="7"/>
  <c r="AA6" i="7"/>
  <c r="AB6" i="7"/>
  <c r="AC6" i="7"/>
  <c r="AD6" i="7"/>
  <c r="AE6" i="7"/>
  <c r="AF6" i="7"/>
  <c r="AG6" i="7"/>
  <c r="Z7" i="7"/>
  <c r="AA7" i="7"/>
  <c r="AB7" i="7"/>
  <c r="AC7" i="7"/>
  <c r="AD7" i="7"/>
  <c r="AE7" i="7"/>
  <c r="AF7" i="7"/>
  <c r="AG7" i="7"/>
  <c r="Z8" i="7"/>
  <c r="AA8" i="7"/>
  <c r="AB8" i="7"/>
  <c r="AC8" i="7"/>
  <c r="AD8" i="7"/>
  <c r="AE8" i="7"/>
  <c r="AF8" i="7"/>
  <c r="AG8" i="7"/>
  <c r="Z9" i="7"/>
  <c r="AA9" i="7"/>
  <c r="AB9" i="7"/>
  <c r="AC9" i="7"/>
  <c r="AD9" i="7"/>
  <c r="AE9" i="7"/>
  <c r="AF9" i="7"/>
  <c r="AG9" i="7"/>
  <c r="Z10" i="7"/>
  <c r="AA10" i="7"/>
  <c r="AB10" i="7"/>
  <c r="AC10" i="7"/>
  <c r="AD10" i="7"/>
  <c r="AE10" i="7"/>
  <c r="AF10" i="7"/>
  <c r="AG10" i="7"/>
  <c r="Z11" i="7"/>
  <c r="AA11" i="7"/>
  <c r="AB11" i="7"/>
  <c r="AC11" i="7"/>
  <c r="AD11" i="7"/>
  <c r="AE11" i="7"/>
  <c r="AF11" i="7"/>
  <c r="AG11" i="7"/>
  <c r="Z12" i="7"/>
  <c r="AA12" i="7"/>
  <c r="AB12" i="7"/>
  <c r="AC12" i="7"/>
  <c r="AD12" i="7"/>
  <c r="AE12" i="7"/>
  <c r="AF12" i="7"/>
  <c r="AG12" i="7"/>
  <c r="Z13" i="7"/>
  <c r="AA13" i="7"/>
  <c r="AB13" i="7"/>
  <c r="AC13" i="7"/>
  <c r="AD13" i="7"/>
  <c r="AE13" i="7"/>
  <c r="AF13" i="7"/>
  <c r="AG13" i="7"/>
  <c r="Z14" i="7"/>
  <c r="AA14" i="7"/>
  <c r="AB14" i="7"/>
  <c r="AC14" i="7"/>
  <c r="AD14" i="7"/>
  <c r="AE14" i="7"/>
  <c r="AF14" i="7"/>
  <c r="AG14" i="7"/>
  <c r="Z15" i="7"/>
  <c r="AA15" i="7"/>
  <c r="AB15" i="7"/>
  <c r="AC15" i="7"/>
  <c r="AD15" i="7"/>
  <c r="AE15" i="7"/>
  <c r="AF15" i="7"/>
  <c r="AG15" i="7"/>
  <c r="Z16" i="7"/>
  <c r="AA16" i="7"/>
  <c r="AB16" i="7"/>
  <c r="AC16" i="7"/>
  <c r="AD16" i="7"/>
  <c r="AE16" i="7"/>
  <c r="AF16" i="7"/>
  <c r="AG16" i="7"/>
  <c r="Z17" i="7"/>
  <c r="AA17" i="7"/>
  <c r="AB17" i="7"/>
  <c r="AC17" i="7"/>
  <c r="AD17" i="7"/>
  <c r="AE17" i="7"/>
  <c r="AF17" i="7"/>
  <c r="AG17" i="7"/>
  <c r="Z18" i="7"/>
  <c r="AA18" i="7"/>
  <c r="AB18" i="7"/>
  <c r="AC18" i="7"/>
  <c r="AD18" i="7"/>
  <c r="AE18" i="7"/>
  <c r="AF18" i="7"/>
  <c r="AG18" i="7"/>
  <c r="Z19" i="7"/>
  <c r="AA19" i="7"/>
  <c r="AB19" i="7"/>
  <c r="AC19" i="7"/>
  <c r="AD19" i="7"/>
  <c r="AE19" i="7"/>
  <c r="AF19" i="7"/>
  <c r="AG19" i="7"/>
  <c r="Z20" i="7"/>
  <c r="AA20" i="7"/>
  <c r="AB20" i="7"/>
  <c r="AC20" i="7"/>
  <c r="AD20" i="7"/>
  <c r="AE20" i="7"/>
  <c r="AF20" i="7"/>
  <c r="AG20" i="7"/>
  <c r="Z21" i="7"/>
  <c r="AA21" i="7"/>
  <c r="AB21" i="7"/>
  <c r="AC21" i="7"/>
  <c r="AD21" i="7"/>
  <c r="AE21" i="7"/>
  <c r="AF21" i="7"/>
  <c r="AG21" i="7"/>
  <c r="Z22" i="7"/>
  <c r="AA22" i="7"/>
  <c r="AB22" i="7"/>
  <c r="AC22" i="7"/>
  <c r="AD22" i="7"/>
  <c r="AE22" i="7"/>
  <c r="AF22" i="7"/>
  <c r="AG22" i="7"/>
  <c r="Z23" i="7"/>
  <c r="AA23" i="7"/>
  <c r="AB23" i="7"/>
  <c r="AC23" i="7"/>
  <c r="AD23" i="7"/>
  <c r="AE23" i="7"/>
  <c r="AF23" i="7"/>
  <c r="AG23" i="7"/>
  <c r="Z24" i="7"/>
  <c r="AA24" i="7"/>
  <c r="AB24" i="7"/>
  <c r="AC24" i="7"/>
  <c r="AD24" i="7"/>
  <c r="AE24" i="7"/>
  <c r="AF24" i="7"/>
  <c r="AG24" i="7"/>
  <c r="Z25" i="7"/>
  <c r="AA25" i="7"/>
  <c r="AB25" i="7"/>
  <c r="AC25" i="7"/>
  <c r="AD25" i="7"/>
  <c r="AE25" i="7"/>
  <c r="AF25" i="7"/>
  <c r="AG25" i="7"/>
  <c r="Z26" i="7"/>
  <c r="AA26" i="7"/>
  <c r="AB26" i="7"/>
  <c r="AC26" i="7"/>
  <c r="AD26" i="7"/>
  <c r="AE26" i="7"/>
  <c r="AF26" i="7"/>
  <c r="AG26" i="7"/>
  <c r="Z27" i="7"/>
  <c r="AA27" i="7"/>
  <c r="AB27" i="7"/>
  <c r="AC27" i="7"/>
  <c r="AD27" i="7"/>
  <c r="AE27" i="7"/>
  <c r="AF27" i="7"/>
  <c r="AG27" i="7"/>
  <c r="Z28" i="7"/>
  <c r="AA28" i="7"/>
  <c r="AB28" i="7"/>
  <c r="AC28" i="7"/>
  <c r="AD28" i="7"/>
  <c r="AE28" i="7"/>
  <c r="AF28" i="7"/>
  <c r="AG28" i="7"/>
  <c r="Z29" i="7"/>
  <c r="AA29" i="7"/>
  <c r="AB29" i="7"/>
  <c r="AC29" i="7"/>
  <c r="AD29" i="7"/>
  <c r="AE29" i="7"/>
  <c r="AF29" i="7"/>
  <c r="AG29" i="7"/>
  <c r="Z30" i="7"/>
  <c r="AA30" i="7"/>
  <c r="AB30" i="7"/>
  <c r="AC30" i="7"/>
  <c r="AD30" i="7"/>
  <c r="AE30" i="7"/>
  <c r="AF30" i="7"/>
  <c r="AG30" i="7"/>
  <c r="Z31" i="7"/>
  <c r="AA31" i="7"/>
  <c r="AB31" i="7"/>
  <c r="AC31" i="7"/>
  <c r="AD31" i="7"/>
  <c r="AE31" i="7"/>
  <c r="AF31" i="7"/>
  <c r="AG31" i="7"/>
  <c r="Z32" i="7"/>
  <c r="AA32" i="7"/>
  <c r="AB32" i="7"/>
  <c r="AC32" i="7"/>
  <c r="AD32" i="7"/>
  <c r="AE32" i="7"/>
  <c r="AF32" i="7"/>
  <c r="AG32" i="7"/>
  <c r="Z33" i="7"/>
  <c r="AA33" i="7"/>
  <c r="AB33" i="7"/>
  <c r="AC33" i="7"/>
  <c r="AD33" i="7"/>
  <c r="AE33" i="7"/>
  <c r="AF33" i="7"/>
  <c r="AG33" i="7"/>
  <c r="Z34" i="7"/>
  <c r="AA34" i="7"/>
  <c r="AB34" i="7"/>
  <c r="AC34" i="7"/>
  <c r="AD34" i="7"/>
  <c r="AE34" i="7"/>
  <c r="AF34" i="7"/>
  <c r="AG34" i="7"/>
  <c r="Z35" i="7"/>
  <c r="AA35" i="7"/>
  <c r="AB35" i="7"/>
  <c r="AC35" i="7"/>
  <c r="AD35" i="7"/>
  <c r="AE35" i="7"/>
  <c r="AF35" i="7"/>
  <c r="AG35" i="7"/>
  <c r="Z36" i="7"/>
  <c r="AA36" i="7"/>
  <c r="AB36" i="7"/>
  <c r="AC36" i="7"/>
  <c r="AD36" i="7"/>
  <c r="AE36" i="7"/>
  <c r="AF36" i="7"/>
  <c r="AG36" i="7"/>
  <c r="Z37" i="7"/>
  <c r="AA37" i="7"/>
  <c r="AB37" i="7"/>
  <c r="AC37" i="7"/>
  <c r="AD37" i="7"/>
  <c r="AE37" i="7"/>
  <c r="AF37" i="7"/>
  <c r="AG37" i="7"/>
  <c r="Z38" i="7"/>
  <c r="AA38" i="7"/>
  <c r="AB38" i="7"/>
  <c r="AC38" i="7"/>
  <c r="AD38" i="7"/>
  <c r="AE38" i="7"/>
  <c r="AF38" i="7"/>
  <c r="AG38" i="7"/>
  <c r="Z39" i="7"/>
  <c r="AA39" i="7"/>
  <c r="AB39" i="7"/>
  <c r="AC39" i="7"/>
  <c r="AD39" i="7"/>
  <c r="AE39" i="7"/>
  <c r="AF39" i="7"/>
  <c r="AG39" i="7"/>
  <c r="Z40" i="7"/>
  <c r="AA40" i="7"/>
  <c r="AB40" i="7"/>
  <c r="AC40" i="7"/>
  <c r="AD40" i="7"/>
  <c r="AE40" i="7"/>
  <c r="AF40" i="7"/>
  <c r="AG40" i="7"/>
  <c r="Z41" i="7"/>
  <c r="AA41" i="7"/>
  <c r="AB41" i="7"/>
  <c r="AC41" i="7"/>
  <c r="AD41" i="7"/>
  <c r="AE41" i="7"/>
  <c r="AF41" i="7"/>
  <c r="AG41" i="7"/>
  <c r="Z42" i="7"/>
  <c r="AA42" i="7"/>
  <c r="AB42" i="7"/>
  <c r="AC42" i="7"/>
  <c r="AD42" i="7"/>
  <c r="AE42" i="7"/>
  <c r="AF42" i="7"/>
  <c r="AG42" i="7"/>
  <c r="Z43" i="7"/>
  <c r="AA43" i="7"/>
  <c r="AB43" i="7"/>
  <c r="AC43" i="7"/>
  <c r="AD43" i="7"/>
  <c r="AE43" i="7"/>
  <c r="AF43" i="7"/>
  <c r="AG43" i="7"/>
  <c r="Z44" i="7"/>
  <c r="AA44" i="7"/>
  <c r="AB44" i="7"/>
  <c r="AC44" i="7"/>
  <c r="AD44" i="7"/>
  <c r="AE44" i="7"/>
  <c r="AF44" i="7"/>
  <c r="AG44" i="7"/>
  <c r="Z45" i="7"/>
  <c r="AA45" i="7"/>
  <c r="AB45" i="7"/>
  <c r="AC45" i="7"/>
  <c r="AD45" i="7"/>
  <c r="AE45" i="7"/>
  <c r="AF45" i="7"/>
  <c r="AG45" i="7"/>
  <c r="Z46" i="7"/>
  <c r="AA46" i="7"/>
  <c r="AB46" i="7"/>
  <c r="AC46" i="7"/>
  <c r="AD46" i="7"/>
  <c r="AE46" i="7"/>
  <c r="AF46" i="7"/>
  <c r="AG46" i="7"/>
  <c r="Z47" i="7"/>
  <c r="AA47" i="7"/>
  <c r="AB47" i="7"/>
  <c r="AC47" i="7"/>
  <c r="AD47" i="7"/>
  <c r="AE47" i="7"/>
  <c r="AF47" i="7"/>
  <c r="AG47" i="7"/>
  <c r="R5" i="7"/>
  <c r="S5" i="7"/>
  <c r="T5" i="7"/>
  <c r="U5" i="7"/>
  <c r="V5" i="7"/>
  <c r="W5" i="7"/>
  <c r="X5" i="7"/>
  <c r="Y5" i="7"/>
  <c r="R6" i="7"/>
  <c r="S6" i="7"/>
  <c r="T6" i="7"/>
  <c r="U6" i="7"/>
  <c r="V6" i="7"/>
  <c r="W6" i="7"/>
  <c r="X6" i="7"/>
  <c r="Y6" i="7"/>
  <c r="R7" i="7"/>
  <c r="S7" i="7"/>
  <c r="T7" i="7"/>
  <c r="U7" i="7"/>
  <c r="V7" i="7"/>
  <c r="W7" i="7"/>
  <c r="X7" i="7"/>
  <c r="Y7" i="7"/>
  <c r="R8" i="7"/>
  <c r="S8" i="7"/>
  <c r="T8" i="7"/>
  <c r="U8" i="7"/>
  <c r="V8" i="7"/>
  <c r="W8" i="7"/>
  <c r="X8" i="7"/>
  <c r="Y8" i="7"/>
  <c r="R9" i="7"/>
  <c r="S9" i="7"/>
  <c r="T9" i="7"/>
  <c r="U9" i="7"/>
  <c r="V9" i="7"/>
  <c r="W9" i="7"/>
  <c r="X9" i="7"/>
  <c r="Y9" i="7"/>
  <c r="R10" i="7"/>
  <c r="S10" i="7"/>
  <c r="T10" i="7"/>
  <c r="U10" i="7"/>
  <c r="V10" i="7"/>
  <c r="W10" i="7"/>
  <c r="X10" i="7"/>
  <c r="Y10" i="7"/>
  <c r="R11" i="7"/>
  <c r="S11" i="7"/>
  <c r="T11" i="7"/>
  <c r="U11" i="7"/>
  <c r="V11" i="7"/>
  <c r="W11" i="7"/>
  <c r="X11" i="7"/>
  <c r="Y11" i="7"/>
  <c r="R12" i="7"/>
  <c r="S12" i="7"/>
  <c r="T12" i="7"/>
  <c r="U12" i="7"/>
  <c r="V12" i="7"/>
  <c r="W12" i="7"/>
  <c r="X12" i="7"/>
  <c r="Y12" i="7"/>
  <c r="R13" i="7"/>
  <c r="S13" i="7"/>
  <c r="T13" i="7"/>
  <c r="U13" i="7"/>
  <c r="V13" i="7"/>
  <c r="W13" i="7"/>
  <c r="X13" i="7"/>
  <c r="Y13" i="7"/>
  <c r="R14" i="7"/>
  <c r="S14" i="7"/>
  <c r="T14" i="7"/>
  <c r="U14" i="7"/>
  <c r="V14" i="7"/>
  <c r="W14" i="7"/>
  <c r="X14" i="7"/>
  <c r="Y14" i="7"/>
  <c r="R15" i="7"/>
  <c r="S15" i="7"/>
  <c r="T15" i="7"/>
  <c r="U15" i="7"/>
  <c r="V15" i="7"/>
  <c r="W15" i="7"/>
  <c r="X15" i="7"/>
  <c r="Y15" i="7"/>
  <c r="R16" i="7"/>
  <c r="S16" i="7"/>
  <c r="T16" i="7"/>
  <c r="U16" i="7"/>
  <c r="V16" i="7"/>
  <c r="W16" i="7"/>
  <c r="X16" i="7"/>
  <c r="Y16" i="7"/>
  <c r="R17" i="7"/>
  <c r="S17" i="7"/>
  <c r="T17" i="7"/>
  <c r="U17" i="7"/>
  <c r="V17" i="7"/>
  <c r="W17" i="7"/>
  <c r="X17" i="7"/>
  <c r="Y17" i="7"/>
  <c r="R18" i="7"/>
  <c r="S18" i="7"/>
  <c r="T18" i="7"/>
  <c r="U18" i="7"/>
  <c r="V18" i="7"/>
  <c r="W18" i="7"/>
  <c r="X18" i="7"/>
  <c r="Y18" i="7"/>
  <c r="R19" i="7"/>
  <c r="S19" i="7"/>
  <c r="T19" i="7"/>
  <c r="U19" i="7"/>
  <c r="V19" i="7"/>
  <c r="W19" i="7"/>
  <c r="X19" i="7"/>
  <c r="Y19" i="7"/>
  <c r="R20" i="7"/>
  <c r="S20" i="7"/>
  <c r="T20" i="7"/>
  <c r="U20" i="7"/>
  <c r="V20" i="7"/>
  <c r="W20" i="7"/>
  <c r="X20" i="7"/>
  <c r="Y20" i="7"/>
  <c r="R21" i="7"/>
  <c r="S21" i="7"/>
  <c r="T21" i="7"/>
  <c r="U21" i="7"/>
  <c r="V21" i="7"/>
  <c r="W21" i="7"/>
  <c r="X21" i="7"/>
  <c r="Y21" i="7"/>
  <c r="R22" i="7"/>
  <c r="S22" i="7"/>
  <c r="T22" i="7"/>
  <c r="U22" i="7"/>
  <c r="V22" i="7"/>
  <c r="W22" i="7"/>
  <c r="X22" i="7"/>
  <c r="Y22" i="7"/>
  <c r="R23" i="7"/>
  <c r="S23" i="7"/>
  <c r="T23" i="7"/>
  <c r="U23" i="7"/>
  <c r="V23" i="7"/>
  <c r="W23" i="7"/>
  <c r="X23" i="7"/>
  <c r="Y23" i="7"/>
  <c r="R24" i="7"/>
  <c r="S24" i="7"/>
  <c r="T24" i="7"/>
  <c r="U24" i="7"/>
  <c r="V24" i="7"/>
  <c r="W24" i="7"/>
  <c r="X24" i="7"/>
  <c r="Y24" i="7"/>
  <c r="R25" i="7"/>
  <c r="S25" i="7"/>
  <c r="T25" i="7"/>
  <c r="U25" i="7"/>
  <c r="V25" i="7"/>
  <c r="W25" i="7"/>
  <c r="X25" i="7"/>
  <c r="Y25" i="7"/>
  <c r="R26" i="7"/>
  <c r="S26" i="7"/>
  <c r="T26" i="7"/>
  <c r="U26" i="7"/>
  <c r="V26" i="7"/>
  <c r="W26" i="7"/>
  <c r="X26" i="7"/>
  <c r="Y26" i="7"/>
  <c r="R27" i="7"/>
  <c r="S27" i="7"/>
  <c r="T27" i="7"/>
  <c r="U27" i="7"/>
  <c r="V27" i="7"/>
  <c r="W27" i="7"/>
  <c r="X27" i="7"/>
  <c r="Y27" i="7"/>
  <c r="R28" i="7"/>
  <c r="S28" i="7"/>
  <c r="T28" i="7"/>
  <c r="U28" i="7"/>
  <c r="V28" i="7"/>
  <c r="W28" i="7"/>
  <c r="X28" i="7"/>
  <c r="Y28" i="7"/>
  <c r="R29" i="7"/>
  <c r="S29" i="7"/>
  <c r="T29" i="7"/>
  <c r="U29" i="7"/>
  <c r="V29" i="7"/>
  <c r="W29" i="7"/>
  <c r="X29" i="7"/>
  <c r="Y29" i="7"/>
  <c r="R30" i="7"/>
  <c r="S30" i="7"/>
  <c r="T30" i="7"/>
  <c r="U30" i="7"/>
  <c r="V30" i="7"/>
  <c r="W30" i="7"/>
  <c r="X30" i="7"/>
  <c r="Y30" i="7"/>
  <c r="R31" i="7"/>
  <c r="S31" i="7"/>
  <c r="T31" i="7"/>
  <c r="U31" i="7"/>
  <c r="V31" i="7"/>
  <c r="W31" i="7"/>
  <c r="X31" i="7"/>
  <c r="Y31" i="7"/>
  <c r="R32" i="7"/>
  <c r="S32" i="7"/>
  <c r="T32" i="7"/>
  <c r="U32" i="7"/>
  <c r="V32" i="7"/>
  <c r="W32" i="7"/>
  <c r="X32" i="7"/>
  <c r="Y32" i="7"/>
  <c r="R33" i="7"/>
  <c r="S33" i="7"/>
  <c r="T33" i="7"/>
  <c r="U33" i="7"/>
  <c r="V33" i="7"/>
  <c r="W33" i="7"/>
  <c r="X33" i="7"/>
  <c r="Y33" i="7"/>
  <c r="R34" i="7"/>
  <c r="S34" i="7"/>
  <c r="T34" i="7"/>
  <c r="U34" i="7"/>
  <c r="V34" i="7"/>
  <c r="W34" i="7"/>
  <c r="X34" i="7"/>
  <c r="Y34" i="7"/>
  <c r="R35" i="7"/>
  <c r="S35" i="7"/>
  <c r="T35" i="7"/>
  <c r="U35" i="7"/>
  <c r="V35" i="7"/>
  <c r="W35" i="7"/>
  <c r="X35" i="7"/>
  <c r="Y35" i="7"/>
  <c r="R36" i="7"/>
  <c r="S36" i="7"/>
  <c r="T36" i="7"/>
  <c r="U36" i="7"/>
  <c r="V36" i="7"/>
  <c r="W36" i="7"/>
  <c r="X36" i="7"/>
  <c r="Y36" i="7"/>
  <c r="R37" i="7"/>
  <c r="S37" i="7"/>
  <c r="T37" i="7"/>
  <c r="U37" i="7"/>
  <c r="V37" i="7"/>
  <c r="W37" i="7"/>
  <c r="X37" i="7"/>
  <c r="Y37" i="7"/>
  <c r="R38" i="7"/>
  <c r="S38" i="7"/>
  <c r="T38" i="7"/>
  <c r="U38" i="7"/>
  <c r="V38" i="7"/>
  <c r="W38" i="7"/>
  <c r="X38" i="7"/>
  <c r="Y38" i="7"/>
  <c r="R39" i="7"/>
  <c r="S39" i="7"/>
  <c r="T39" i="7"/>
  <c r="U39" i="7"/>
  <c r="V39" i="7"/>
  <c r="W39" i="7"/>
  <c r="X39" i="7"/>
  <c r="Y39" i="7"/>
  <c r="R40" i="7"/>
  <c r="S40" i="7"/>
  <c r="T40" i="7"/>
  <c r="U40" i="7"/>
  <c r="V40" i="7"/>
  <c r="W40" i="7"/>
  <c r="X40" i="7"/>
  <c r="Y40" i="7"/>
  <c r="R41" i="7"/>
  <c r="S41" i="7"/>
  <c r="T41" i="7"/>
  <c r="U41" i="7"/>
  <c r="V41" i="7"/>
  <c r="W41" i="7"/>
  <c r="X41" i="7"/>
  <c r="Y41" i="7"/>
  <c r="R42" i="7"/>
  <c r="S42" i="7"/>
  <c r="T42" i="7"/>
  <c r="U42" i="7"/>
  <c r="V42" i="7"/>
  <c r="W42" i="7"/>
  <c r="X42" i="7"/>
  <c r="Y42" i="7"/>
  <c r="R43" i="7"/>
  <c r="S43" i="7"/>
  <c r="T43" i="7"/>
  <c r="U43" i="7"/>
  <c r="V43" i="7"/>
  <c r="W43" i="7"/>
  <c r="X43" i="7"/>
  <c r="Y43" i="7"/>
  <c r="R44" i="7"/>
  <c r="S44" i="7"/>
  <c r="T44" i="7"/>
  <c r="U44" i="7"/>
  <c r="V44" i="7"/>
  <c r="W44" i="7"/>
  <c r="X44" i="7"/>
  <c r="Y44" i="7"/>
  <c r="R45" i="7"/>
  <c r="S45" i="7"/>
  <c r="T45" i="7"/>
  <c r="U45" i="7"/>
  <c r="V45" i="7"/>
  <c r="W45" i="7"/>
  <c r="X45" i="7"/>
  <c r="Y45" i="7"/>
  <c r="R46" i="7"/>
  <c r="S46" i="7"/>
  <c r="T46" i="7"/>
  <c r="U46" i="7"/>
  <c r="V46" i="7"/>
  <c r="W46" i="7"/>
  <c r="X46" i="7"/>
  <c r="Y46" i="7"/>
  <c r="R47" i="7"/>
  <c r="S47" i="7"/>
  <c r="T47" i="7"/>
  <c r="U47" i="7"/>
  <c r="V47" i="7"/>
  <c r="W47" i="7"/>
  <c r="X47" i="7"/>
  <c r="Y47" i="7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Z5" i="6"/>
  <c r="AA5" i="6"/>
  <c r="AB5" i="6"/>
  <c r="AC5" i="6"/>
  <c r="AD5" i="6"/>
  <c r="AE5" i="6"/>
  <c r="AF5" i="6"/>
  <c r="AG5" i="6"/>
  <c r="Z6" i="6"/>
  <c r="AA6" i="6"/>
  <c r="AB6" i="6"/>
  <c r="AC6" i="6"/>
  <c r="AD6" i="6"/>
  <c r="AE6" i="6"/>
  <c r="AF6" i="6"/>
  <c r="AG6" i="6"/>
  <c r="Z7" i="6"/>
  <c r="AA7" i="6"/>
  <c r="AB7" i="6"/>
  <c r="AC7" i="6"/>
  <c r="AD7" i="6"/>
  <c r="AE7" i="6"/>
  <c r="AF7" i="6"/>
  <c r="AG7" i="6"/>
  <c r="Z8" i="6"/>
  <c r="AA8" i="6"/>
  <c r="AB8" i="6"/>
  <c r="AC8" i="6"/>
  <c r="AD8" i="6"/>
  <c r="AE8" i="6"/>
  <c r="AF8" i="6"/>
  <c r="AG8" i="6"/>
  <c r="Z9" i="6"/>
  <c r="AA9" i="6"/>
  <c r="AB9" i="6"/>
  <c r="AC9" i="6"/>
  <c r="AD9" i="6"/>
  <c r="AE9" i="6"/>
  <c r="AF9" i="6"/>
  <c r="AG9" i="6"/>
  <c r="Z10" i="6"/>
  <c r="AA10" i="6"/>
  <c r="AB10" i="6"/>
  <c r="AC10" i="6"/>
  <c r="AD10" i="6"/>
  <c r="AE10" i="6"/>
  <c r="AF10" i="6"/>
  <c r="AG10" i="6"/>
  <c r="Z11" i="6"/>
  <c r="AA11" i="6"/>
  <c r="AB11" i="6"/>
  <c r="AC11" i="6"/>
  <c r="AD11" i="6"/>
  <c r="AE11" i="6"/>
  <c r="AF11" i="6"/>
  <c r="AG11" i="6"/>
  <c r="Z12" i="6"/>
  <c r="AA12" i="6"/>
  <c r="AB12" i="6"/>
  <c r="AC12" i="6"/>
  <c r="AD12" i="6"/>
  <c r="AE12" i="6"/>
  <c r="AF12" i="6"/>
  <c r="AG12" i="6"/>
  <c r="Z13" i="6"/>
  <c r="AA13" i="6"/>
  <c r="AB13" i="6"/>
  <c r="AC13" i="6"/>
  <c r="AD13" i="6"/>
  <c r="AE13" i="6"/>
  <c r="AF13" i="6"/>
  <c r="AG13" i="6"/>
  <c r="Z14" i="6"/>
  <c r="AA14" i="6"/>
  <c r="AB14" i="6"/>
  <c r="AC14" i="6"/>
  <c r="AD14" i="6"/>
  <c r="AE14" i="6"/>
  <c r="AF14" i="6"/>
  <c r="AG14" i="6"/>
  <c r="Z15" i="6"/>
  <c r="AA15" i="6"/>
  <c r="AB15" i="6"/>
  <c r="AC15" i="6"/>
  <c r="AD15" i="6"/>
  <c r="AE15" i="6"/>
  <c r="AF15" i="6"/>
  <c r="AG15" i="6"/>
  <c r="Z16" i="6"/>
  <c r="AA16" i="6"/>
  <c r="AB16" i="6"/>
  <c r="AC16" i="6"/>
  <c r="AD16" i="6"/>
  <c r="AE16" i="6"/>
  <c r="AF16" i="6"/>
  <c r="AG16" i="6"/>
  <c r="Z17" i="6"/>
  <c r="AA17" i="6"/>
  <c r="AB17" i="6"/>
  <c r="AC17" i="6"/>
  <c r="AD17" i="6"/>
  <c r="AE17" i="6"/>
  <c r="AF17" i="6"/>
  <c r="AG17" i="6"/>
  <c r="Z18" i="6"/>
  <c r="AA18" i="6"/>
  <c r="AB18" i="6"/>
  <c r="AC18" i="6"/>
  <c r="AD18" i="6"/>
  <c r="AE18" i="6"/>
  <c r="AF18" i="6"/>
  <c r="AG18" i="6"/>
  <c r="Z19" i="6"/>
  <c r="AA19" i="6"/>
  <c r="AB19" i="6"/>
  <c r="AC19" i="6"/>
  <c r="AD19" i="6"/>
  <c r="AE19" i="6"/>
  <c r="AF19" i="6"/>
  <c r="AG19" i="6"/>
  <c r="Z20" i="6"/>
  <c r="AA20" i="6"/>
  <c r="AB20" i="6"/>
  <c r="AC20" i="6"/>
  <c r="AD20" i="6"/>
  <c r="AE20" i="6"/>
  <c r="AF20" i="6"/>
  <c r="AG20" i="6"/>
  <c r="Z21" i="6"/>
  <c r="AA21" i="6"/>
  <c r="AB21" i="6"/>
  <c r="AC21" i="6"/>
  <c r="AD21" i="6"/>
  <c r="AE21" i="6"/>
  <c r="AF21" i="6"/>
  <c r="AG21" i="6"/>
  <c r="Z22" i="6"/>
  <c r="AA22" i="6"/>
  <c r="AB22" i="6"/>
  <c r="AC22" i="6"/>
  <c r="AD22" i="6"/>
  <c r="AE22" i="6"/>
  <c r="AF22" i="6"/>
  <c r="AG22" i="6"/>
  <c r="Z23" i="6"/>
  <c r="AA23" i="6"/>
  <c r="AB23" i="6"/>
  <c r="AC23" i="6"/>
  <c r="AD23" i="6"/>
  <c r="AE23" i="6"/>
  <c r="AF23" i="6"/>
  <c r="AG23" i="6"/>
  <c r="Z24" i="6"/>
  <c r="AA24" i="6"/>
  <c r="AB24" i="6"/>
  <c r="AC24" i="6"/>
  <c r="AD24" i="6"/>
  <c r="AE24" i="6"/>
  <c r="AF24" i="6"/>
  <c r="AG24" i="6"/>
  <c r="Z25" i="6"/>
  <c r="AA25" i="6"/>
  <c r="AB25" i="6"/>
  <c r="AC25" i="6"/>
  <c r="AD25" i="6"/>
  <c r="AE25" i="6"/>
  <c r="AF25" i="6"/>
  <c r="AG25" i="6"/>
  <c r="Z26" i="6"/>
  <c r="AA26" i="6"/>
  <c r="AB26" i="6"/>
  <c r="AC26" i="6"/>
  <c r="AD26" i="6"/>
  <c r="AE26" i="6"/>
  <c r="AF26" i="6"/>
  <c r="AG26" i="6"/>
  <c r="Z27" i="6"/>
  <c r="AA27" i="6"/>
  <c r="AB27" i="6"/>
  <c r="AC27" i="6"/>
  <c r="AD27" i="6"/>
  <c r="AE27" i="6"/>
  <c r="AF27" i="6"/>
  <c r="AG27" i="6"/>
  <c r="Z28" i="6"/>
  <c r="AA28" i="6"/>
  <c r="AB28" i="6"/>
  <c r="AC28" i="6"/>
  <c r="AD28" i="6"/>
  <c r="AE28" i="6"/>
  <c r="AF28" i="6"/>
  <c r="AG28" i="6"/>
  <c r="Z29" i="6"/>
  <c r="AA29" i="6"/>
  <c r="AB29" i="6"/>
  <c r="AC29" i="6"/>
  <c r="AD29" i="6"/>
  <c r="AE29" i="6"/>
  <c r="AF29" i="6"/>
  <c r="AG29" i="6"/>
  <c r="Z30" i="6"/>
  <c r="AA30" i="6"/>
  <c r="AB30" i="6"/>
  <c r="AC30" i="6"/>
  <c r="AD30" i="6"/>
  <c r="AE30" i="6"/>
  <c r="AF30" i="6"/>
  <c r="AG30" i="6"/>
  <c r="Z31" i="6"/>
  <c r="AA31" i="6"/>
  <c r="AB31" i="6"/>
  <c r="AC31" i="6"/>
  <c r="AD31" i="6"/>
  <c r="AE31" i="6"/>
  <c r="AF31" i="6"/>
  <c r="AG31" i="6"/>
  <c r="Z32" i="6"/>
  <c r="AA32" i="6"/>
  <c r="AB32" i="6"/>
  <c r="AC32" i="6"/>
  <c r="AD32" i="6"/>
  <c r="AE32" i="6"/>
  <c r="AF32" i="6"/>
  <c r="AG32" i="6"/>
  <c r="Z33" i="6"/>
  <c r="AA33" i="6"/>
  <c r="AB33" i="6"/>
  <c r="AC33" i="6"/>
  <c r="AD33" i="6"/>
  <c r="AE33" i="6"/>
  <c r="AF33" i="6"/>
  <c r="AG33" i="6"/>
  <c r="Z34" i="6"/>
  <c r="AA34" i="6"/>
  <c r="AB34" i="6"/>
  <c r="AC34" i="6"/>
  <c r="AD34" i="6"/>
  <c r="AE34" i="6"/>
  <c r="AF34" i="6"/>
  <c r="AG34" i="6"/>
  <c r="Z35" i="6"/>
  <c r="AA35" i="6"/>
  <c r="AB35" i="6"/>
  <c r="AC35" i="6"/>
  <c r="AD35" i="6"/>
  <c r="AE35" i="6"/>
  <c r="AF35" i="6"/>
  <c r="AG35" i="6"/>
  <c r="Z36" i="6"/>
  <c r="AA36" i="6"/>
  <c r="AB36" i="6"/>
  <c r="AC36" i="6"/>
  <c r="AD36" i="6"/>
  <c r="AE36" i="6"/>
  <c r="AF36" i="6"/>
  <c r="AG36" i="6"/>
  <c r="Z37" i="6"/>
  <c r="AA37" i="6"/>
  <c r="AB37" i="6"/>
  <c r="AC37" i="6"/>
  <c r="AD37" i="6"/>
  <c r="AE37" i="6"/>
  <c r="AF37" i="6"/>
  <c r="AG37" i="6"/>
  <c r="Z38" i="6"/>
  <c r="AA38" i="6"/>
  <c r="AB38" i="6"/>
  <c r="AC38" i="6"/>
  <c r="AD38" i="6"/>
  <c r="AE38" i="6"/>
  <c r="AF38" i="6"/>
  <c r="AG38" i="6"/>
  <c r="Z39" i="6"/>
  <c r="AA39" i="6"/>
  <c r="AB39" i="6"/>
  <c r="AC39" i="6"/>
  <c r="AD39" i="6"/>
  <c r="AE39" i="6"/>
  <c r="AF39" i="6"/>
  <c r="AG39" i="6"/>
  <c r="Z40" i="6"/>
  <c r="AA40" i="6"/>
  <c r="AB40" i="6"/>
  <c r="AC40" i="6"/>
  <c r="AD40" i="6"/>
  <c r="AE40" i="6"/>
  <c r="AF40" i="6"/>
  <c r="AG40" i="6"/>
  <c r="Z41" i="6"/>
  <c r="AA41" i="6"/>
  <c r="AB41" i="6"/>
  <c r="AC41" i="6"/>
  <c r="AD41" i="6"/>
  <c r="AE41" i="6"/>
  <c r="AF41" i="6"/>
  <c r="AG41" i="6"/>
  <c r="Z42" i="6"/>
  <c r="AA42" i="6"/>
  <c r="AB42" i="6"/>
  <c r="AC42" i="6"/>
  <c r="AD42" i="6"/>
  <c r="AE42" i="6"/>
  <c r="AF42" i="6"/>
  <c r="AG42" i="6"/>
  <c r="Z43" i="6"/>
  <c r="AA43" i="6"/>
  <c r="AB43" i="6"/>
  <c r="AC43" i="6"/>
  <c r="AD43" i="6"/>
  <c r="AE43" i="6"/>
  <c r="AF43" i="6"/>
  <c r="AG43" i="6"/>
  <c r="Z44" i="6"/>
  <c r="AA44" i="6"/>
  <c r="AB44" i="6"/>
  <c r="AC44" i="6"/>
  <c r="AD44" i="6"/>
  <c r="AE44" i="6"/>
  <c r="AF44" i="6"/>
  <c r="AG44" i="6"/>
  <c r="Z45" i="6"/>
  <c r="AA45" i="6"/>
  <c r="AB45" i="6"/>
  <c r="AC45" i="6"/>
  <c r="AD45" i="6"/>
  <c r="AE45" i="6"/>
  <c r="AF45" i="6"/>
  <c r="AG45" i="6"/>
  <c r="Z46" i="6"/>
  <c r="AA46" i="6"/>
  <c r="AB46" i="6"/>
  <c r="AC46" i="6"/>
  <c r="AD46" i="6"/>
  <c r="AE46" i="6"/>
  <c r="AF46" i="6"/>
  <c r="AG46" i="6"/>
  <c r="Z47" i="6"/>
  <c r="AA47" i="6"/>
  <c r="AB47" i="6"/>
  <c r="AC47" i="6"/>
  <c r="AD47" i="6"/>
  <c r="AE47" i="6"/>
  <c r="AF47" i="6"/>
  <c r="AG47" i="6"/>
  <c r="R5" i="6"/>
  <c r="S5" i="6"/>
  <c r="T5" i="6"/>
  <c r="U5" i="6"/>
  <c r="V5" i="6"/>
  <c r="W5" i="6"/>
  <c r="X5" i="6"/>
  <c r="Y5" i="6"/>
  <c r="R6" i="6"/>
  <c r="S6" i="6"/>
  <c r="T6" i="6"/>
  <c r="U6" i="6"/>
  <c r="V6" i="6"/>
  <c r="W6" i="6"/>
  <c r="X6" i="6"/>
  <c r="Y6" i="6"/>
  <c r="R7" i="6"/>
  <c r="S7" i="6"/>
  <c r="T7" i="6"/>
  <c r="U7" i="6"/>
  <c r="V7" i="6"/>
  <c r="W7" i="6"/>
  <c r="X7" i="6"/>
  <c r="Y7" i="6"/>
  <c r="R8" i="6"/>
  <c r="S8" i="6"/>
  <c r="T8" i="6"/>
  <c r="U8" i="6"/>
  <c r="V8" i="6"/>
  <c r="W8" i="6"/>
  <c r="X8" i="6"/>
  <c r="Y8" i="6"/>
  <c r="R9" i="6"/>
  <c r="S9" i="6"/>
  <c r="T9" i="6"/>
  <c r="U9" i="6"/>
  <c r="V9" i="6"/>
  <c r="W9" i="6"/>
  <c r="X9" i="6"/>
  <c r="Y9" i="6"/>
  <c r="R10" i="6"/>
  <c r="S10" i="6"/>
  <c r="T10" i="6"/>
  <c r="U10" i="6"/>
  <c r="V10" i="6"/>
  <c r="W10" i="6"/>
  <c r="X10" i="6"/>
  <c r="Y10" i="6"/>
  <c r="R11" i="6"/>
  <c r="S11" i="6"/>
  <c r="T11" i="6"/>
  <c r="U11" i="6"/>
  <c r="V11" i="6"/>
  <c r="W11" i="6"/>
  <c r="X11" i="6"/>
  <c r="Y11" i="6"/>
  <c r="R12" i="6"/>
  <c r="S12" i="6"/>
  <c r="T12" i="6"/>
  <c r="U12" i="6"/>
  <c r="V12" i="6"/>
  <c r="W12" i="6"/>
  <c r="X12" i="6"/>
  <c r="Y12" i="6"/>
  <c r="R13" i="6"/>
  <c r="S13" i="6"/>
  <c r="T13" i="6"/>
  <c r="U13" i="6"/>
  <c r="V13" i="6"/>
  <c r="W13" i="6"/>
  <c r="X13" i="6"/>
  <c r="Y13" i="6"/>
  <c r="R14" i="6"/>
  <c r="S14" i="6"/>
  <c r="T14" i="6"/>
  <c r="U14" i="6"/>
  <c r="V14" i="6"/>
  <c r="W14" i="6"/>
  <c r="X14" i="6"/>
  <c r="Y14" i="6"/>
  <c r="R15" i="6"/>
  <c r="S15" i="6"/>
  <c r="T15" i="6"/>
  <c r="U15" i="6"/>
  <c r="V15" i="6"/>
  <c r="W15" i="6"/>
  <c r="X15" i="6"/>
  <c r="Y15" i="6"/>
  <c r="R16" i="6"/>
  <c r="S16" i="6"/>
  <c r="T16" i="6"/>
  <c r="U16" i="6"/>
  <c r="V16" i="6"/>
  <c r="W16" i="6"/>
  <c r="X16" i="6"/>
  <c r="Y16" i="6"/>
  <c r="R17" i="6"/>
  <c r="S17" i="6"/>
  <c r="T17" i="6"/>
  <c r="U17" i="6"/>
  <c r="V17" i="6"/>
  <c r="W17" i="6"/>
  <c r="X17" i="6"/>
  <c r="Y17" i="6"/>
  <c r="R18" i="6"/>
  <c r="S18" i="6"/>
  <c r="T18" i="6"/>
  <c r="U18" i="6"/>
  <c r="V18" i="6"/>
  <c r="W18" i="6"/>
  <c r="X18" i="6"/>
  <c r="Y18" i="6"/>
  <c r="R19" i="6"/>
  <c r="S19" i="6"/>
  <c r="T19" i="6"/>
  <c r="U19" i="6"/>
  <c r="V19" i="6"/>
  <c r="W19" i="6"/>
  <c r="X19" i="6"/>
  <c r="Y19" i="6"/>
  <c r="R20" i="6"/>
  <c r="S20" i="6"/>
  <c r="T20" i="6"/>
  <c r="U20" i="6"/>
  <c r="V20" i="6"/>
  <c r="W20" i="6"/>
  <c r="X20" i="6"/>
  <c r="Y20" i="6"/>
  <c r="R21" i="6"/>
  <c r="S21" i="6"/>
  <c r="T21" i="6"/>
  <c r="U21" i="6"/>
  <c r="V21" i="6"/>
  <c r="W21" i="6"/>
  <c r="X21" i="6"/>
  <c r="Y21" i="6"/>
  <c r="R22" i="6"/>
  <c r="S22" i="6"/>
  <c r="T22" i="6"/>
  <c r="U22" i="6"/>
  <c r="V22" i="6"/>
  <c r="W22" i="6"/>
  <c r="X22" i="6"/>
  <c r="Y22" i="6"/>
  <c r="R23" i="6"/>
  <c r="S23" i="6"/>
  <c r="T23" i="6"/>
  <c r="U23" i="6"/>
  <c r="V23" i="6"/>
  <c r="W23" i="6"/>
  <c r="X23" i="6"/>
  <c r="Y23" i="6"/>
  <c r="R24" i="6"/>
  <c r="S24" i="6"/>
  <c r="T24" i="6"/>
  <c r="U24" i="6"/>
  <c r="V24" i="6"/>
  <c r="W24" i="6"/>
  <c r="X24" i="6"/>
  <c r="Y24" i="6"/>
  <c r="R25" i="6"/>
  <c r="S25" i="6"/>
  <c r="T25" i="6"/>
  <c r="U25" i="6"/>
  <c r="V25" i="6"/>
  <c r="W25" i="6"/>
  <c r="X25" i="6"/>
  <c r="Y25" i="6"/>
  <c r="R26" i="6"/>
  <c r="S26" i="6"/>
  <c r="T26" i="6"/>
  <c r="U26" i="6"/>
  <c r="V26" i="6"/>
  <c r="W26" i="6"/>
  <c r="X26" i="6"/>
  <c r="Y26" i="6"/>
  <c r="R27" i="6"/>
  <c r="S27" i="6"/>
  <c r="T27" i="6"/>
  <c r="U27" i="6"/>
  <c r="V27" i="6"/>
  <c r="W27" i="6"/>
  <c r="X27" i="6"/>
  <c r="Y27" i="6"/>
  <c r="R28" i="6"/>
  <c r="S28" i="6"/>
  <c r="T28" i="6"/>
  <c r="U28" i="6"/>
  <c r="V28" i="6"/>
  <c r="W28" i="6"/>
  <c r="X28" i="6"/>
  <c r="Y28" i="6"/>
  <c r="R29" i="6"/>
  <c r="S29" i="6"/>
  <c r="T29" i="6"/>
  <c r="U29" i="6"/>
  <c r="V29" i="6"/>
  <c r="W29" i="6"/>
  <c r="X29" i="6"/>
  <c r="Y29" i="6"/>
  <c r="R30" i="6"/>
  <c r="S30" i="6"/>
  <c r="T30" i="6"/>
  <c r="U30" i="6"/>
  <c r="V30" i="6"/>
  <c r="W30" i="6"/>
  <c r="X30" i="6"/>
  <c r="Y30" i="6"/>
  <c r="R31" i="6"/>
  <c r="S31" i="6"/>
  <c r="T31" i="6"/>
  <c r="U31" i="6"/>
  <c r="V31" i="6"/>
  <c r="W31" i="6"/>
  <c r="X31" i="6"/>
  <c r="Y31" i="6"/>
  <c r="R32" i="6"/>
  <c r="S32" i="6"/>
  <c r="T32" i="6"/>
  <c r="U32" i="6"/>
  <c r="V32" i="6"/>
  <c r="W32" i="6"/>
  <c r="X32" i="6"/>
  <c r="Y32" i="6"/>
  <c r="R33" i="6"/>
  <c r="S33" i="6"/>
  <c r="T33" i="6"/>
  <c r="U33" i="6"/>
  <c r="V33" i="6"/>
  <c r="W33" i="6"/>
  <c r="X33" i="6"/>
  <c r="Y33" i="6"/>
  <c r="R34" i="6"/>
  <c r="S34" i="6"/>
  <c r="T34" i="6"/>
  <c r="U34" i="6"/>
  <c r="V34" i="6"/>
  <c r="W34" i="6"/>
  <c r="X34" i="6"/>
  <c r="Y34" i="6"/>
  <c r="R35" i="6"/>
  <c r="S35" i="6"/>
  <c r="T35" i="6"/>
  <c r="U35" i="6"/>
  <c r="V35" i="6"/>
  <c r="W35" i="6"/>
  <c r="X35" i="6"/>
  <c r="Y35" i="6"/>
  <c r="R36" i="6"/>
  <c r="S36" i="6"/>
  <c r="T36" i="6"/>
  <c r="U36" i="6"/>
  <c r="V36" i="6"/>
  <c r="W36" i="6"/>
  <c r="X36" i="6"/>
  <c r="Y36" i="6"/>
  <c r="R37" i="6"/>
  <c r="S37" i="6"/>
  <c r="T37" i="6"/>
  <c r="U37" i="6"/>
  <c r="V37" i="6"/>
  <c r="W37" i="6"/>
  <c r="X37" i="6"/>
  <c r="Y37" i="6"/>
  <c r="R38" i="6"/>
  <c r="S38" i="6"/>
  <c r="T38" i="6"/>
  <c r="U38" i="6"/>
  <c r="V38" i="6"/>
  <c r="W38" i="6"/>
  <c r="X38" i="6"/>
  <c r="Y38" i="6"/>
  <c r="R39" i="6"/>
  <c r="S39" i="6"/>
  <c r="T39" i="6"/>
  <c r="U39" i="6"/>
  <c r="V39" i="6"/>
  <c r="W39" i="6"/>
  <c r="X39" i="6"/>
  <c r="Y39" i="6"/>
  <c r="R40" i="6"/>
  <c r="S40" i="6"/>
  <c r="T40" i="6"/>
  <c r="U40" i="6"/>
  <c r="V40" i="6"/>
  <c r="W40" i="6"/>
  <c r="X40" i="6"/>
  <c r="Y40" i="6"/>
  <c r="R41" i="6"/>
  <c r="S41" i="6"/>
  <c r="T41" i="6"/>
  <c r="U41" i="6"/>
  <c r="V41" i="6"/>
  <c r="W41" i="6"/>
  <c r="X41" i="6"/>
  <c r="Y41" i="6"/>
  <c r="R42" i="6"/>
  <c r="S42" i="6"/>
  <c r="T42" i="6"/>
  <c r="U42" i="6"/>
  <c r="V42" i="6"/>
  <c r="W42" i="6"/>
  <c r="X42" i="6"/>
  <c r="Y42" i="6"/>
  <c r="R43" i="6"/>
  <c r="S43" i="6"/>
  <c r="T43" i="6"/>
  <c r="U43" i="6"/>
  <c r="V43" i="6"/>
  <c r="W43" i="6"/>
  <c r="X43" i="6"/>
  <c r="Y43" i="6"/>
  <c r="R44" i="6"/>
  <c r="S44" i="6"/>
  <c r="T44" i="6"/>
  <c r="U44" i="6"/>
  <c r="V44" i="6"/>
  <c r="W44" i="6"/>
  <c r="X44" i="6"/>
  <c r="Y44" i="6"/>
  <c r="R45" i="6"/>
  <c r="S45" i="6"/>
  <c r="T45" i="6"/>
  <c r="U45" i="6"/>
  <c r="V45" i="6"/>
  <c r="W45" i="6"/>
  <c r="X45" i="6"/>
  <c r="Y45" i="6"/>
  <c r="R46" i="6"/>
  <c r="S46" i="6"/>
  <c r="T46" i="6"/>
  <c r="U46" i="6"/>
  <c r="V46" i="6"/>
  <c r="W46" i="6"/>
  <c r="X46" i="6"/>
  <c r="Y46" i="6"/>
  <c r="R47" i="6"/>
  <c r="S47" i="6"/>
  <c r="T47" i="6"/>
  <c r="U47" i="6"/>
  <c r="V47" i="6"/>
  <c r="W47" i="6"/>
  <c r="X47" i="6"/>
  <c r="Y47" i="6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R5" i="5"/>
  <c r="S5" i="5"/>
  <c r="T5" i="5"/>
  <c r="U5" i="5"/>
  <c r="V5" i="5"/>
  <c r="W5" i="5"/>
  <c r="X5" i="5"/>
  <c r="Y5" i="5"/>
  <c r="R6" i="5"/>
  <c r="S6" i="5"/>
  <c r="T6" i="5"/>
  <c r="U6" i="5"/>
  <c r="V6" i="5"/>
  <c r="W6" i="5"/>
  <c r="X6" i="5"/>
  <c r="Y6" i="5"/>
  <c r="R7" i="5"/>
  <c r="S7" i="5"/>
  <c r="T7" i="5"/>
  <c r="U7" i="5"/>
  <c r="V7" i="5"/>
  <c r="W7" i="5"/>
  <c r="X7" i="5"/>
  <c r="Y7" i="5"/>
  <c r="R8" i="5"/>
  <c r="S8" i="5"/>
  <c r="T8" i="5"/>
  <c r="U8" i="5"/>
  <c r="V8" i="5"/>
  <c r="W8" i="5"/>
  <c r="X8" i="5"/>
  <c r="Y8" i="5"/>
  <c r="R9" i="5"/>
  <c r="S9" i="5"/>
  <c r="T9" i="5"/>
  <c r="U9" i="5"/>
  <c r="V9" i="5"/>
  <c r="W9" i="5"/>
  <c r="X9" i="5"/>
  <c r="Y9" i="5"/>
  <c r="R10" i="5"/>
  <c r="S10" i="5"/>
  <c r="T10" i="5"/>
  <c r="U10" i="5"/>
  <c r="V10" i="5"/>
  <c r="W10" i="5"/>
  <c r="X10" i="5"/>
  <c r="Y10" i="5"/>
  <c r="R11" i="5"/>
  <c r="S11" i="5"/>
  <c r="T11" i="5"/>
  <c r="U11" i="5"/>
  <c r="V11" i="5"/>
  <c r="W11" i="5"/>
  <c r="X11" i="5"/>
  <c r="Y11" i="5"/>
  <c r="R12" i="5"/>
  <c r="S12" i="5"/>
  <c r="T12" i="5"/>
  <c r="U12" i="5"/>
  <c r="V12" i="5"/>
  <c r="W12" i="5"/>
  <c r="X12" i="5"/>
  <c r="Y12" i="5"/>
  <c r="R13" i="5"/>
  <c r="S13" i="5"/>
  <c r="T13" i="5"/>
  <c r="U13" i="5"/>
  <c r="V13" i="5"/>
  <c r="W13" i="5"/>
  <c r="X13" i="5"/>
  <c r="Y13" i="5"/>
  <c r="R14" i="5"/>
  <c r="S14" i="5"/>
  <c r="T14" i="5"/>
  <c r="U14" i="5"/>
  <c r="V14" i="5"/>
  <c r="W14" i="5"/>
  <c r="X14" i="5"/>
  <c r="Y14" i="5"/>
  <c r="R15" i="5"/>
  <c r="S15" i="5"/>
  <c r="T15" i="5"/>
  <c r="U15" i="5"/>
  <c r="V15" i="5"/>
  <c r="W15" i="5"/>
  <c r="X15" i="5"/>
  <c r="Y15" i="5"/>
  <c r="R16" i="5"/>
  <c r="S16" i="5"/>
  <c r="T16" i="5"/>
  <c r="U16" i="5"/>
  <c r="V16" i="5"/>
  <c r="W16" i="5"/>
  <c r="X16" i="5"/>
  <c r="Y16" i="5"/>
  <c r="R17" i="5"/>
  <c r="S17" i="5"/>
  <c r="T17" i="5"/>
  <c r="U17" i="5"/>
  <c r="V17" i="5"/>
  <c r="W17" i="5"/>
  <c r="X17" i="5"/>
  <c r="Y17" i="5"/>
  <c r="R18" i="5"/>
  <c r="S18" i="5"/>
  <c r="T18" i="5"/>
  <c r="U18" i="5"/>
  <c r="V18" i="5"/>
  <c r="W18" i="5"/>
  <c r="X18" i="5"/>
  <c r="Y18" i="5"/>
  <c r="R19" i="5"/>
  <c r="S19" i="5"/>
  <c r="T19" i="5"/>
  <c r="U19" i="5"/>
  <c r="V19" i="5"/>
  <c r="W19" i="5"/>
  <c r="X19" i="5"/>
  <c r="Y19" i="5"/>
  <c r="R20" i="5"/>
  <c r="S20" i="5"/>
  <c r="T20" i="5"/>
  <c r="U20" i="5"/>
  <c r="V20" i="5"/>
  <c r="W20" i="5"/>
  <c r="X20" i="5"/>
  <c r="Y20" i="5"/>
  <c r="R21" i="5"/>
  <c r="S21" i="5"/>
  <c r="T21" i="5"/>
  <c r="U21" i="5"/>
  <c r="V21" i="5"/>
  <c r="W21" i="5"/>
  <c r="X21" i="5"/>
  <c r="Y21" i="5"/>
  <c r="R22" i="5"/>
  <c r="S22" i="5"/>
  <c r="T22" i="5"/>
  <c r="U22" i="5"/>
  <c r="V22" i="5"/>
  <c r="W22" i="5"/>
  <c r="X22" i="5"/>
  <c r="Y22" i="5"/>
  <c r="R23" i="5"/>
  <c r="S23" i="5"/>
  <c r="T23" i="5"/>
  <c r="U23" i="5"/>
  <c r="V23" i="5"/>
  <c r="W23" i="5"/>
  <c r="X23" i="5"/>
  <c r="Y23" i="5"/>
  <c r="R24" i="5"/>
  <c r="S24" i="5"/>
  <c r="T24" i="5"/>
  <c r="U24" i="5"/>
  <c r="V24" i="5"/>
  <c r="W24" i="5"/>
  <c r="X24" i="5"/>
  <c r="Y24" i="5"/>
  <c r="R25" i="5"/>
  <c r="S25" i="5"/>
  <c r="T25" i="5"/>
  <c r="U25" i="5"/>
  <c r="V25" i="5"/>
  <c r="W25" i="5"/>
  <c r="X25" i="5"/>
  <c r="Y25" i="5"/>
  <c r="R26" i="5"/>
  <c r="S26" i="5"/>
  <c r="T26" i="5"/>
  <c r="U26" i="5"/>
  <c r="V26" i="5"/>
  <c r="W26" i="5"/>
  <c r="X26" i="5"/>
  <c r="Y26" i="5"/>
  <c r="R27" i="5"/>
  <c r="S27" i="5"/>
  <c r="T27" i="5"/>
  <c r="U27" i="5"/>
  <c r="V27" i="5"/>
  <c r="W27" i="5"/>
  <c r="X27" i="5"/>
  <c r="Y27" i="5"/>
  <c r="R28" i="5"/>
  <c r="S28" i="5"/>
  <c r="T28" i="5"/>
  <c r="U28" i="5"/>
  <c r="V28" i="5"/>
  <c r="W28" i="5"/>
  <c r="X28" i="5"/>
  <c r="Y28" i="5"/>
  <c r="R29" i="5"/>
  <c r="S29" i="5"/>
  <c r="T29" i="5"/>
  <c r="U29" i="5"/>
  <c r="V29" i="5"/>
  <c r="W29" i="5"/>
  <c r="X29" i="5"/>
  <c r="Y29" i="5"/>
  <c r="R30" i="5"/>
  <c r="S30" i="5"/>
  <c r="T30" i="5"/>
  <c r="U30" i="5"/>
  <c r="V30" i="5"/>
  <c r="W30" i="5"/>
  <c r="X30" i="5"/>
  <c r="Y30" i="5"/>
  <c r="R31" i="5"/>
  <c r="S31" i="5"/>
  <c r="T31" i="5"/>
  <c r="U31" i="5"/>
  <c r="V31" i="5"/>
  <c r="W31" i="5"/>
  <c r="X31" i="5"/>
  <c r="Y31" i="5"/>
  <c r="R32" i="5"/>
  <c r="S32" i="5"/>
  <c r="T32" i="5"/>
  <c r="U32" i="5"/>
  <c r="V32" i="5"/>
  <c r="W32" i="5"/>
  <c r="X32" i="5"/>
  <c r="Y32" i="5"/>
  <c r="R33" i="5"/>
  <c r="S33" i="5"/>
  <c r="T33" i="5"/>
  <c r="U33" i="5"/>
  <c r="V33" i="5"/>
  <c r="W33" i="5"/>
  <c r="X33" i="5"/>
  <c r="Y33" i="5"/>
  <c r="R34" i="5"/>
  <c r="S34" i="5"/>
  <c r="T34" i="5"/>
  <c r="U34" i="5"/>
  <c r="V34" i="5"/>
  <c r="W34" i="5"/>
  <c r="X34" i="5"/>
  <c r="Y34" i="5"/>
  <c r="R35" i="5"/>
  <c r="S35" i="5"/>
  <c r="T35" i="5"/>
  <c r="U35" i="5"/>
  <c r="V35" i="5"/>
  <c r="W35" i="5"/>
  <c r="X35" i="5"/>
  <c r="Y35" i="5"/>
  <c r="R36" i="5"/>
  <c r="S36" i="5"/>
  <c r="T36" i="5"/>
  <c r="U36" i="5"/>
  <c r="V36" i="5"/>
  <c r="W36" i="5"/>
  <c r="X36" i="5"/>
  <c r="Y36" i="5"/>
  <c r="R37" i="5"/>
  <c r="S37" i="5"/>
  <c r="T37" i="5"/>
  <c r="U37" i="5"/>
  <c r="V37" i="5"/>
  <c r="W37" i="5"/>
  <c r="X37" i="5"/>
  <c r="Y37" i="5"/>
  <c r="R38" i="5"/>
  <c r="S38" i="5"/>
  <c r="T38" i="5"/>
  <c r="U38" i="5"/>
  <c r="V38" i="5"/>
  <c r="W38" i="5"/>
  <c r="X38" i="5"/>
  <c r="Y38" i="5"/>
  <c r="R39" i="5"/>
  <c r="S39" i="5"/>
  <c r="T39" i="5"/>
  <c r="U39" i="5"/>
  <c r="V39" i="5"/>
  <c r="W39" i="5"/>
  <c r="X39" i="5"/>
  <c r="Y39" i="5"/>
  <c r="R40" i="5"/>
  <c r="S40" i="5"/>
  <c r="T40" i="5"/>
  <c r="U40" i="5"/>
  <c r="V40" i="5"/>
  <c r="W40" i="5"/>
  <c r="X40" i="5"/>
  <c r="Y40" i="5"/>
  <c r="R41" i="5"/>
  <c r="S41" i="5"/>
  <c r="T41" i="5"/>
  <c r="U41" i="5"/>
  <c r="V41" i="5"/>
  <c r="W41" i="5"/>
  <c r="X41" i="5"/>
  <c r="Y41" i="5"/>
  <c r="R42" i="5"/>
  <c r="S42" i="5"/>
  <c r="T42" i="5"/>
  <c r="U42" i="5"/>
  <c r="V42" i="5"/>
  <c r="W42" i="5"/>
  <c r="X42" i="5"/>
  <c r="Y42" i="5"/>
  <c r="R43" i="5"/>
  <c r="S43" i="5"/>
  <c r="T43" i="5"/>
  <c r="U43" i="5"/>
  <c r="V43" i="5"/>
  <c r="W43" i="5"/>
  <c r="X43" i="5"/>
  <c r="Y43" i="5"/>
  <c r="R44" i="5"/>
  <c r="S44" i="5"/>
  <c r="T44" i="5"/>
  <c r="U44" i="5"/>
  <c r="V44" i="5"/>
  <c r="W44" i="5"/>
  <c r="X44" i="5"/>
  <c r="Y44" i="5"/>
  <c r="R45" i="5"/>
  <c r="S45" i="5"/>
  <c r="T45" i="5"/>
  <c r="U45" i="5"/>
  <c r="V45" i="5"/>
  <c r="W45" i="5"/>
  <c r="X45" i="5"/>
  <c r="Y45" i="5"/>
  <c r="R46" i="5"/>
  <c r="S46" i="5"/>
  <c r="T46" i="5"/>
  <c r="U46" i="5"/>
  <c r="V46" i="5"/>
  <c r="W46" i="5"/>
  <c r="X46" i="5"/>
  <c r="Y46" i="5"/>
  <c r="R47" i="5"/>
  <c r="S47" i="5"/>
  <c r="T47" i="5"/>
  <c r="U47" i="5"/>
  <c r="V47" i="5"/>
  <c r="W47" i="5"/>
  <c r="X47" i="5"/>
  <c r="Y47" i="5"/>
</calcChain>
</file>

<file path=xl/sharedStrings.xml><?xml version="1.0" encoding="utf-8"?>
<sst xmlns="http://schemas.openxmlformats.org/spreadsheetml/2006/main" count="7242" uniqueCount="1018">
  <si>
    <t>date</t>
  </si>
  <si>
    <t>Time</t>
  </si>
  <si>
    <t>Burst</t>
  </si>
  <si>
    <t>AxIS Spike File</t>
  </si>
  <si>
    <t>O:\TOX\NTX\Users\Arjun\201210_LvM_256135_1294-67_MEA_rCortex_Lindane_baseline_female_DIV10(000)_Spike Detector (7 x STD)(000).spk</t>
  </si>
  <si>
    <t>File Type</t>
  </si>
  <si>
    <t>48-well</t>
  </si>
  <si>
    <t>Analysis Start</t>
  </si>
  <si>
    <t>Analysis End</t>
  </si>
  <si>
    <t>Active Electrode Criterion (spks/min)</t>
  </si>
  <si>
    <t>Remove Coincident Artifacts</t>
  </si>
  <si>
    <t>Electrode Burst Settings</t>
  </si>
  <si>
    <t xml:space="preserve">    Algorithm</t>
  </si>
  <si>
    <t>Poisson Surprise</t>
  </si>
  <si>
    <t xml:space="preserve">    Min Surprise</t>
  </si>
  <si>
    <t>Network Burst Settings</t>
  </si>
  <si>
    <t>ISI Threshold</t>
  </si>
  <si>
    <t>Adaptive</t>
  </si>
  <si>
    <t xml:space="preserve">    Min # of Spikes</t>
  </si>
  <si>
    <t xml:space="preserve">    Min # of Electrodes (%)</t>
  </si>
  <si>
    <t>Synchrony Settings</t>
  </si>
  <si>
    <t xml:space="preserve">    Synchrony Window</t>
  </si>
  <si>
    <t>Average Network Burst Analysis Settings</t>
  </si>
  <si>
    <t xml:space="preserve">    Number of network bursts vary by well</t>
  </si>
  <si>
    <t xml:space="preserve">    Network Burst Window Start (ms)</t>
  </si>
  <si>
    <t xml:space="preserve">    Network Burst Window End (ms)</t>
  </si>
  <si>
    <t xml:space="preserve">    Bin Size (ms)</t>
  </si>
  <si>
    <t>Well Averages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</si>
  <si>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</si>
  <si>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</si>
  <si>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</si>
  <si>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</si>
  <si>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</si>
  <si>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</si>
  <si>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</si>
  <si>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</si>
  <si>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</si>
  <si>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</si>
  <si>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</si>
  <si>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</si>
  <si>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</si>
  <si>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</si>
  <si>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</si>
  <si>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</si>
  <si>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</si>
  <si>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</si>
  <si>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</si>
  <si>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</si>
  <si>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</si>
  <si>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</si>
  <si>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</si>
  <si>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</si>
  <si>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</si>
  <si>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</si>
  <si>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</si>
  <si>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</si>
  <si>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</si>
  <si>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</si>
  <si>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</si>
  <si>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</si>
  <si>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</si>
  <si>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</si>
  <si>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</si>
  <si>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</si>
  <si>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</si>
  <si>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</si>
  <si>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</si>
  <si>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</si>
  <si>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</si>
  <si>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</si>
  <si>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</si>
  <si>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</si>
  <si>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</si>
  <si>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</si>
  <si>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</si>
  <si>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</si>
  <si>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Treatment/ID</t>
  </si>
  <si>
    <t>Activity Metrics</t>
  </si>
  <si>
    <t xml:space="preserve">    Number of Spikes</t>
  </si>
  <si>
    <t xml:space="preserve">    Mean Firing Rate (Hz)</t>
  </si>
  <si>
    <t xml:space="preserve">    ISI Coefficient of Variation - Avg</t>
  </si>
  <si>
    <t xml:space="preserve">    Number of Active Electrodes</t>
  </si>
  <si>
    <t xml:space="preserve">    Weighted Mean Firing Rate (Hz)</t>
  </si>
  <si>
    <t>Electrode Burst Metrics</t>
  </si>
  <si>
    <t xml:space="preserve">    Number of Bursts</t>
  </si>
  <si>
    <t xml:space="preserve">    Number of Bursting Electrodes</t>
  </si>
  <si>
    <t xml:space="preserve">    Burst Duration - Avg (sec)</t>
  </si>
  <si>
    <t xml:space="preserve">    Number of Spikes per Burst - Avg</t>
  </si>
  <si>
    <t xml:space="preserve">    Mean ISI within Burst - Avg (sec)</t>
  </si>
  <si>
    <t xml:space="preserve">    Median ISI within Burst - Avg (sec)</t>
  </si>
  <si>
    <t xml:space="preserve">    Median/Mean ISI within Burst - Avg</t>
  </si>
  <si>
    <t xml:space="preserve">    Inter-Burst Interval - Avg (sec)</t>
  </si>
  <si>
    <t xml:space="preserve">    Burst Frequency - Avg (Hz)</t>
  </si>
  <si>
    <t xml:space="preserve">    IBI Coefficient of Variation - Avg</t>
  </si>
  <si>
    <t xml:space="preserve">    Burst Percentage - Avg</t>
  </si>
  <si>
    <t>Network Burst Metrics</t>
  </si>
  <si>
    <t xml:space="preserve">    Number of Network Bursts</t>
  </si>
  <si>
    <t xml:space="preserve">    Network Burst Frequency</t>
  </si>
  <si>
    <t xml:space="preserve">    Network Burst Duration - Avg (sec)</t>
  </si>
  <si>
    <t xml:space="preserve">    Number of Spikes per Network Burst - Avg</t>
  </si>
  <si>
    <t xml:space="preserve">    Mean ISI within Network Burst - Avg (sec)</t>
  </si>
  <si>
    <t xml:space="preserve">    Median ISI within Network Burst - Avg (sec)</t>
  </si>
  <si>
    <t xml:space="preserve">    Median/Mean ISI within Network Burst - Avg</t>
  </si>
  <si>
    <t xml:space="preserve">    Number of Elecs Participating in Burst - Avg</t>
  </si>
  <si>
    <t xml:space="preserve">    Number of Spikes per Network Burst per Channel - Avg</t>
  </si>
  <si>
    <t xml:space="preserve">    Network Burst Percentage</t>
  </si>
  <si>
    <t xml:space="preserve">    Network IBI Coefficient of Variation</t>
  </si>
  <si>
    <t xml:space="preserve">    Network Normalized Duration IQR</t>
  </si>
  <si>
    <t>Synchrony Metrics</t>
  </si>
  <si>
    <t xml:space="preserve">    Area Under Normalized Cross-Correlation</t>
  </si>
  <si>
    <t xml:space="preserve">    Area Under Cross-Correlation</t>
  </si>
  <si>
    <t xml:space="preserve">    Full Width at Half Height of Normalized Cross-Correlation</t>
  </si>
  <si>
    <t xml:space="preserve">    Full Width at Half Height of Cross-Correlation</t>
  </si>
  <si>
    <t xml:space="preserve">    Synchrony Index</t>
  </si>
  <si>
    <t xml:space="preserve"> </t>
  </si>
  <si>
    <t xml:space="preserve">    Kreuz SPIKE Distance</t>
  </si>
  <si>
    <t>Average Network Burst Metrics</t>
  </si>
  <si>
    <t xml:space="preserve">    Start Electrode</t>
  </si>
  <si>
    <t xml:space="preserve">    Percent Bursts with Start Electrode</t>
  </si>
  <si>
    <t xml:space="preserve">    Burst Peak (Max Spikes per sec)</t>
  </si>
  <si>
    <t xml:space="preserve">    Time to Burst Peak (ms)</t>
  </si>
  <si>
    <t>Measurement</t>
  </si>
  <si>
    <t>A1_11</t>
  </si>
  <si>
    <t>A1_12</t>
  </si>
  <si>
    <t>A1_13</t>
  </si>
  <si>
    <t>A1_14</t>
  </si>
  <si>
    <t>A1_21</t>
  </si>
  <si>
    <t>A1_22</t>
  </si>
  <si>
    <t>A1_23</t>
  </si>
  <si>
    <t>A1_24</t>
  </si>
  <si>
    <t>A1_31</t>
  </si>
  <si>
    <t>A1_32</t>
  </si>
  <si>
    <t>A1_33</t>
  </si>
  <si>
    <t>A1_34</t>
  </si>
  <si>
    <t>A1_41</t>
  </si>
  <si>
    <t>A1_42</t>
  </si>
  <si>
    <t>A1_43</t>
  </si>
  <si>
    <t>A1_44</t>
  </si>
  <si>
    <t>A2_11</t>
  </si>
  <si>
    <t>A2_12</t>
  </si>
  <si>
    <t>A2_13</t>
  </si>
  <si>
    <t>A2_14</t>
  </si>
  <si>
    <t>A2_21</t>
  </si>
  <si>
    <t>A2_22</t>
  </si>
  <si>
    <t>A2_23</t>
  </si>
  <si>
    <t>A2_24</t>
  </si>
  <si>
    <t>A2_31</t>
  </si>
  <si>
    <t>A2_32</t>
  </si>
  <si>
    <t>A2_33</t>
  </si>
  <si>
    <t>A2_34</t>
  </si>
  <si>
    <t>A2_41</t>
  </si>
  <si>
    <t>A2_42</t>
  </si>
  <si>
    <t>A2_43</t>
  </si>
  <si>
    <t>A2_44</t>
  </si>
  <si>
    <t>A3_11</t>
  </si>
  <si>
    <t>A3_12</t>
  </si>
  <si>
    <t>A3_13</t>
  </si>
  <si>
    <t>A3_14</t>
  </si>
  <si>
    <t>A3_21</t>
  </si>
  <si>
    <t>A3_22</t>
  </si>
  <si>
    <t>A3_23</t>
  </si>
  <si>
    <t>A3_24</t>
  </si>
  <si>
    <t>A3_31</t>
  </si>
  <si>
    <t>A3_32</t>
  </si>
  <si>
    <t>A3_33</t>
  </si>
  <si>
    <t>A3_34</t>
  </si>
  <si>
    <t>A3_41</t>
  </si>
  <si>
    <t>A3_42</t>
  </si>
  <si>
    <t>A3_43</t>
  </si>
  <si>
    <t>A3_44</t>
  </si>
  <si>
    <t>A4_11</t>
  </si>
  <si>
    <t>A4_12</t>
  </si>
  <si>
    <t>A4_13</t>
  </si>
  <si>
    <t>A4_14</t>
  </si>
  <si>
    <t>A4_21</t>
  </si>
  <si>
    <t>A4_22</t>
  </si>
  <si>
    <t>A4_23</t>
  </si>
  <si>
    <t>A4_24</t>
  </si>
  <si>
    <t>A4_31</t>
  </si>
  <si>
    <t>A4_32</t>
  </si>
  <si>
    <t>A4_33</t>
  </si>
  <si>
    <t>A4_34</t>
  </si>
  <si>
    <t>A4_41</t>
  </si>
  <si>
    <t>A4_42</t>
  </si>
  <si>
    <t>A4_43</t>
  </si>
  <si>
    <t>A4_44</t>
  </si>
  <si>
    <t>A5_11</t>
  </si>
  <si>
    <t>A5_12</t>
  </si>
  <si>
    <t>A5_13</t>
  </si>
  <si>
    <t>A5_14</t>
  </si>
  <si>
    <t>A5_21</t>
  </si>
  <si>
    <t>A5_22</t>
  </si>
  <si>
    <t>A5_23</t>
  </si>
  <si>
    <t>A5_24</t>
  </si>
  <si>
    <t>A5_31</t>
  </si>
  <si>
    <t>A5_32</t>
  </si>
  <si>
    <t>A5_33</t>
  </si>
  <si>
    <t>A5_34</t>
  </si>
  <si>
    <t>A5_41</t>
  </si>
  <si>
    <t>A5_42</t>
  </si>
  <si>
    <t>A5_43</t>
  </si>
  <si>
    <t>A5_44</t>
  </si>
  <si>
    <t>A6_11</t>
  </si>
  <si>
    <t>A6_12</t>
  </si>
  <si>
    <t>A6_13</t>
  </si>
  <si>
    <t>A6_14</t>
  </si>
  <si>
    <t>A6_21</t>
  </si>
  <si>
    <t>A6_22</t>
  </si>
  <si>
    <t>A6_23</t>
  </si>
  <si>
    <t>A6_24</t>
  </si>
  <si>
    <t>A6_31</t>
  </si>
  <si>
    <t>A6_32</t>
  </si>
  <si>
    <t>A6_33</t>
  </si>
  <si>
    <t>A6_34</t>
  </si>
  <si>
    <t>A6_41</t>
  </si>
  <si>
    <t>A6_42</t>
  </si>
  <si>
    <t>A6_43</t>
  </si>
  <si>
    <t>A6_44</t>
  </si>
  <si>
    <t>A7_11</t>
  </si>
  <si>
    <t>A7_12</t>
  </si>
  <si>
    <t>A7_13</t>
  </si>
  <si>
    <t>A7_14</t>
  </si>
  <si>
    <t>A7_21</t>
  </si>
  <si>
    <t>A7_22</t>
  </si>
  <si>
    <t>A7_23</t>
  </si>
  <si>
    <t>A7_24</t>
  </si>
  <si>
    <t>A7_31</t>
  </si>
  <si>
    <t>A7_32</t>
  </si>
  <si>
    <t>A7_33</t>
  </si>
  <si>
    <t>A7_34</t>
  </si>
  <si>
    <t>A7_41</t>
  </si>
  <si>
    <t>A7_42</t>
  </si>
  <si>
    <t>A7_43</t>
  </si>
  <si>
    <t>A7_44</t>
  </si>
  <si>
    <t>A8_11</t>
  </si>
  <si>
    <t>A8_12</t>
  </si>
  <si>
    <t>A8_13</t>
  </si>
  <si>
    <t>A8_14</t>
  </si>
  <si>
    <t>A8_21</t>
  </si>
  <si>
    <t>A8_22</t>
  </si>
  <si>
    <t>A8_23</t>
  </si>
  <si>
    <t>A8_24</t>
  </si>
  <si>
    <t>A8_31</t>
  </si>
  <si>
    <t>A8_32</t>
  </si>
  <si>
    <t>A8_33</t>
  </si>
  <si>
    <t>A8_34</t>
  </si>
  <si>
    <t>A8_41</t>
  </si>
  <si>
    <t>A8_42</t>
  </si>
  <si>
    <t>A8_43</t>
  </si>
  <si>
    <t>A8_44</t>
  </si>
  <si>
    <t>B1_11</t>
  </si>
  <si>
    <t>B1_12</t>
  </si>
  <si>
    <t>B1_13</t>
  </si>
  <si>
    <t>B1_14</t>
  </si>
  <si>
    <t>B1_21</t>
  </si>
  <si>
    <t>B1_22</t>
  </si>
  <si>
    <t>B1_23</t>
  </si>
  <si>
    <t>B1_24</t>
  </si>
  <si>
    <t>B1_31</t>
  </si>
  <si>
    <t>B1_32</t>
  </si>
  <si>
    <t>B1_33</t>
  </si>
  <si>
    <t>B1_34</t>
  </si>
  <si>
    <t>B1_41</t>
  </si>
  <si>
    <t>B1_42</t>
  </si>
  <si>
    <t>B1_43</t>
  </si>
  <si>
    <t>B1_44</t>
  </si>
  <si>
    <t>B2_11</t>
  </si>
  <si>
    <t>B2_12</t>
  </si>
  <si>
    <t>B2_13</t>
  </si>
  <si>
    <t>B2_14</t>
  </si>
  <si>
    <t>B2_21</t>
  </si>
  <si>
    <t>B2_22</t>
  </si>
  <si>
    <t>B2_23</t>
  </si>
  <si>
    <t>B2_24</t>
  </si>
  <si>
    <t>B2_31</t>
  </si>
  <si>
    <t>B2_32</t>
  </si>
  <si>
    <t>B2_33</t>
  </si>
  <si>
    <t>B2_34</t>
  </si>
  <si>
    <t>B2_41</t>
  </si>
  <si>
    <t>B2_42</t>
  </si>
  <si>
    <t>B2_43</t>
  </si>
  <si>
    <t>B2_44</t>
  </si>
  <si>
    <t>B3_11</t>
  </si>
  <si>
    <t>B3_12</t>
  </si>
  <si>
    <t>B3_13</t>
  </si>
  <si>
    <t>B3_14</t>
  </si>
  <si>
    <t>B3_21</t>
  </si>
  <si>
    <t>B3_22</t>
  </si>
  <si>
    <t>B3_23</t>
  </si>
  <si>
    <t>B3_24</t>
  </si>
  <si>
    <t>B3_31</t>
  </si>
  <si>
    <t>B3_32</t>
  </si>
  <si>
    <t>B3_33</t>
  </si>
  <si>
    <t>B3_34</t>
  </si>
  <si>
    <t>B3_41</t>
  </si>
  <si>
    <t>B3_42</t>
  </si>
  <si>
    <t>B3_43</t>
  </si>
  <si>
    <t>B3_44</t>
  </si>
  <si>
    <t>B4_11</t>
  </si>
  <si>
    <t>B4_12</t>
  </si>
  <si>
    <t>B4_13</t>
  </si>
  <si>
    <t>B4_14</t>
  </si>
  <si>
    <t>B4_21</t>
  </si>
  <si>
    <t>B4_22</t>
  </si>
  <si>
    <t>B4_23</t>
  </si>
  <si>
    <t>B4_24</t>
  </si>
  <si>
    <t>B4_31</t>
  </si>
  <si>
    <t>B4_32</t>
  </si>
  <si>
    <t>B4_33</t>
  </si>
  <si>
    <t>B4_34</t>
  </si>
  <si>
    <t>B4_41</t>
  </si>
  <si>
    <t>B4_42</t>
  </si>
  <si>
    <t>B4_43</t>
  </si>
  <si>
    <t>B4_44</t>
  </si>
  <si>
    <t>B5_11</t>
  </si>
  <si>
    <t>B5_12</t>
  </si>
  <si>
    <t>B5_13</t>
  </si>
  <si>
    <t>B5_14</t>
  </si>
  <si>
    <t>B5_21</t>
  </si>
  <si>
    <t>B5_22</t>
  </si>
  <si>
    <t>B5_23</t>
  </si>
  <si>
    <t>B5_24</t>
  </si>
  <si>
    <t>B5_31</t>
  </si>
  <si>
    <t>B5_32</t>
  </si>
  <si>
    <t>B5_33</t>
  </si>
  <si>
    <t>B5_34</t>
  </si>
  <si>
    <t>B5_41</t>
  </si>
  <si>
    <t>B5_42</t>
  </si>
  <si>
    <t>B5_43</t>
  </si>
  <si>
    <t>B5_44</t>
  </si>
  <si>
    <t>B6_11</t>
  </si>
  <si>
    <t>B6_12</t>
  </si>
  <si>
    <t>B6_13</t>
  </si>
  <si>
    <t>B6_14</t>
  </si>
  <si>
    <t>B6_21</t>
  </si>
  <si>
    <t>B6_22</t>
  </si>
  <si>
    <t>B6_23</t>
  </si>
  <si>
    <t>B6_24</t>
  </si>
  <si>
    <t>B6_31</t>
  </si>
  <si>
    <t>B6_32</t>
  </si>
  <si>
    <t>B6_33</t>
  </si>
  <si>
    <t>B6_34</t>
  </si>
  <si>
    <t>B6_41</t>
  </si>
  <si>
    <t>B6_42</t>
  </si>
  <si>
    <t>B6_43</t>
  </si>
  <si>
    <t>B6_44</t>
  </si>
  <si>
    <t>B7_11</t>
  </si>
  <si>
    <t>B7_12</t>
  </si>
  <si>
    <t>B7_13</t>
  </si>
  <si>
    <t>B7_14</t>
  </si>
  <si>
    <t>B7_21</t>
  </si>
  <si>
    <t>B7_22</t>
  </si>
  <si>
    <t>B7_23</t>
  </si>
  <si>
    <t>B7_24</t>
  </si>
  <si>
    <t>B7_31</t>
  </si>
  <si>
    <t>B7_32</t>
  </si>
  <si>
    <t>B7_33</t>
  </si>
  <si>
    <t>B7_34</t>
  </si>
  <si>
    <t>B7_41</t>
  </si>
  <si>
    <t>B7_42</t>
  </si>
  <si>
    <t>B7_43</t>
  </si>
  <si>
    <t>B7_44</t>
  </si>
  <si>
    <t>B8_11</t>
  </si>
  <si>
    <t>B8_12</t>
  </si>
  <si>
    <t>B8_13</t>
  </si>
  <si>
    <t>B8_14</t>
  </si>
  <si>
    <t>B8_21</t>
  </si>
  <si>
    <t>B8_22</t>
  </si>
  <si>
    <t>B8_23</t>
  </si>
  <si>
    <t>B8_24</t>
  </si>
  <si>
    <t>B8_31</t>
  </si>
  <si>
    <t>B8_32</t>
  </si>
  <si>
    <t>B8_33</t>
  </si>
  <si>
    <t>B8_34</t>
  </si>
  <si>
    <t>B8_41</t>
  </si>
  <si>
    <t>B8_42</t>
  </si>
  <si>
    <t>B8_43</t>
  </si>
  <si>
    <t>B8_44</t>
  </si>
  <si>
    <t>C1_11</t>
  </si>
  <si>
    <t>C1_12</t>
  </si>
  <si>
    <t>C1_13</t>
  </si>
  <si>
    <t>C1_14</t>
  </si>
  <si>
    <t>C1_21</t>
  </si>
  <si>
    <t>C1_22</t>
  </si>
  <si>
    <t>C1_23</t>
  </si>
  <si>
    <t>C1_24</t>
  </si>
  <si>
    <t>C1_31</t>
  </si>
  <si>
    <t>C1_32</t>
  </si>
  <si>
    <t>C1_33</t>
  </si>
  <si>
    <t>C1_34</t>
  </si>
  <si>
    <t>C1_41</t>
  </si>
  <si>
    <t>C1_42</t>
  </si>
  <si>
    <t>C1_43</t>
  </si>
  <si>
    <t>C1_44</t>
  </si>
  <si>
    <t>C2_11</t>
  </si>
  <si>
    <t>C2_12</t>
  </si>
  <si>
    <t>C2_13</t>
  </si>
  <si>
    <t>C2_14</t>
  </si>
  <si>
    <t>C2_21</t>
  </si>
  <si>
    <t>C2_22</t>
  </si>
  <si>
    <t>C2_23</t>
  </si>
  <si>
    <t>C2_24</t>
  </si>
  <si>
    <t>C2_31</t>
  </si>
  <si>
    <t>C2_32</t>
  </si>
  <si>
    <t>C2_33</t>
  </si>
  <si>
    <t>C2_34</t>
  </si>
  <si>
    <t>C2_41</t>
  </si>
  <si>
    <t>C2_42</t>
  </si>
  <si>
    <t>C2_43</t>
  </si>
  <si>
    <t>C2_44</t>
  </si>
  <si>
    <t>C3_11</t>
  </si>
  <si>
    <t>C3_12</t>
  </si>
  <si>
    <t>C3_13</t>
  </si>
  <si>
    <t>C3_14</t>
  </si>
  <si>
    <t>C3_21</t>
  </si>
  <si>
    <t>C3_22</t>
  </si>
  <si>
    <t>C3_23</t>
  </si>
  <si>
    <t>C3_24</t>
  </si>
  <si>
    <t>C3_31</t>
  </si>
  <si>
    <t>C3_32</t>
  </si>
  <si>
    <t>C3_33</t>
  </si>
  <si>
    <t>C3_34</t>
  </si>
  <si>
    <t>C3_41</t>
  </si>
  <si>
    <t>C3_42</t>
  </si>
  <si>
    <t>C3_43</t>
  </si>
  <si>
    <t>C3_44</t>
  </si>
  <si>
    <t>C4_11</t>
  </si>
  <si>
    <t>C4_12</t>
  </si>
  <si>
    <t>C4_13</t>
  </si>
  <si>
    <t>C4_14</t>
  </si>
  <si>
    <t>C4_21</t>
  </si>
  <si>
    <t>C4_22</t>
  </si>
  <si>
    <t>C4_23</t>
  </si>
  <si>
    <t>C4_24</t>
  </si>
  <si>
    <t>C4_31</t>
  </si>
  <si>
    <t>C4_32</t>
  </si>
  <si>
    <t>C4_33</t>
  </si>
  <si>
    <t>C4_34</t>
  </si>
  <si>
    <t>C4_41</t>
  </si>
  <si>
    <t>C4_42</t>
  </si>
  <si>
    <t>C4_43</t>
  </si>
  <si>
    <t>C4_44</t>
  </si>
  <si>
    <t>C5_11</t>
  </si>
  <si>
    <t>C5_12</t>
  </si>
  <si>
    <t>C5_13</t>
  </si>
  <si>
    <t>C5_14</t>
  </si>
  <si>
    <t>C5_21</t>
  </si>
  <si>
    <t>C5_22</t>
  </si>
  <si>
    <t>C5_23</t>
  </si>
  <si>
    <t>C5_24</t>
  </si>
  <si>
    <t>C5_31</t>
  </si>
  <si>
    <t>C5_32</t>
  </si>
  <si>
    <t>C5_33</t>
  </si>
  <si>
    <t>C5_34</t>
  </si>
  <si>
    <t>C5_41</t>
  </si>
  <si>
    <t>C5_42</t>
  </si>
  <si>
    <t>C5_43</t>
  </si>
  <si>
    <t>C5_44</t>
  </si>
  <si>
    <t>C6_11</t>
  </si>
  <si>
    <t>C6_12</t>
  </si>
  <si>
    <t>C6_13</t>
  </si>
  <si>
    <t>C6_14</t>
  </si>
  <si>
    <t>C6_21</t>
  </si>
  <si>
    <t>C6_22</t>
  </si>
  <si>
    <t>C6_23</t>
  </si>
  <si>
    <t>C6_24</t>
  </si>
  <si>
    <t>C6_31</t>
  </si>
  <si>
    <t>C6_32</t>
  </si>
  <si>
    <t>C6_33</t>
  </si>
  <si>
    <t>C6_34</t>
  </si>
  <si>
    <t>C6_41</t>
  </si>
  <si>
    <t>C6_42</t>
  </si>
  <si>
    <t>C6_43</t>
  </si>
  <si>
    <t>C6_44</t>
  </si>
  <si>
    <t>C7_11</t>
  </si>
  <si>
    <t>C7_12</t>
  </si>
  <si>
    <t>C7_13</t>
  </si>
  <si>
    <t>C7_14</t>
  </si>
  <si>
    <t>C7_21</t>
  </si>
  <si>
    <t>C7_22</t>
  </si>
  <si>
    <t>C7_23</t>
  </si>
  <si>
    <t>C7_24</t>
  </si>
  <si>
    <t>C7_31</t>
  </si>
  <si>
    <t>C7_32</t>
  </si>
  <si>
    <t>C7_33</t>
  </si>
  <si>
    <t>C7_34</t>
  </si>
  <si>
    <t>C7_41</t>
  </si>
  <si>
    <t>C7_42</t>
  </si>
  <si>
    <t>C7_43</t>
  </si>
  <si>
    <t>C7_44</t>
  </si>
  <si>
    <t>C8_11</t>
  </si>
  <si>
    <t>C8_12</t>
  </si>
  <si>
    <t>C8_13</t>
  </si>
  <si>
    <t>C8_14</t>
  </si>
  <si>
    <t>C8_21</t>
  </si>
  <si>
    <t>C8_22</t>
  </si>
  <si>
    <t>C8_23</t>
  </si>
  <si>
    <t>C8_24</t>
  </si>
  <si>
    <t>C8_31</t>
  </si>
  <si>
    <t>C8_32</t>
  </si>
  <si>
    <t>C8_33</t>
  </si>
  <si>
    <t>C8_34</t>
  </si>
  <si>
    <t>C8_41</t>
  </si>
  <si>
    <t>C8_42</t>
  </si>
  <si>
    <t>C8_43</t>
  </si>
  <si>
    <t>C8_44</t>
  </si>
  <si>
    <t>D1_11</t>
  </si>
  <si>
    <t>D1_12</t>
  </si>
  <si>
    <t>D1_13</t>
  </si>
  <si>
    <t>D1_14</t>
  </si>
  <si>
    <t>D1_21</t>
  </si>
  <si>
    <t>D1_22</t>
  </si>
  <si>
    <t>D1_23</t>
  </si>
  <si>
    <t>D1_24</t>
  </si>
  <si>
    <t>D1_31</t>
  </si>
  <si>
    <t>D1_32</t>
  </si>
  <si>
    <t>D1_33</t>
  </si>
  <si>
    <t>D1_34</t>
  </si>
  <si>
    <t>D1_41</t>
  </si>
  <si>
    <t>D1_42</t>
  </si>
  <si>
    <t>D1_43</t>
  </si>
  <si>
    <t>D1_44</t>
  </si>
  <si>
    <t>D2_11</t>
  </si>
  <si>
    <t>D2_12</t>
  </si>
  <si>
    <t>D2_13</t>
  </si>
  <si>
    <t>D2_14</t>
  </si>
  <si>
    <t>D2_21</t>
  </si>
  <si>
    <t>D2_22</t>
  </si>
  <si>
    <t>D2_23</t>
  </si>
  <si>
    <t>D2_24</t>
  </si>
  <si>
    <t>D2_31</t>
  </si>
  <si>
    <t>D2_32</t>
  </si>
  <si>
    <t>D2_33</t>
  </si>
  <si>
    <t>D2_34</t>
  </si>
  <si>
    <t>D2_41</t>
  </si>
  <si>
    <t>D2_42</t>
  </si>
  <si>
    <t>D2_43</t>
  </si>
  <si>
    <t>D2_44</t>
  </si>
  <si>
    <t>D3_11</t>
  </si>
  <si>
    <t>D3_12</t>
  </si>
  <si>
    <t>D3_13</t>
  </si>
  <si>
    <t>D3_14</t>
  </si>
  <si>
    <t>D3_21</t>
  </si>
  <si>
    <t>D3_22</t>
  </si>
  <si>
    <t>D3_23</t>
  </si>
  <si>
    <t>D3_24</t>
  </si>
  <si>
    <t>D3_31</t>
  </si>
  <si>
    <t>D3_32</t>
  </si>
  <si>
    <t>D3_33</t>
  </si>
  <si>
    <t>D3_34</t>
  </si>
  <si>
    <t>D3_41</t>
  </si>
  <si>
    <t>D3_42</t>
  </si>
  <si>
    <t>D3_43</t>
  </si>
  <si>
    <t>D3_44</t>
  </si>
  <si>
    <t>D4_11</t>
  </si>
  <si>
    <t>D4_12</t>
  </si>
  <si>
    <t>D4_13</t>
  </si>
  <si>
    <t>D4_14</t>
  </si>
  <si>
    <t>D4_21</t>
  </si>
  <si>
    <t>D4_22</t>
  </si>
  <si>
    <t>D4_23</t>
  </si>
  <si>
    <t>D4_24</t>
  </si>
  <si>
    <t>D4_31</t>
  </si>
  <si>
    <t>D4_32</t>
  </si>
  <si>
    <t>D4_33</t>
  </si>
  <si>
    <t>D4_34</t>
  </si>
  <si>
    <t>D4_41</t>
  </si>
  <si>
    <t>D4_42</t>
  </si>
  <si>
    <t>D4_43</t>
  </si>
  <si>
    <t>D4_44</t>
  </si>
  <si>
    <t>D5_11</t>
  </si>
  <si>
    <t>D5_12</t>
  </si>
  <si>
    <t>D5_13</t>
  </si>
  <si>
    <t>D5_14</t>
  </si>
  <si>
    <t>D5_21</t>
  </si>
  <si>
    <t>D5_22</t>
  </si>
  <si>
    <t>D5_23</t>
  </si>
  <si>
    <t>D5_24</t>
  </si>
  <si>
    <t>D5_31</t>
  </si>
  <si>
    <t>D5_32</t>
  </si>
  <si>
    <t>D5_33</t>
  </si>
  <si>
    <t>D5_34</t>
  </si>
  <si>
    <t>D5_41</t>
  </si>
  <si>
    <t>D5_42</t>
  </si>
  <si>
    <t>D5_43</t>
  </si>
  <si>
    <t>D5_44</t>
  </si>
  <si>
    <t>D6_11</t>
  </si>
  <si>
    <t>D6_12</t>
  </si>
  <si>
    <t>D6_13</t>
  </si>
  <si>
    <t>D6_14</t>
  </si>
  <si>
    <t>D6_21</t>
  </si>
  <si>
    <t>D6_22</t>
  </si>
  <si>
    <t>D6_23</t>
  </si>
  <si>
    <t>D6_24</t>
  </si>
  <si>
    <t>D6_31</t>
  </si>
  <si>
    <t>D6_32</t>
  </si>
  <si>
    <t>D6_33</t>
  </si>
  <si>
    <t>D6_34</t>
  </si>
  <si>
    <t>D6_41</t>
  </si>
  <si>
    <t>D6_42</t>
  </si>
  <si>
    <t>D6_43</t>
  </si>
  <si>
    <t>D6_44</t>
  </si>
  <si>
    <t>D7_11</t>
  </si>
  <si>
    <t>D7_12</t>
  </si>
  <si>
    <t>D7_13</t>
  </si>
  <si>
    <t>D7_14</t>
  </si>
  <si>
    <t>D7_21</t>
  </si>
  <si>
    <t>D7_22</t>
  </si>
  <si>
    <t>D7_23</t>
  </si>
  <si>
    <t>D7_24</t>
  </si>
  <si>
    <t>D7_31</t>
  </si>
  <si>
    <t>D7_32</t>
  </si>
  <si>
    <t>D7_33</t>
  </si>
  <si>
    <t>D7_34</t>
  </si>
  <si>
    <t>D7_41</t>
  </si>
  <si>
    <t>D7_42</t>
  </si>
  <si>
    <t>D7_43</t>
  </si>
  <si>
    <t>D7_44</t>
  </si>
  <si>
    <t>D8_11</t>
  </si>
  <si>
    <t>D8_12</t>
  </si>
  <si>
    <t>D8_13</t>
  </si>
  <si>
    <t>D8_14</t>
  </si>
  <si>
    <t>D8_21</t>
  </si>
  <si>
    <t>D8_22</t>
  </si>
  <si>
    <t>D8_23</t>
  </si>
  <si>
    <t>D8_24</t>
  </si>
  <si>
    <t>D8_31</t>
  </si>
  <si>
    <t>D8_32</t>
  </si>
  <si>
    <t>D8_33</t>
  </si>
  <si>
    <t>D8_34</t>
  </si>
  <si>
    <t>D8_41</t>
  </si>
  <si>
    <t>D8_42</t>
  </si>
  <si>
    <t>D8_43</t>
  </si>
  <si>
    <t>D8_44</t>
  </si>
  <si>
    <t>E1_11</t>
  </si>
  <si>
    <t>E1_12</t>
  </si>
  <si>
    <t>E1_13</t>
  </si>
  <si>
    <t>E1_14</t>
  </si>
  <si>
    <t>E1_21</t>
  </si>
  <si>
    <t>E1_22</t>
  </si>
  <si>
    <t>E1_23</t>
  </si>
  <si>
    <t>E1_24</t>
  </si>
  <si>
    <t>E1_31</t>
  </si>
  <si>
    <t>E1_32</t>
  </si>
  <si>
    <t>E1_33</t>
  </si>
  <si>
    <t>E1_34</t>
  </si>
  <si>
    <t>E1_41</t>
  </si>
  <si>
    <t>E1_42</t>
  </si>
  <si>
    <t>E1_43</t>
  </si>
  <si>
    <t>E1_44</t>
  </si>
  <si>
    <t>E2_11</t>
  </si>
  <si>
    <t>E2_12</t>
  </si>
  <si>
    <t>E2_13</t>
  </si>
  <si>
    <t>E2_14</t>
  </si>
  <si>
    <t>E2_21</t>
  </si>
  <si>
    <t>E2_22</t>
  </si>
  <si>
    <t>E2_23</t>
  </si>
  <si>
    <t>E2_24</t>
  </si>
  <si>
    <t>E2_31</t>
  </si>
  <si>
    <t>E2_32</t>
  </si>
  <si>
    <t>E2_33</t>
  </si>
  <si>
    <t>E2_34</t>
  </si>
  <si>
    <t>E2_41</t>
  </si>
  <si>
    <t>E2_42</t>
  </si>
  <si>
    <t>E2_43</t>
  </si>
  <si>
    <t>E2_44</t>
  </si>
  <si>
    <t>E3_11</t>
  </si>
  <si>
    <t>E3_12</t>
  </si>
  <si>
    <t>E3_13</t>
  </si>
  <si>
    <t>E3_14</t>
  </si>
  <si>
    <t>E3_21</t>
  </si>
  <si>
    <t>E3_22</t>
  </si>
  <si>
    <t>E3_23</t>
  </si>
  <si>
    <t>E3_24</t>
  </si>
  <si>
    <t>E3_31</t>
  </si>
  <si>
    <t>E3_32</t>
  </si>
  <si>
    <t>E3_33</t>
  </si>
  <si>
    <t>E3_34</t>
  </si>
  <si>
    <t>E3_41</t>
  </si>
  <si>
    <t>E3_42</t>
  </si>
  <si>
    <t>E3_43</t>
  </si>
  <si>
    <t>E3_44</t>
  </si>
  <si>
    <t>E4_11</t>
  </si>
  <si>
    <t>E4_12</t>
  </si>
  <si>
    <t>E4_13</t>
  </si>
  <si>
    <t>E4_14</t>
  </si>
  <si>
    <t>E4_21</t>
  </si>
  <si>
    <t>E4_22</t>
  </si>
  <si>
    <t>E4_23</t>
  </si>
  <si>
    <t>E4_24</t>
  </si>
  <si>
    <t>E4_31</t>
  </si>
  <si>
    <t>E4_32</t>
  </si>
  <si>
    <t>E4_33</t>
  </si>
  <si>
    <t>E4_34</t>
  </si>
  <si>
    <t>E4_41</t>
  </si>
  <si>
    <t>E4_42</t>
  </si>
  <si>
    <t>E4_43</t>
  </si>
  <si>
    <t>E4_44</t>
  </si>
  <si>
    <t>E5_11</t>
  </si>
  <si>
    <t>E5_12</t>
  </si>
  <si>
    <t>E5_13</t>
  </si>
  <si>
    <t>E5_14</t>
  </si>
  <si>
    <t>E5_21</t>
  </si>
  <si>
    <t>E5_22</t>
  </si>
  <si>
    <t>E5_23</t>
  </si>
  <si>
    <t>E5_24</t>
  </si>
  <si>
    <t>E5_31</t>
  </si>
  <si>
    <t>E5_32</t>
  </si>
  <si>
    <t>E5_33</t>
  </si>
  <si>
    <t>E5_34</t>
  </si>
  <si>
    <t>E5_41</t>
  </si>
  <si>
    <t>E5_42</t>
  </si>
  <si>
    <t>E5_43</t>
  </si>
  <si>
    <t>E5_44</t>
  </si>
  <si>
    <t>E6_11</t>
  </si>
  <si>
    <t>E6_12</t>
  </si>
  <si>
    <t>E6_13</t>
  </si>
  <si>
    <t>E6_14</t>
  </si>
  <si>
    <t>E6_21</t>
  </si>
  <si>
    <t>E6_22</t>
  </si>
  <si>
    <t>E6_23</t>
  </si>
  <si>
    <t>E6_24</t>
  </si>
  <si>
    <t>E6_31</t>
  </si>
  <si>
    <t>E6_32</t>
  </si>
  <si>
    <t>E6_33</t>
  </si>
  <si>
    <t>E6_34</t>
  </si>
  <si>
    <t>E6_41</t>
  </si>
  <si>
    <t>E6_42</t>
  </si>
  <si>
    <t>E6_43</t>
  </si>
  <si>
    <t>E6_44</t>
  </si>
  <si>
    <t>E7_11</t>
  </si>
  <si>
    <t>E7_12</t>
  </si>
  <si>
    <t>E7_13</t>
  </si>
  <si>
    <t>E7_14</t>
  </si>
  <si>
    <t>E7_21</t>
  </si>
  <si>
    <t>E7_22</t>
  </si>
  <si>
    <t>E7_23</t>
  </si>
  <si>
    <t>E7_24</t>
  </si>
  <si>
    <t>E7_31</t>
  </si>
  <si>
    <t>E7_32</t>
  </si>
  <si>
    <t>E7_33</t>
  </si>
  <si>
    <t>E7_34</t>
  </si>
  <si>
    <t>E7_41</t>
  </si>
  <si>
    <t>E7_42</t>
  </si>
  <si>
    <t>E7_43</t>
  </si>
  <si>
    <t>E7_44</t>
  </si>
  <si>
    <t>E8_11</t>
  </si>
  <si>
    <t>E8_12</t>
  </si>
  <si>
    <t>E8_13</t>
  </si>
  <si>
    <t>E8_14</t>
  </si>
  <si>
    <t>E8_21</t>
  </si>
  <si>
    <t>E8_22</t>
  </si>
  <si>
    <t>E8_23</t>
  </si>
  <si>
    <t>E8_24</t>
  </si>
  <si>
    <t>E8_31</t>
  </si>
  <si>
    <t>E8_32</t>
  </si>
  <si>
    <t>E8_33</t>
  </si>
  <si>
    <t>E8_34</t>
  </si>
  <si>
    <t>E8_41</t>
  </si>
  <si>
    <t>E8_42</t>
  </si>
  <si>
    <t>E8_43</t>
  </si>
  <si>
    <t>E8_44</t>
  </si>
  <si>
    <t>F1_11</t>
  </si>
  <si>
    <t>F1_12</t>
  </si>
  <si>
    <t>F1_13</t>
  </si>
  <si>
    <t>F1_14</t>
  </si>
  <si>
    <t>F1_21</t>
  </si>
  <si>
    <t>F1_22</t>
  </si>
  <si>
    <t>F1_23</t>
  </si>
  <si>
    <t>F1_24</t>
  </si>
  <si>
    <t>F1_31</t>
  </si>
  <si>
    <t>F1_32</t>
  </si>
  <si>
    <t>F1_33</t>
  </si>
  <si>
    <t>F1_34</t>
  </si>
  <si>
    <t>F1_41</t>
  </si>
  <si>
    <t>F1_42</t>
  </si>
  <si>
    <t>F1_43</t>
  </si>
  <si>
    <t>F1_44</t>
  </si>
  <si>
    <t>F2_11</t>
  </si>
  <si>
    <t>F2_12</t>
  </si>
  <si>
    <t>F2_13</t>
  </si>
  <si>
    <t>F2_14</t>
  </si>
  <si>
    <t>F2_21</t>
  </si>
  <si>
    <t>F2_22</t>
  </si>
  <si>
    <t>F2_23</t>
  </si>
  <si>
    <t>F2_24</t>
  </si>
  <si>
    <t>F2_31</t>
  </si>
  <si>
    <t>F2_32</t>
  </si>
  <si>
    <t>F2_33</t>
  </si>
  <si>
    <t>F2_34</t>
  </si>
  <si>
    <t>F2_41</t>
  </si>
  <si>
    <t>F2_42</t>
  </si>
  <si>
    <t>F2_43</t>
  </si>
  <si>
    <t>F2_44</t>
  </si>
  <si>
    <t>F3_11</t>
  </si>
  <si>
    <t>F3_12</t>
  </si>
  <si>
    <t>F3_13</t>
  </si>
  <si>
    <t>F3_14</t>
  </si>
  <si>
    <t>F3_21</t>
  </si>
  <si>
    <t>F3_22</t>
  </si>
  <si>
    <t>F3_23</t>
  </si>
  <si>
    <t>F3_24</t>
  </si>
  <si>
    <t>F3_31</t>
  </si>
  <si>
    <t>F3_32</t>
  </si>
  <si>
    <t>F3_33</t>
  </si>
  <si>
    <t>F3_34</t>
  </si>
  <si>
    <t>F3_41</t>
  </si>
  <si>
    <t>F3_42</t>
  </si>
  <si>
    <t>F3_43</t>
  </si>
  <si>
    <t>F3_44</t>
  </si>
  <si>
    <t>F4_11</t>
  </si>
  <si>
    <t>F4_12</t>
  </si>
  <si>
    <t>F4_13</t>
  </si>
  <si>
    <t>F4_14</t>
  </si>
  <si>
    <t>F4_21</t>
  </si>
  <si>
    <t>F4_22</t>
  </si>
  <si>
    <t>F4_23</t>
  </si>
  <si>
    <t>F4_24</t>
  </si>
  <si>
    <t>F4_31</t>
  </si>
  <si>
    <t>F4_32</t>
  </si>
  <si>
    <t>F4_33</t>
  </si>
  <si>
    <t>F4_34</t>
  </si>
  <si>
    <t>F4_41</t>
  </si>
  <si>
    <t>F4_42</t>
  </si>
  <si>
    <t>F4_43</t>
  </si>
  <si>
    <t>F4_44</t>
  </si>
  <si>
    <t>F5_11</t>
  </si>
  <si>
    <t>F5_12</t>
  </si>
  <si>
    <t>F5_13</t>
  </si>
  <si>
    <t>F5_14</t>
  </si>
  <si>
    <t>F5_21</t>
  </si>
  <si>
    <t>F5_22</t>
  </si>
  <si>
    <t>F5_23</t>
  </si>
  <si>
    <t>F5_24</t>
  </si>
  <si>
    <t>F5_31</t>
  </si>
  <si>
    <t>F5_32</t>
  </si>
  <si>
    <t>F5_33</t>
  </si>
  <si>
    <t>F5_34</t>
  </si>
  <si>
    <t>F5_41</t>
  </si>
  <si>
    <t>F5_42</t>
  </si>
  <si>
    <t>F5_43</t>
  </si>
  <si>
    <t>F5_44</t>
  </si>
  <si>
    <t>F6_11</t>
  </si>
  <si>
    <t>F6_12</t>
  </si>
  <si>
    <t>F6_13</t>
  </si>
  <si>
    <t>F6_14</t>
  </si>
  <si>
    <t>F6_21</t>
  </si>
  <si>
    <t>F6_22</t>
  </si>
  <si>
    <t>F6_23</t>
  </si>
  <si>
    <t>F6_24</t>
  </si>
  <si>
    <t>F6_31</t>
  </si>
  <si>
    <t>F6_32</t>
  </si>
  <si>
    <t>F6_33</t>
  </si>
  <si>
    <t>F6_34</t>
  </si>
  <si>
    <t>F6_41</t>
  </si>
  <si>
    <t>F6_42</t>
  </si>
  <si>
    <t>F6_43</t>
  </si>
  <si>
    <t>F6_44</t>
  </si>
  <si>
    <t>F7_11</t>
  </si>
  <si>
    <t>F7_12</t>
  </si>
  <si>
    <t>F7_13</t>
  </si>
  <si>
    <t>F7_14</t>
  </si>
  <si>
    <t>F7_21</t>
  </si>
  <si>
    <t>F7_22</t>
  </si>
  <si>
    <t>F7_23</t>
  </si>
  <si>
    <t>F7_24</t>
  </si>
  <si>
    <t>F7_31</t>
  </si>
  <si>
    <t>F7_32</t>
  </si>
  <si>
    <t>F7_33</t>
  </si>
  <si>
    <t>F7_34</t>
  </si>
  <si>
    <t>F7_41</t>
  </si>
  <si>
    <t>F7_42</t>
  </si>
  <si>
    <t>F7_43</t>
  </si>
  <si>
    <t>F7_44</t>
  </si>
  <si>
    <t>F8_11</t>
  </si>
  <si>
    <t>F8_12</t>
  </si>
  <si>
    <t>F8_13</t>
  </si>
  <si>
    <t>F8_14</t>
  </si>
  <si>
    <t>F8_21</t>
  </si>
  <si>
    <t>F8_22</t>
  </si>
  <si>
    <t>F8_23</t>
  </si>
  <si>
    <t>F8_24</t>
  </si>
  <si>
    <t>F8_31</t>
  </si>
  <si>
    <t>F8_32</t>
  </si>
  <si>
    <t>F8_33</t>
  </si>
  <si>
    <t>F8_34</t>
  </si>
  <si>
    <t>F8_41</t>
  </si>
  <si>
    <t>F8_42</t>
  </si>
  <si>
    <t>F8_43</t>
  </si>
  <si>
    <t>F8_44</t>
  </si>
  <si>
    <t xml:space="preserve">    ISI Coefficient of Variation</t>
  </si>
  <si>
    <t xml:space="preserve">    Median/Mean ISI within Burst</t>
  </si>
  <si>
    <t xml:space="preserve">    Burst Frequency (Hz)</t>
  </si>
  <si>
    <t xml:space="preserve">    IBI Coefficient of Variation</t>
  </si>
  <si>
    <t xml:space="preserve">    Normalized Duration IQR</t>
  </si>
  <si>
    <t xml:space="preserve">    Burst Percentage</t>
  </si>
  <si>
    <t>O:\TOX\NTX\Users\Arjun\201210_LvM_256135_1294-67_MEA_rCortex_Lindane_exposure_female_DIV10(000)_Spike Detector (7 x STD)(000).spk</t>
  </si>
  <si>
    <t xml:space="preserve">Baseline </t>
  </si>
  <si>
    <t xml:space="preserve">Exposure </t>
  </si>
  <si>
    <t>C:\Users\Lennart\Documents\MEA\201210_LvM_256135_1294-67_MEA_rCortex_Lindane_baseline_female_DIV10(000)_Spike Detector (7 x STD)(000)_neuralMetrics.csv</t>
  </si>
  <si>
    <t>C:\Users\Lennart\Documents\MEA\201210_LvM_256135_1294-67_MEA_rCortex_Lindane_exposure_female_DIV10(000)_Spike Detector (7 x STD)(000)_neuralMetrics.csv</t>
  </si>
  <si>
    <t>Control</t>
  </si>
  <si>
    <t>WELL</t>
  </si>
  <si>
    <t>BASELINE</t>
  </si>
  <si>
    <t>EXPOSURE</t>
  </si>
  <si>
    <t>rel. to Baseline</t>
  </si>
  <si>
    <t>rel</t>
  </si>
  <si>
    <t>Mean</t>
  </si>
  <si>
    <t>SPIKES</t>
  </si>
  <si>
    <t>BURSTS</t>
  </si>
  <si>
    <t>NETWORK BURSTS</t>
  </si>
  <si>
    <t>SYNCHRONY</t>
  </si>
  <si>
    <t>0.01</t>
  </si>
  <si>
    <t>Normalized to Control</t>
  </si>
  <si>
    <t>stdev</t>
  </si>
  <si>
    <t>0.1</t>
  </si>
  <si>
    <t>1</t>
  </si>
  <si>
    <t>10</t>
  </si>
  <si>
    <t>100</t>
  </si>
  <si>
    <t>Groups</t>
  </si>
  <si>
    <t>B1 B2 B3 B4 B5 B6 B7 B8</t>
  </si>
  <si>
    <t>solvent</t>
  </si>
  <si>
    <t>10,11,12,13,14,15,16,17</t>
  </si>
  <si>
    <t>F1 F2 F3 F4 F5 F6 F7 F8</t>
  </si>
  <si>
    <t>exposure</t>
  </si>
  <si>
    <t>42,43,44,45,46,47,48,49</t>
  </si>
  <si>
    <t>E1 E2 E3 E4 E5 E6 E7 E8</t>
  </si>
  <si>
    <t>34,35,36,37,38,39,40,41</t>
  </si>
  <si>
    <t>D1 D2 D3 D4 D5 D6 D7 D8</t>
  </si>
  <si>
    <t>26,27,28,29,30,31,32,33</t>
  </si>
  <si>
    <t>C1 C2 C3 C4 C5 C6 C7 C8</t>
  </si>
  <si>
    <t>18,19,20,21,22,23,24,25</t>
  </si>
  <si>
    <t>A1 A2 A3 A4 A5 A6 A7 A8</t>
  </si>
  <si>
    <t>2,3,4,5,6,7,8,9</t>
  </si>
  <si>
    <t>EndGroups</t>
  </si>
  <si>
    <t>MinSR</t>
  </si>
  <si>
    <t>MinBR</t>
  </si>
  <si>
    <t>Ael</t>
  </si>
  <si>
    <t>Aburst</t>
  </si>
  <si>
    <t>A1_13,A1_21,A1_22,A1_23,A1_24,A1_31,A1_32,A1_33,A1_34,A1_42,A1_43</t>
  </si>
  <si>
    <t>A1_13,A1_21,A1_22,A1_23,A1_24,A1_32,A1_34,A1_42,A1_43</t>
  </si>
  <si>
    <t>A2_11,A2_12,A2_13,A2_14,A2_21,A2_23,A2_24,A2_32,A2_33,A2_34,A2_42,A2_43,A2_44</t>
  </si>
  <si>
    <t>A3_11,A3_12,A3_13,A3_14,A3_21,A3_22,A3_23,A3_24,A3_31,A3_32,A3_33,A3_34,A3_41,A3_42,A3_43,A3_44</t>
  </si>
  <si>
    <t>A3_11,A3_12,A3_13,A3_14,A3_21,A3_22,A3_23,A3_24,A3_31,A3_32,A3_33,A3_34,A3_42,A3_44</t>
  </si>
  <si>
    <t>A4_11,A4_12,A4_13,A4_14,A4_21,A4_23,A4_24,A4_31,A4_32,A4_33,A4_34,A4_41,A4_42,A4_43,A4_44</t>
  </si>
  <si>
    <t>A5_11,A5_13,A5_14,A5_22,A5_23,A5_31,A5_32,A5_34,A5_41,A5_42,A5_44</t>
  </si>
  <si>
    <t>A5_13,A5_14,A5_22,A5_23,A5_31,A5_32,A5_41,A5_42,A5_44</t>
  </si>
  <si>
    <t>A6_11,A6_12,A6_13,A6_14,A6_22,A6_23,A6_31,A6_32,A6_33,A6_34,A6_41,A6_42,A6_43,A6_44</t>
  </si>
  <si>
    <t>A7_12,A7_13,A7_14,A7_21,A7_22,A7_23,A7_31,A7_32,A7_33,A7_34,A7_41,A7_42,A7_43,A7_44</t>
  </si>
  <si>
    <t>A8_11,A8_12,A8_13,A8_14,A8_21,A8_22,A8_23,A8_24,A8_31,A8_32,A8_33,A8_34,A8_43,A8_44</t>
  </si>
  <si>
    <t>A8_11,A8_12,A8_13,A8_14,A8_21,A8_22,A8_23,A8_24,A8_31,A8_32,A8_34,A8_43,A8_44</t>
  </si>
  <si>
    <t>B1_11,B1_12,B1_14,B1_22,B1_23,B1_24,B1_31,B1_32,B1_33,B1_34,B1_41,B1_42,B1_43</t>
  </si>
  <si>
    <t>B1_11,B1_12,B1_14,B1_22,B1_23,B1_24,B1_32,B1_33,B1_34,B1_41,B1_42,B1_43</t>
  </si>
  <si>
    <t>B2_11,B2_12,B2_13,B2_14,B2_21,B2_22,B2_24,B2_31,B2_32,B2_33,B2_34,B2_42</t>
  </si>
  <si>
    <t>B3_11,B3_12,B3_13,B3_14,B3_21,B3_22,B3_23,B3_24,B3_33,B3_34,B3_41,B3_42,B3_43,B3_44</t>
  </si>
  <si>
    <t>B4_11,B4_12,B4_13,B4_14,B4_21,B4_22,B4_23,B4_24,B4_31,B4_32,B4_33,B4_34,B4_41,B4_43,B4_44</t>
  </si>
  <si>
    <t>B5_13,B5_21,B5_22,B5_23,B5_24,B5_31,B5_33,B5_41,B5_42,B5_43,B5_44</t>
  </si>
  <si>
    <t>B6_11,B6_12,B6_13,B6_14,B6_21,B6_22,B6_23,B6_24,B6_31,B6_32,B6_33,B6_34,B6_41,B6_42,B6_43,B6_44</t>
  </si>
  <si>
    <t>B6_11,B6_12,B6_13,B6_14,B6_22,B6_23,B6_24,B6_31,B6_32,B6_33,B6_41,B6_42,B6_44</t>
  </si>
  <si>
    <t>B7_11,B7_12,B7_13,B7_14,B7_23,B7_24,B7_31,B7_32,B7_42,B7_43</t>
  </si>
  <si>
    <t>B7_11,B7_13,B7_14,B7_23,B7_24,B7_31,B7_32,B7_42,B7_43</t>
  </si>
  <si>
    <t>B8_11,B8_13,B8_23,B8_24,B8_31,B8_33,B8_34,B8_41,B8_42,B8_43,B8_44</t>
  </si>
  <si>
    <t>C1_11,C1_12,C1_13,C1_14,C1_21,C1_22,C1_23,C1_24,C1_31,C1_32,C1_33,C1_42,C1_43,C1_44</t>
  </si>
  <si>
    <t>C1_11,C1_12,C1_13,C1_14,C1_22,C1_23,C1_32,C1_33,C1_42,C1_43,C1_44</t>
  </si>
  <si>
    <t>C2_11,C2_13,C2_21,C2_24,C2_32,C2_34,C2_44</t>
  </si>
  <si>
    <t>C2_11,C2_13,C2_21,C2_24,C2_32,C2_34</t>
  </si>
  <si>
    <t>C3_11,C3_12,C3_13,C3_14,C3_22,C3_23,C3_24,C3_32,C3_33,C3_41,C3_42,C3_43,C3_44</t>
  </si>
  <si>
    <t>C3_11,C3_12,C3_13,C3_14,C3_22,C3_24,C3_32,C3_33,C3_41,C3_42,C3_43,C3_44</t>
  </si>
  <si>
    <t>C4_11,C4_13,C4_14,C4_21,C4_22,C4_23,C4_24,C4_31,C4_32,C4_34,C4_41,C4_42,C4_43,C4_44</t>
  </si>
  <si>
    <t>C4_11,C4_13,C4_14,C4_21,C4_22,C4_24,C4_31,C4_32,C4_34,C4_41,C4_42,C4_43,C4_44</t>
  </si>
  <si>
    <t>C5_11,C5_12,C5_13,C5_14,C5_21,C5_22,C5_23,C5_24,C5_32,C5_33,C5_34,C5_41,C5_43,C5_44</t>
  </si>
  <si>
    <t>C6_12,C6_13,C6_14,C6_21,C6_22,C6_23,C6_24,C6_32,C6_33,C6_34,C6_42,C6_43,C6_44</t>
  </si>
  <si>
    <t>C6_12,C6_13,C6_14,C6_21,C6_22,C6_23,C6_32,C6_33,C6_34,C6_42,C6_43,C6_44</t>
  </si>
  <si>
    <t>C7_11,C7_12,C7_13,C7_14,C7_21,C7_22,C7_23,C7_24,C7_33,C7_34,C7_41,C7_42,C7_43,C7_44</t>
  </si>
  <si>
    <t>C7_11,C7_12,C7_13,C7_21,C7_22,C7_23,C7_24,C7_33,C7_34,C7_42,C7_43,C7_44</t>
  </si>
  <si>
    <t>C8_11,C8_12,C8_13,C8_14,C8_21,C8_22,C8_23,C8_24,C8_31,C8_32,C8_33,C8_41,C8_42,C8_43,C8_44</t>
  </si>
  <si>
    <t>C8_12,C8_13,C8_14,C8_21,C8_23,C8_24,C8_31,C8_32,C8_33,C8_41,C8_42,C8_43,C8_44</t>
  </si>
  <si>
    <t>D1_11,D1_12,D1_13,D1_22,D1_23,D1_24,D1_31,D1_32,D1_33,D1_34,D1_41,D1_43,D1_44</t>
  </si>
  <si>
    <t>D1_11,D1_12,D1_13,D1_22,D1_23,D1_24,D1_32,D1_34,D1_41,D1_43,D1_44</t>
  </si>
  <si>
    <t>D2_11,D2_12,D2_13,D2_21,D2_41</t>
  </si>
  <si>
    <t>D2_11,D2_12,D2_13,D2_21</t>
  </si>
  <si>
    <t>D3_11,D3_12,D3_14,D3_21,D3_22,D3_23,D3_24,D3_31,D3_32,D3_34,D3_43,D3_44</t>
  </si>
  <si>
    <t>D4_11,D4_12,D4_13,D4_14,D4_21,D4_22,D4_23,D4_24,D4_31,D4_32,D4_33,D4_34,D4_41,D4_42,D4_43,D4_44</t>
  </si>
  <si>
    <t>D5_13,D5_14,D5_21,D5_22,D5_24,D5_31,D5_34,D5_43,D5_44</t>
  </si>
  <si>
    <t>D5_13,D5_14,D5_22,D5_24,D5_31,D5_34,D5_43,D5_44</t>
  </si>
  <si>
    <t>D6_11,D6_12,D6_13,D6_14,D6_21,D6_22,D6_23,D6_24,D6_31,D6_32,D6_33,D6_34,D6_41,D6_42,D6_43,D6_44</t>
  </si>
  <si>
    <t>D6_12,D6_13,D6_14,D6_21,D6_22,D6_23,D6_24,D6_31,D6_32,D6_33,D6_34,D6_41,D6_42,D6_43,D6_44</t>
  </si>
  <si>
    <t>D7_11,D7_12,D7_14,D7_21,D7_22,D7_23,D7_24,D7_31,D7_32,D7_33,D7_34,D7_41,D7_42,D7_43,D7_44</t>
  </si>
  <si>
    <t>D7_11,D7_12,D7_14,D7_21,D7_22,D7_23,D7_24,D7_31,D7_32,D7_34,D7_41,D7_42,D7_43,D7_44</t>
  </si>
  <si>
    <t>D8_11,D8_12,D8_13,D8_14,D8_21,D8_22,D8_23,D8_31,D8_32,D8_33,D8_41,D8_42,D8_43,D8_44</t>
  </si>
  <si>
    <t>D8_11,D8_12,D8_13,D8_14,D8_22,D8_33,D8_41,D8_43,D8_44</t>
  </si>
  <si>
    <t>E1_11,E1_12,E1_13,E1_14,E1_22,E1_23,E1_24,E1_31,E1_32,E1_33,E1_34,E1_41,E1_42,E1_43,E1_44</t>
  </si>
  <si>
    <t>E1_11,E1_12,E1_14,E1_22,E1_23,E1_24,E1_31,E1_32,E1_33,E1_34,E1_41,E1_42,E1_43,E1_44</t>
  </si>
  <si>
    <t>E2_12,E2_21,E2_23,E2_24,E2_31,E2_32,E2_33,E2_41,E2_42,E2_43</t>
  </si>
  <si>
    <t>E2_12,E2_21,E2_23,E2_24,E2_31,E2_32,E2_41,E2_42,E2_43</t>
  </si>
  <si>
    <t>E3_11,E3_12,E3_13,E3_21,E3_22,E3_23,E3_24,E3_32,E3_33,E3_34,E3_41</t>
  </si>
  <si>
    <t>E4_11,E4_13,E4_14,E4_21,E4_22,E4_23,E4_31,E4_32,E4_34,E4_41,E4_43,E4_44</t>
  </si>
  <si>
    <t>E5_11,E5_12,E5_13,E5_31,E5_32,E5_33,E5_34,E5_41,E5_42,E5_44</t>
  </si>
  <si>
    <t>E5_11,E5_12,E5_13,E5_32,E5_33,E5_34,E5_41,E5_42,E5_44</t>
  </si>
  <si>
    <t>E6_14,E6_21,E6_31,E6_32,E6_33,E6_34,E6_42,E6_43,E6_44</t>
  </si>
  <si>
    <t>E7_12,E7_13,E7_14,E7_21,E7_22,E7_24,E7_32,E7_34,E7_41,E7_43,E7_44</t>
  </si>
  <si>
    <t>E7_12,E7_13,E7_14,E7_21,E7_22,E7_24,E7_34,E7_44</t>
  </si>
  <si>
    <t>E8_12,E8_13,E8_14,E8_22,E8_23,E8_24,E8_31,E8_32,E8_33,E8_34,E8_41,E8_42,E8_43</t>
  </si>
  <si>
    <t>E8_12,E8_13,E8_14,E8_22,E8_23,E8_32,E8_33,E8_34,E8_41</t>
  </si>
  <si>
    <t>F1_11,F1_12,F1_13,F1_23,F1_24,F1_31,F1_32,F1_33,F1_34,F1_42,F1_44</t>
  </si>
  <si>
    <t>F2_13,F2_14,F2_21,F2_22,F2_32,F2_33,F2_34,F2_42,F2_43</t>
  </si>
  <si>
    <t>F3_11,F3_12,F3_13,F3_14,F3_21,F3_22,F3_23,F3_24,F3_31,F3_32,F3_33,F3_34,F3_41,F3_43,F3_44</t>
  </si>
  <si>
    <t>F3_13,F3_14,F3_22,F3_23,F3_24,F3_32,F3_33,F3_34,F3_41,F3_43,F3_44</t>
  </si>
  <si>
    <t>F4_11,F4_12,F4_31,F4_33,F4_34,F4_41,F4_42,F4_43,F4_44</t>
  </si>
  <si>
    <t>F4_11,F4_31,F4_33,F4_34,F4_41,F4_42,F4_43,F4_44</t>
  </si>
  <si>
    <t>F5_11,F5_12,F5_13,F5_14,F5_22,F5_23,F5_32,F5_33,F5_34,F5_42,F5_43</t>
  </si>
  <si>
    <t>F5_11,F5_12,F5_13,F5_14,F5_32,F5_33,F5_34,F5_42,F5_43</t>
  </si>
  <si>
    <t>F6_11,F6_12,F6_13,F6_14,F6_24,F6_31,F6_32,F6_34,F6_42,F6_43</t>
  </si>
  <si>
    <t>F6_11,F6_14,F6_24,F6_31,F6_32,F6_34,F6_42,F6_43</t>
  </si>
  <si>
    <t>F7_11,F7_12,F7_14,F7_23,F7_31,F7_32,F7_43</t>
  </si>
  <si>
    <t>F7_11,F7_12,F7_14,F7_23,F7_31,F7_32</t>
  </si>
  <si>
    <t>F8_11,F8_12,F8_13,F8_14,F8_22,F8_34,F8_41,F8_43,F8_44</t>
  </si>
  <si>
    <t>F8_11,F8_12,F8_14,F8_34,F8_41,F8_43,F8_44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</si>
</sst>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0" xfId="0" applyBorder="1"/>
    <xf numFmtId="164" fontId="0" fillId="0" borderId="0" xfId="0" applyNumberFormat="1" applyBorder="1"/>
    <xf numFmtId="0" fontId="1" fillId="0" borderId="0" xfId="0" quotePrefix="1" applyFont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O88"/>
  <sheetViews>
    <sheetView zoomScale="75" zoomScaleNormal="75" workbookViewId="0"/>
  </sheetViews>
  <sheetFormatPr defaultRowHeight="15" x14ac:dyDescent="0.25"/>
  <sheetData>
    <row r="1" spans="1:3" x14ac:dyDescent="0.25">
      <c r="A1" t="s">
        <v>3</v>
      </c>
      <c r="B1" t="s">
        <v>4</v>
      </c>
    </row>
    <row r="2" spans="1:3" x14ac:dyDescent="0.25">
      <c r="A2" t="s">
        <v>5</v>
      </c>
      <c r="B2" t="s">
        <v>6</v>
      </c>
    </row>
    <row r="4" spans="1:3" x14ac:dyDescent="0.25">
      <c r="A4" t="s">
        <v>7</v>
      </c>
      <c r="B4">
        <v>1200</v>
      </c>
    </row>
    <row r="5" spans="1:3" x14ac:dyDescent="0.25">
      <c r="A5" t="s">
        <v>8</v>
      </c>
      <c r="B5">
        <v>1800</v>
      </c>
    </row>
    <row r="6" spans="1:3" x14ac:dyDescent="0.25">
      <c r="A6" t="s">
        <v>9</v>
      </c>
    </row>
    <row r="7" spans="1:3" x14ac:dyDescent="0.25">
      <c r="A7" t="s">
        <v>10</v>
      </c>
      <c r="B7" t="b">
        <v>1</v>
      </c>
    </row>
    <row r="9" spans="1:3" x14ac:dyDescent="0.25">
      <c r="A9" t="s">
        <v>11</v>
      </c>
    </row>
    <row r="10" spans="1:3" x14ac:dyDescent="0.25">
      <c r="A10" t="s">
        <v>12</v>
      </c>
      <c r="B10" t="s">
        <v>13</v>
      </c>
    </row>
    <row r="11" spans="1:3" x14ac:dyDescent="0.25">
      <c r="A11" t="s">
        <v>14</v>
      </c>
      <c r="B11">
        <v>10</v>
      </c>
    </row>
    <row r="13" spans="1:3" x14ac:dyDescent="0.25">
      <c r="A13" t="s">
        <v>15</v>
      </c>
    </row>
    <row r="14" spans="1:3" x14ac:dyDescent="0.25">
      <c r="A14" t="s">
        <v>12</v>
      </c>
      <c r="B14" t="s">
        <v>16</v>
      </c>
      <c r="C14" t="s">
        <v>17</v>
      </c>
    </row>
    <row r="15" spans="1:3" x14ac:dyDescent="0.25">
      <c r="A15" t="s">
        <v>18</v>
      </c>
      <c r="B15">
        <v>40</v>
      </c>
    </row>
    <row r="16" spans="1:3" x14ac:dyDescent="0.25">
      <c r="A16" t="s">
        <v>19</v>
      </c>
      <c r="B16">
        <v>15</v>
      </c>
    </row>
    <row r="17" spans="1:49" x14ac:dyDescent="0.25">
      <c r="A17" t="s">
        <v>20</v>
      </c>
    </row>
    <row r="18" spans="1:49" x14ac:dyDescent="0.25">
      <c r="A18" t="s">
        <v>21</v>
      </c>
      <c r="B18">
        <v>20</v>
      </c>
    </row>
    <row r="20" spans="1:49" x14ac:dyDescent="0.25">
      <c r="A20" t="s">
        <v>22</v>
      </c>
    </row>
    <row r="21" spans="1:49" x14ac:dyDescent="0.25">
      <c r="A21" t="s">
        <v>23</v>
      </c>
    </row>
    <row r="22" spans="1:49" x14ac:dyDescent="0.25">
      <c r="A22" t="s">
        <v>24</v>
      </c>
      <c r="B22">
        <v>0</v>
      </c>
    </row>
    <row r="23" spans="1:49" x14ac:dyDescent="0.25">
      <c r="A23" t="s">
        <v>25</v>
      </c>
      <c r="B23">
        <v>100</v>
      </c>
    </row>
    <row r="24" spans="1:49" x14ac:dyDescent="0.25">
      <c r="A24" t="s">
        <v>26</v>
      </c>
      <c r="B24">
        <v>1</v>
      </c>
    </row>
    <row r="26" spans="1:49" x14ac:dyDescent="0.25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36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43</v>
      </c>
      <c r="R26" t="s">
        <v>44</v>
      </c>
      <c r="S26" t="s">
        <v>45</v>
      </c>
      <c r="T26" t="s">
        <v>46</v>
      </c>
      <c r="U26" t="s">
        <v>47</v>
      </c>
      <c r="V26" t="s">
        <v>48</v>
      </c>
      <c r="W26" t="s">
        <v>49</v>
      </c>
      <c r="X26" t="s">
        <v>50</v>
      </c>
      <c r="Y26" t="s">
        <v>51</v>
      </c>
      <c r="Z26" t="s">
        <v>52</v>
      </c>
      <c r="AA26" t="s">
        <v>53</v>
      </c>
      <c r="AB26" t="s">
        <v>54</v>
      </c>
      <c r="AC26" t="s">
        <v>55</v>
      </c>
      <c r="AD26" t="s">
        <v>56</v>
      </c>
      <c r="AE26" t="s">
        <v>57</v>
      </c>
      <c r="AF26" t="s">
        <v>58</v>
      </c>
      <c r="AG26" t="s">
        <v>59</v>
      </c>
      <c r="AH26" t="s">
        <v>60</v>
      </c>
      <c r="AI26" t="s">
        <v>61</v>
      </c>
      <c r="AJ26" t="s">
        <v>62</v>
      </c>
      <c r="AK26" t="s">
        <v>63</v>
      </c>
      <c r="AL26" t="s">
        <v>64</v>
      </c>
      <c r="AM26" t="s">
        <v>65</v>
      </c>
      <c r="AN26" t="s">
        <v>66</v>
      </c>
      <c r="AO26" t="s">
        <v>67</v>
      </c>
      <c r="AP26" t="s">
        <v>68</v>
      </c>
      <c r="AQ26" t="s">
        <v>69</v>
      </c>
      <c r="AR26" t="s">
        <v>70</v>
      </c>
      <c r="AS26" t="s">
        <v>71</v>
      </c>
      <c r="AT26" t="s">
        <v>72</v>
      </c>
      <c r="AU26" t="s">
        <v>73</v>
      </c>
      <c r="AV26" t="s">
        <v>74</v>
      </c>
      <c r="AW26" t="s">
        <v>75</v>
      </c>
    </row>
    <row r="27" spans="1:49" x14ac:dyDescent="0.25">
      <c r="A27" t="s">
        <v>76</v>
      </c>
    </row>
    <row r="28" spans="1:49" x14ac:dyDescent="0.25">
      <c r="A28" t="s">
        <v>77</v>
      </c>
    </row>
    <row r="29" spans="1:49" x14ac:dyDescent="0.25">
      <c r="A29" t="s">
        <v>78</v>
      </c>
      <c r="B29">
        <v>18132</v>
      </c>
      <c r="C29">
        <v>13508</v>
      </c>
      <c r="D29">
        <v>20222</v>
      </c>
      <c r="E29">
        <v>21873</v>
      </c>
      <c r="F29">
        <v>9482</v>
      </c>
      <c r="G29">
        <v>16128</v>
      </c>
      <c r="H29">
        <v>23866</v>
      </c>
      <c r="I29">
        <v>23086</v>
      </c>
      <c r="J29">
        <v>15958</v>
      </c>
      <c r="K29">
        <v>7214</v>
      </c>
      <c r="L29">
        <v>12770</v>
      </c>
      <c r="M29">
        <v>16345</v>
      </c>
      <c r="N29">
        <v>10691</v>
      </c>
      <c r="O29">
        <v>15503</v>
      </c>
      <c r="P29">
        <v>11720</v>
      </c>
      <c r="Q29">
        <v>19650</v>
      </c>
      <c r="R29">
        <v>17325</v>
      </c>
      <c r="S29">
        <v>4787</v>
      </c>
      <c r="T29">
        <v>11652</v>
      </c>
      <c r="U29">
        <v>11694</v>
      </c>
      <c r="V29">
        <v>16184</v>
      </c>
      <c r="W29">
        <v>16990</v>
      </c>
      <c r="X29">
        <v>17045</v>
      </c>
      <c r="Y29">
        <v>18124</v>
      </c>
      <c r="Z29">
        <v>19106</v>
      </c>
      <c r="AA29">
        <v>5132</v>
      </c>
      <c r="AB29">
        <v>12038</v>
      </c>
      <c r="AC29">
        <v>17395</v>
      </c>
      <c r="AD29">
        <v>8761</v>
      </c>
      <c r="AE29">
        <v>17767</v>
      </c>
      <c r="AF29">
        <v>12536</v>
      </c>
      <c r="AG29">
        <v>17452</v>
      </c>
      <c r="AH29">
        <v>20017</v>
      </c>
      <c r="AI29">
        <v>10662</v>
      </c>
      <c r="AJ29">
        <v>17000</v>
      </c>
      <c r="AK29">
        <v>20525</v>
      </c>
      <c r="AL29">
        <v>11896</v>
      </c>
      <c r="AM29">
        <v>10880</v>
      </c>
      <c r="AN29">
        <v>9511</v>
      </c>
      <c r="AO29">
        <v>12692</v>
      </c>
      <c r="AP29">
        <v>14799</v>
      </c>
      <c r="AQ29">
        <v>18621</v>
      </c>
      <c r="AR29">
        <v>12097</v>
      </c>
      <c r="AS29">
        <v>6595</v>
      </c>
      <c r="AT29">
        <v>7778</v>
      </c>
      <c r="AU29">
        <v>11643</v>
      </c>
      <c r="AV29">
        <v>8227</v>
      </c>
      <c r="AW29">
        <v>14445</v>
      </c>
    </row>
    <row r="30" spans="1:49" x14ac:dyDescent="0.25">
      <c r="A30" t="s">
        <v>79</v>
      </c>
      <c r="B30">
        <v>2.7472726363636366</v>
      </c>
      <c r="C30">
        <v>1.7317948461538462</v>
      </c>
      <c r="D30">
        <v>2.1064583750000003</v>
      </c>
      <c r="E30">
        <v>2.4303334000000003</v>
      </c>
      <c r="F30">
        <v>1.4366667272727272</v>
      </c>
      <c r="G30">
        <v>1.9200000714285714</v>
      </c>
      <c r="H30">
        <v>2.8411905000000002</v>
      </c>
      <c r="I30">
        <v>2.7483333571428576</v>
      </c>
      <c r="J30">
        <v>2.0458975384615385</v>
      </c>
      <c r="K30">
        <v>1.0019445000000002</v>
      </c>
      <c r="L30">
        <v>1.5202379999999998</v>
      </c>
      <c r="M30">
        <v>1.8161111333333331</v>
      </c>
      <c r="N30">
        <v>1.6198484545454546</v>
      </c>
      <c r="O30">
        <v>1.6148957500000003</v>
      </c>
      <c r="P30">
        <v>1.9533334999999998</v>
      </c>
      <c r="Q30">
        <v>2.977272727272728</v>
      </c>
      <c r="R30">
        <v>2.0625000714285715</v>
      </c>
      <c r="S30">
        <v>1.1397618571428572</v>
      </c>
      <c r="T30">
        <v>1.4938462307692304</v>
      </c>
      <c r="U30">
        <v>1.3921428571428571</v>
      </c>
      <c r="V30">
        <v>1.9266666428571428</v>
      </c>
      <c r="W30">
        <v>2.1782051538461538</v>
      </c>
      <c r="X30">
        <v>2.0291665714285716</v>
      </c>
      <c r="Y30">
        <v>2.0137778666666666</v>
      </c>
      <c r="Z30">
        <v>2.449487153846154</v>
      </c>
      <c r="AA30">
        <v>1.7106666000000004</v>
      </c>
      <c r="AB30">
        <v>1.671944416666667</v>
      </c>
      <c r="AC30">
        <v>1.8119792500000003</v>
      </c>
      <c r="AD30">
        <v>1.6224073333333333</v>
      </c>
      <c r="AE30">
        <v>1.8507291249999998</v>
      </c>
      <c r="AF30">
        <v>1.3928888000000001</v>
      </c>
      <c r="AG30">
        <v>2.0776190000000003</v>
      </c>
      <c r="AH30">
        <v>2.2241110666666666</v>
      </c>
      <c r="AI30">
        <v>1.7770001</v>
      </c>
      <c r="AJ30">
        <v>2.5757576363636363</v>
      </c>
      <c r="AK30">
        <v>2.8506944999999999</v>
      </c>
      <c r="AL30">
        <v>1.9826667000000004</v>
      </c>
      <c r="AM30">
        <v>2.0148147777777776</v>
      </c>
      <c r="AN30">
        <v>1.4410606363636362</v>
      </c>
      <c r="AO30">
        <v>1.6271794615384618</v>
      </c>
      <c r="AP30">
        <v>2.2422725454545454</v>
      </c>
      <c r="AQ30">
        <v>3.4483333333333328</v>
      </c>
      <c r="AR30">
        <v>1.3441110000000003</v>
      </c>
      <c r="AS30">
        <v>1.2212963333333331</v>
      </c>
      <c r="AT30">
        <v>1.1784849090909089</v>
      </c>
      <c r="AU30">
        <v>1.9405000000000001</v>
      </c>
      <c r="AV30">
        <v>1.9588094285714288</v>
      </c>
      <c r="AW30">
        <v>2.6749999999999998</v>
      </c>
    </row>
    <row r="31" spans="1:49" x14ac:dyDescent="0.25">
      <c r="A31" t="s">
        <v>80</v>
      </c>
      <c r="B31">
        <v>3.0932721818181816</v>
      </c>
      <c r="C31">
        <v>2.2906610000000005</v>
      </c>
      <c r="D31">
        <v>2.8166525000000004</v>
      </c>
      <c r="E31">
        <v>3.062758866666667</v>
      </c>
      <c r="F31">
        <v>3.221693181818182</v>
      </c>
      <c r="G31">
        <v>3.469198428571429</v>
      </c>
      <c r="H31">
        <v>4.0208600714285705</v>
      </c>
      <c r="I31">
        <v>3.7219958571428573</v>
      </c>
      <c r="J31">
        <v>2.5154820769230772</v>
      </c>
      <c r="K31">
        <v>2.8162348333333331</v>
      </c>
      <c r="L31">
        <v>4.3329342142857143</v>
      </c>
      <c r="M31">
        <v>2.9847148666666663</v>
      </c>
      <c r="N31">
        <v>3.2990637272727272</v>
      </c>
      <c r="O31">
        <v>2.5962831874999996</v>
      </c>
      <c r="P31">
        <v>2.9245530999999998</v>
      </c>
      <c r="Q31">
        <v>3.2231832727272729</v>
      </c>
      <c r="R31">
        <v>2.6145508571428571</v>
      </c>
      <c r="S31">
        <v>1.980661142857143</v>
      </c>
      <c r="T31">
        <v>2.9442285384615379</v>
      </c>
      <c r="U31">
        <v>2.8670487142857146</v>
      </c>
      <c r="V31">
        <v>3.7425814285714281</v>
      </c>
      <c r="W31">
        <v>4.0901536923076929</v>
      </c>
      <c r="X31">
        <v>2.9119159285714291</v>
      </c>
      <c r="Y31">
        <v>2.330349</v>
      </c>
      <c r="Z31">
        <v>2.5755305384615381</v>
      </c>
      <c r="AA31">
        <v>2.6576241999999999</v>
      </c>
      <c r="AB31">
        <v>2.8150820000000003</v>
      </c>
      <c r="AC31">
        <v>3.2525439999999999</v>
      </c>
      <c r="AD31">
        <v>2.5990915555555554</v>
      </c>
      <c r="AE31">
        <v>3.1695778125</v>
      </c>
      <c r="AF31">
        <v>2.703679866666667</v>
      </c>
      <c r="AG31">
        <v>2.3851367857142862</v>
      </c>
      <c r="AH31">
        <v>3.1174135333333335</v>
      </c>
      <c r="AI31">
        <v>2.3925015000000003</v>
      </c>
      <c r="AJ31">
        <v>4.0294048181818178</v>
      </c>
      <c r="AK31">
        <v>3.9275472500000004</v>
      </c>
      <c r="AL31">
        <v>3.1066336000000003</v>
      </c>
      <c r="AM31">
        <v>2.9237913333333334</v>
      </c>
      <c r="AN31">
        <v>2.3898061818181819</v>
      </c>
      <c r="AO31">
        <v>2.2076156153846154</v>
      </c>
      <c r="AP31">
        <v>2.9963438181818178</v>
      </c>
      <c r="AQ31">
        <v>3.7064398888888892</v>
      </c>
      <c r="AR31">
        <v>2.2058916666666666</v>
      </c>
      <c r="AS31">
        <v>2.3109666666666668</v>
      </c>
      <c r="AT31">
        <v>2.1334477272727272</v>
      </c>
      <c r="AU31">
        <v>2.8553172</v>
      </c>
      <c r="AV31">
        <v>2.4635964285714285</v>
      </c>
      <c r="AW31">
        <v>2.4838830000000005</v>
      </c>
    </row>
    <row r="32" spans="1:49" x14ac:dyDescent="0.25">
      <c r="A32" t="s">
        <v>81</v>
      </c>
      <c r="B32">
        <v>11</v>
      </c>
      <c r="C32">
        <v>13</v>
      </c>
      <c r="D32">
        <v>16</v>
      </c>
      <c r="E32">
        <v>15</v>
      </c>
      <c r="F32">
        <v>11</v>
      </c>
      <c r="G32">
        <v>14</v>
      </c>
      <c r="H32">
        <v>14</v>
      </c>
      <c r="I32">
        <v>14</v>
      </c>
      <c r="J32">
        <v>13</v>
      </c>
      <c r="K32">
        <v>12</v>
      </c>
      <c r="L32">
        <v>14</v>
      </c>
      <c r="M32">
        <v>15</v>
      </c>
      <c r="N32">
        <v>11</v>
      </c>
      <c r="O32">
        <v>16</v>
      </c>
      <c r="P32">
        <v>10</v>
      </c>
      <c r="Q32">
        <v>11</v>
      </c>
      <c r="R32">
        <v>14</v>
      </c>
      <c r="S32">
        <v>7</v>
      </c>
      <c r="T32">
        <v>13</v>
      </c>
      <c r="U32">
        <v>14</v>
      </c>
      <c r="V32">
        <v>14</v>
      </c>
      <c r="W32">
        <v>13</v>
      </c>
      <c r="X32">
        <v>14</v>
      </c>
      <c r="Y32">
        <v>15</v>
      </c>
      <c r="Z32">
        <v>13</v>
      </c>
      <c r="AA32">
        <v>5</v>
      </c>
      <c r="AB32">
        <v>12</v>
      </c>
      <c r="AC32">
        <v>16</v>
      </c>
      <c r="AD32">
        <v>9</v>
      </c>
      <c r="AE32">
        <v>16</v>
      </c>
      <c r="AF32">
        <v>15</v>
      </c>
      <c r="AG32">
        <v>14</v>
      </c>
      <c r="AH32">
        <v>15</v>
      </c>
      <c r="AI32">
        <v>10</v>
      </c>
      <c r="AJ32">
        <v>11</v>
      </c>
      <c r="AK32">
        <v>12</v>
      </c>
      <c r="AL32">
        <v>10</v>
      </c>
      <c r="AM32">
        <v>9</v>
      </c>
      <c r="AN32">
        <v>11</v>
      </c>
      <c r="AO32">
        <v>13</v>
      </c>
      <c r="AP32">
        <v>11</v>
      </c>
      <c r="AQ32">
        <v>9</v>
      </c>
      <c r="AR32">
        <v>15</v>
      </c>
      <c r="AS32">
        <v>9</v>
      </c>
      <c r="AT32">
        <v>11</v>
      </c>
      <c r="AU32">
        <v>10</v>
      </c>
      <c r="AV32">
        <v>7</v>
      </c>
      <c r="AW32">
        <v>9</v>
      </c>
    </row>
    <row r="33" spans="1:49" x14ac:dyDescent="0.25">
      <c r="A33" t="s">
        <v>82</v>
      </c>
      <c r="B33" t="s">
        <v>114</v>
      </c>
      <c r="C33" t="s">
        <v>114</v>
      </c>
      <c r="D33" t="s">
        <v>114</v>
      </c>
      <c r="E33" t="s">
        <v>114</v>
      </c>
      <c r="F33" t="s">
        <v>114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</row>
    <row r="34" spans="1:49" x14ac:dyDescent="0.25">
      <c r="A34" t="s">
        <v>83</v>
      </c>
    </row>
    <row r="35" spans="1:49" x14ac:dyDescent="0.25">
      <c r="A35" t="s">
        <v>84</v>
      </c>
      <c r="B35">
        <v>852</v>
      </c>
      <c r="C35">
        <v>853</v>
      </c>
      <c r="D35">
        <v>1176</v>
      </c>
      <c r="E35">
        <v>1193</v>
      </c>
      <c r="F35">
        <v>435</v>
      </c>
      <c r="G35">
        <v>754</v>
      </c>
      <c r="H35">
        <v>819</v>
      </c>
      <c r="I35">
        <v>1013</v>
      </c>
      <c r="J35">
        <v>816</v>
      </c>
      <c r="K35">
        <v>434</v>
      </c>
      <c r="L35">
        <v>580</v>
      </c>
      <c r="M35">
        <v>877</v>
      </c>
      <c r="N35">
        <v>535</v>
      </c>
      <c r="O35">
        <v>699</v>
      </c>
      <c r="P35">
        <v>650</v>
      </c>
      <c r="Q35">
        <v>919</v>
      </c>
      <c r="R35">
        <v>857</v>
      </c>
      <c r="S35">
        <v>214</v>
      </c>
      <c r="T35">
        <v>595</v>
      </c>
      <c r="U35">
        <v>614</v>
      </c>
      <c r="V35">
        <v>736</v>
      </c>
      <c r="W35">
        <v>760</v>
      </c>
      <c r="X35">
        <v>850</v>
      </c>
      <c r="Y35">
        <v>872</v>
      </c>
      <c r="Z35">
        <v>1083</v>
      </c>
      <c r="AA35">
        <v>288</v>
      </c>
      <c r="AB35">
        <v>506</v>
      </c>
      <c r="AC35">
        <v>855</v>
      </c>
      <c r="AD35">
        <v>441</v>
      </c>
      <c r="AE35">
        <v>824</v>
      </c>
      <c r="AF35">
        <v>617</v>
      </c>
      <c r="AG35">
        <v>788</v>
      </c>
      <c r="AH35">
        <v>1085</v>
      </c>
      <c r="AI35">
        <v>509</v>
      </c>
      <c r="AJ35">
        <v>678</v>
      </c>
      <c r="AK35">
        <v>802</v>
      </c>
      <c r="AL35">
        <v>463</v>
      </c>
      <c r="AM35">
        <v>506</v>
      </c>
      <c r="AN35">
        <v>435</v>
      </c>
      <c r="AO35">
        <v>626</v>
      </c>
      <c r="AP35">
        <v>632</v>
      </c>
      <c r="AQ35">
        <v>848</v>
      </c>
      <c r="AR35">
        <v>630</v>
      </c>
      <c r="AS35">
        <v>283</v>
      </c>
      <c r="AT35">
        <v>356</v>
      </c>
      <c r="AU35">
        <v>578</v>
      </c>
      <c r="AV35">
        <v>370</v>
      </c>
      <c r="AW35">
        <v>741</v>
      </c>
    </row>
    <row r="36" spans="1:49" x14ac:dyDescent="0.25">
      <c r="A36" t="s">
        <v>85</v>
      </c>
      <c r="B36">
        <v>9</v>
      </c>
      <c r="C36">
        <v>13</v>
      </c>
      <c r="D36">
        <v>14</v>
      </c>
      <c r="E36">
        <v>15</v>
      </c>
      <c r="F36">
        <v>9</v>
      </c>
      <c r="G36">
        <v>14</v>
      </c>
      <c r="H36">
        <v>14</v>
      </c>
      <c r="I36">
        <v>13</v>
      </c>
      <c r="J36">
        <v>12</v>
      </c>
      <c r="K36">
        <v>12</v>
      </c>
      <c r="L36">
        <v>14</v>
      </c>
      <c r="M36">
        <v>15</v>
      </c>
      <c r="N36">
        <v>11</v>
      </c>
      <c r="O36">
        <v>13</v>
      </c>
      <c r="P36">
        <v>9</v>
      </c>
      <c r="Q36">
        <v>11</v>
      </c>
      <c r="R36">
        <v>11</v>
      </c>
      <c r="S36">
        <v>6</v>
      </c>
      <c r="T36">
        <v>12</v>
      </c>
      <c r="U36">
        <v>13</v>
      </c>
      <c r="V36">
        <v>14</v>
      </c>
      <c r="W36">
        <v>12</v>
      </c>
      <c r="X36">
        <v>12</v>
      </c>
      <c r="Y36">
        <v>13</v>
      </c>
      <c r="Z36">
        <v>11</v>
      </c>
      <c r="AA36">
        <v>4</v>
      </c>
      <c r="AB36">
        <v>12</v>
      </c>
      <c r="AC36">
        <v>16</v>
      </c>
      <c r="AD36">
        <v>8</v>
      </c>
      <c r="AE36">
        <v>15</v>
      </c>
      <c r="AF36">
        <v>14</v>
      </c>
      <c r="AG36">
        <v>9</v>
      </c>
      <c r="AH36">
        <v>14</v>
      </c>
      <c r="AI36">
        <v>9</v>
      </c>
      <c r="AJ36">
        <v>11</v>
      </c>
      <c r="AK36">
        <v>12</v>
      </c>
      <c r="AL36">
        <v>9</v>
      </c>
      <c r="AM36">
        <v>9</v>
      </c>
      <c r="AN36">
        <v>8</v>
      </c>
      <c r="AO36">
        <v>9</v>
      </c>
      <c r="AP36">
        <v>11</v>
      </c>
      <c r="AQ36">
        <v>9</v>
      </c>
      <c r="AR36">
        <v>11</v>
      </c>
      <c r="AS36">
        <v>8</v>
      </c>
      <c r="AT36">
        <v>9</v>
      </c>
      <c r="AU36">
        <v>8</v>
      </c>
      <c r="AV36">
        <v>6</v>
      </c>
      <c r="AW36">
        <v>7</v>
      </c>
    </row>
    <row r="37" spans="1:49" x14ac:dyDescent="0.25">
      <c r="A37" t="s">
        <v>86</v>
      </c>
      <c r="B37">
        <v>0.10731455555555554</v>
      </c>
      <c r="C37">
        <v>6.3178538461538453E-2</v>
      </c>
      <c r="D37">
        <v>0.11105342857142857</v>
      </c>
      <c r="E37">
        <v>9.9812333333333322E-2</v>
      </c>
      <c r="F37">
        <v>0.2269818888888889</v>
      </c>
      <c r="G37">
        <v>0.20543542857142855</v>
      </c>
      <c r="H37">
        <v>0.16248399999999999</v>
      </c>
      <c r="I37">
        <v>0.13430015384615385</v>
      </c>
      <c r="J37">
        <v>0.10890333333333331</v>
      </c>
      <c r="K37">
        <v>0.15223391666666666</v>
      </c>
      <c r="L37">
        <v>0.15350114285714286</v>
      </c>
      <c r="M37">
        <v>0.117123</v>
      </c>
      <c r="N37">
        <v>0.10768390909090909</v>
      </c>
      <c r="O37">
        <v>9.9240384615384619E-2</v>
      </c>
      <c r="P37">
        <v>7.4378444444444469E-2</v>
      </c>
      <c r="Q37">
        <v>0.1201469090909091</v>
      </c>
      <c r="R37">
        <v>0.12180145454545453</v>
      </c>
      <c r="S37">
        <v>0.19899149999999999</v>
      </c>
      <c r="T37">
        <v>0.21158074999999998</v>
      </c>
      <c r="U37">
        <v>0.11958061538461537</v>
      </c>
      <c r="V37">
        <v>0.18314064285714288</v>
      </c>
      <c r="W37">
        <v>0.12153949999999998</v>
      </c>
      <c r="X37">
        <v>9.7651500000000002E-2</v>
      </c>
      <c r="Y37">
        <v>7.8913307692307713E-2</v>
      </c>
      <c r="Z37">
        <v>7.0076363636363659E-2</v>
      </c>
      <c r="AA37">
        <v>0.10605425</v>
      </c>
      <c r="AB37">
        <v>0.22604541666666667</v>
      </c>
      <c r="AC37">
        <v>0.1609664375</v>
      </c>
      <c r="AD37">
        <v>0.25489800000000001</v>
      </c>
      <c r="AE37">
        <v>0.15237386666666666</v>
      </c>
      <c r="AF37">
        <v>9.9029071428571425E-2</v>
      </c>
      <c r="AG37">
        <v>9.4945666666666664E-2</v>
      </c>
      <c r="AH37">
        <v>7.738085714285714E-2</v>
      </c>
      <c r="AI37">
        <v>0.15052399999999999</v>
      </c>
      <c r="AJ37">
        <v>0.12367509090909092</v>
      </c>
      <c r="AK37">
        <v>0.11439158333333332</v>
      </c>
      <c r="AL37">
        <v>0.32044922222222216</v>
      </c>
      <c r="AM37">
        <v>0.17310333333333333</v>
      </c>
      <c r="AN37">
        <v>0.1082785</v>
      </c>
      <c r="AO37">
        <v>0.14641266666666666</v>
      </c>
      <c r="AP37">
        <v>0.15699445454545455</v>
      </c>
      <c r="AQ37">
        <v>0.20023633333333332</v>
      </c>
      <c r="AR37">
        <v>0.17338618181818183</v>
      </c>
      <c r="AS37">
        <v>0.32548749999999999</v>
      </c>
      <c r="AT37">
        <v>0.10241622222222223</v>
      </c>
      <c r="AU37">
        <v>8.4328500000000001E-2</v>
      </c>
      <c r="AV37">
        <v>8.710083333333335E-2</v>
      </c>
      <c r="AW37">
        <v>0.12714642857142858</v>
      </c>
    </row>
    <row r="38" spans="1:49" x14ac:dyDescent="0.25">
      <c r="A38" t="s">
        <v>87</v>
      </c>
      <c r="B38">
        <v>15.792040111111113</v>
      </c>
      <c r="C38">
        <v>9.2660881538461553</v>
      </c>
      <c r="D38">
        <v>12.679073642857142</v>
      </c>
      <c r="E38">
        <v>13.110043399999999</v>
      </c>
      <c r="F38">
        <v>18.342788444444448</v>
      </c>
      <c r="G38">
        <v>16.406746071428575</v>
      </c>
      <c r="H38">
        <v>21.677370428571425</v>
      </c>
      <c r="I38">
        <v>17.493838384615383</v>
      </c>
      <c r="J38">
        <v>10.985568083333334</v>
      </c>
      <c r="K38">
        <v>11.235147750000001</v>
      </c>
      <c r="L38">
        <v>17.616356571428572</v>
      </c>
      <c r="M38">
        <v>13.194902000000003</v>
      </c>
      <c r="N38">
        <v>14.081990090909089</v>
      </c>
      <c r="O38">
        <v>13.609673846153846</v>
      </c>
      <c r="P38">
        <v>12.570922444444443</v>
      </c>
      <c r="Q38">
        <v>14.362300727272727</v>
      </c>
      <c r="R38">
        <v>12.945560454545456</v>
      </c>
      <c r="S38">
        <v>10.316845833333334</v>
      </c>
      <c r="T38">
        <v>14.125142833333335</v>
      </c>
      <c r="U38">
        <v>12.249288000000004</v>
      </c>
      <c r="V38">
        <v>17.834539499999998</v>
      </c>
      <c r="W38">
        <v>19.674487833333334</v>
      </c>
      <c r="X38">
        <v>13.904717333333336</v>
      </c>
      <c r="Y38">
        <v>11.308216461538462</v>
      </c>
      <c r="Z38">
        <v>11.798174909090909</v>
      </c>
      <c r="AA38">
        <v>13.696043750000001</v>
      </c>
      <c r="AB38">
        <v>15.641191333333333</v>
      </c>
      <c r="AC38">
        <v>15.0912591875</v>
      </c>
      <c r="AD38">
        <v>13.0621385</v>
      </c>
      <c r="AE38">
        <v>14.987564933333335</v>
      </c>
      <c r="AF38">
        <v>12.399887071428571</v>
      </c>
      <c r="AG38">
        <v>13.587269777777777</v>
      </c>
      <c r="AH38">
        <v>13.757891857142861</v>
      </c>
      <c r="AI38">
        <v>11.71549111111111</v>
      </c>
      <c r="AJ38">
        <v>20.116983818181822</v>
      </c>
      <c r="AK38">
        <v>19.445866583333331</v>
      </c>
      <c r="AL38">
        <v>17.221078444444444</v>
      </c>
      <c r="AM38">
        <v>13.570455777777775</v>
      </c>
      <c r="AN38">
        <v>13.000593125000002</v>
      </c>
      <c r="AO38">
        <v>11.920334222222221</v>
      </c>
      <c r="AP38">
        <v>15.055844454545456</v>
      </c>
      <c r="AQ38">
        <v>18.699992333333331</v>
      </c>
      <c r="AR38">
        <v>12.263536545454548</v>
      </c>
      <c r="AS38">
        <v>13.913521625000001</v>
      </c>
      <c r="AT38">
        <v>10.055462222222221</v>
      </c>
      <c r="AU38">
        <v>13.678672875</v>
      </c>
      <c r="AV38">
        <v>12.7190885</v>
      </c>
      <c r="AW38">
        <v>14.029436142857142</v>
      </c>
    </row>
    <row r="39" spans="1:49" x14ac:dyDescent="0.25">
      <c r="A39" t="s">
        <v>88</v>
      </c>
      <c r="B39">
        <v>7.8716666666666657E-3</v>
      </c>
      <c r="C39">
        <v>7.2039999999999986E-3</v>
      </c>
      <c r="D39">
        <v>7.1744285714285721E-3</v>
      </c>
      <c r="E39">
        <v>9.3787999999999996E-3</v>
      </c>
      <c r="F39">
        <v>1.0111555555555556E-2</v>
      </c>
      <c r="G39">
        <v>1.2693642857142856E-2</v>
      </c>
      <c r="H39">
        <v>7.9035714285714282E-3</v>
      </c>
      <c r="I39">
        <v>8.7290000000000006E-3</v>
      </c>
      <c r="J39">
        <v>9.9412500000000004E-3</v>
      </c>
      <c r="K39">
        <v>1.5094416666666666E-2</v>
      </c>
      <c r="L39">
        <v>1.2145285714285714E-2</v>
      </c>
      <c r="M39">
        <v>9.0066E-3</v>
      </c>
      <c r="N39">
        <v>8.6093636363636372E-3</v>
      </c>
      <c r="O39">
        <v>8.5623846153846158E-3</v>
      </c>
      <c r="P39">
        <v>6.7999999999999996E-3</v>
      </c>
      <c r="Q39">
        <v>9.9990909090909089E-3</v>
      </c>
      <c r="R39">
        <v>9.196818181818181E-3</v>
      </c>
      <c r="S39">
        <v>1.8791833333333331E-2</v>
      </c>
      <c r="T39">
        <v>1.5573916666666665E-2</v>
      </c>
      <c r="U39">
        <v>1.1161230769230769E-2</v>
      </c>
      <c r="V39">
        <v>1.0234071428571429E-2</v>
      </c>
      <c r="W39">
        <v>6.8690833333333338E-3</v>
      </c>
      <c r="X39">
        <v>7.7300000000000008E-3</v>
      </c>
      <c r="Y39">
        <v>8.324692307692309E-3</v>
      </c>
      <c r="Z39">
        <v>7.6290909090909083E-3</v>
      </c>
      <c r="AA39">
        <v>7.6532499999999995E-3</v>
      </c>
      <c r="AB39">
        <v>1.4624749999999999E-2</v>
      </c>
      <c r="AC39">
        <v>1.0193562500000001E-2</v>
      </c>
      <c r="AD39">
        <v>1.6293624999999999E-2</v>
      </c>
      <c r="AE39">
        <v>1.1753866666666668E-2</v>
      </c>
      <c r="AF39">
        <v>9.9799999999999993E-3</v>
      </c>
      <c r="AG39">
        <v>7.5761111111111125E-3</v>
      </c>
      <c r="AH39">
        <v>7.3575714285714269E-3</v>
      </c>
      <c r="AI39">
        <v>1.0322666666666667E-2</v>
      </c>
      <c r="AJ39">
        <v>7.2401818181818157E-3</v>
      </c>
      <c r="AK39">
        <v>7.6744999999999999E-3</v>
      </c>
      <c r="AL39">
        <v>1.4375111111111109E-2</v>
      </c>
      <c r="AM39">
        <v>1.2817555555555556E-2</v>
      </c>
      <c r="AN39">
        <v>9.436749999999999E-3</v>
      </c>
      <c r="AO39">
        <v>1.0660777777777778E-2</v>
      </c>
      <c r="AP39">
        <v>9.1981818181818172E-3</v>
      </c>
      <c r="AQ39">
        <v>7.2283333333333331E-3</v>
      </c>
      <c r="AR39">
        <v>1.412109090909091E-2</v>
      </c>
      <c r="AS39">
        <v>1.8201625000000003E-2</v>
      </c>
      <c r="AT39">
        <v>1.1673777777777776E-2</v>
      </c>
      <c r="AU39">
        <v>7.343124999999999E-3</v>
      </c>
      <c r="AV39">
        <v>7.9368333333333322E-3</v>
      </c>
      <c r="AW39">
        <v>8.5195714285714284E-3</v>
      </c>
    </row>
    <row r="40" spans="1:49" x14ac:dyDescent="0.25">
      <c r="A40" t="s">
        <v>89</v>
      </c>
      <c r="B40">
        <v>6.336777777777778E-3</v>
      </c>
      <c r="C40">
        <v>5.5809230769230771E-3</v>
      </c>
      <c r="D40">
        <v>5.4571428571428575E-3</v>
      </c>
      <c r="E40">
        <v>7.5112666666666671E-3</v>
      </c>
      <c r="F40">
        <v>7.4695555555555565E-3</v>
      </c>
      <c r="G40">
        <v>1.0121000000000002E-2</v>
      </c>
      <c r="H40">
        <v>5.6597857142857136E-3</v>
      </c>
      <c r="I40">
        <v>7.1292307692307679E-3</v>
      </c>
      <c r="J40">
        <v>7.3181666666666673E-3</v>
      </c>
      <c r="K40">
        <v>1.0944916666666667E-2</v>
      </c>
      <c r="L40">
        <v>9.1746428571428569E-3</v>
      </c>
      <c r="M40">
        <v>6.7647333333333342E-3</v>
      </c>
      <c r="N40">
        <v>6.7768181818181816E-3</v>
      </c>
      <c r="O40">
        <v>6.4900769230769231E-3</v>
      </c>
      <c r="P40">
        <v>5.2892222222222221E-3</v>
      </c>
      <c r="Q40">
        <v>6.894E-3</v>
      </c>
      <c r="R40">
        <v>6.3741818181818179E-3</v>
      </c>
      <c r="S40">
        <v>1.2753500000000001E-2</v>
      </c>
      <c r="T40">
        <v>1.0223833333333333E-2</v>
      </c>
      <c r="U40">
        <v>8.9779230769230778E-3</v>
      </c>
      <c r="V40">
        <v>6.676999999999998E-3</v>
      </c>
      <c r="W40">
        <v>5.3476666666666672E-3</v>
      </c>
      <c r="X40">
        <v>6.08575E-3</v>
      </c>
      <c r="Y40">
        <v>6.4944615384615384E-3</v>
      </c>
      <c r="Z40">
        <v>6.3476363636363635E-3</v>
      </c>
      <c r="AA40">
        <v>5.8872500000000001E-3</v>
      </c>
      <c r="AB40">
        <v>1.0311333333333334E-2</v>
      </c>
      <c r="AC40">
        <v>7.5069999999999998E-3</v>
      </c>
      <c r="AD40">
        <v>1.1546625E-2</v>
      </c>
      <c r="AE40">
        <v>8.7711999999999998E-3</v>
      </c>
      <c r="AF40">
        <v>7.3517857142857135E-3</v>
      </c>
      <c r="AG40">
        <v>5.3115555555555555E-3</v>
      </c>
      <c r="AH40">
        <v>5.8944285714285713E-3</v>
      </c>
      <c r="AI40">
        <v>7.7858888888888882E-3</v>
      </c>
      <c r="AJ40">
        <v>5.2679090909090905E-3</v>
      </c>
      <c r="AK40">
        <v>5.5832500000000005E-3</v>
      </c>
      <c r="AL40">
        <v>1.0203666666666666E-2</v>
      </c>
      <c r="AM40">
        <v>9.8044444444444438E-3</v>
      </c>
      <c r="AN40">
        <v>6.927E-3</v>
      </c>
      <c r="AO40">
        <v>7.2732222222222226E-3</v>
      </c>
      <c r="AP40">
        <v>7.3859090909090905E-3</v>
      </c>
      <c r="AQ40">
        <v>5.1810000000000007E-3</v>
      </c>
      <c r="AR40">
        <v>1.1168636363636363E-2</v>
      </c>
      <c r="AS40">
        <v>1.3190374999999999E-2</v>
      </c>
      <c r="AT40">
        <v>9.1558888888888888E-3</v>
      </c>
      <c r="AU40">
        <v>5.9788750000000007E-3</v>
      </c>
      <c r="AV40">
        <v>6.1830000000000001E-3</v>
      </c>
      <c r="AW40">
        <v>5.903857142857143E-3</v>
      </c>
    </row>
    <row r="41" spans="1:49" x14ac:dyDescent="0.25">
      <c r="A41" t="s">
        <v>90</v>
      </c>
      <c r="B41">
        <v>0.82258644444444451</v>
      </c>
      <c r="C41">
        <v>0.80526523076923084</v>
      </c>
      <c r="D41">
        <v>0.8316702142857143</v>
      </c>
      <c r="E41">
        <v>0.82166386666666669</v>
      </c>
      <c r="F41">
        <v>0.75564466666666663</v>
      </c>
      <c r="G41">
        <v>0.80918400000000001</v>
      </c>
      <c r="H41">
        <v>0.76091257142857138</v>
      </c>
      <c r="I41">
        <v>0.81992046153846154</v>
      </c>
      <c r="J41">
        <v>0.81816633333333322</v>
      </c>
      <c r="K41">
        <v>0.80094008333333322</v>
      </c>
      <c r="L41">
        <v>0.79029628571428578</v>
      </c>
      <c r="M41">
        <v>0.80341019999999996</v>
      </c>
      <c r="N41">
        <v>0.81541227272727279</v>
      </c>
      <c r="O41">
        <v>0.79751492307692307</v>
      </c>
      <c r="P41">
        <v>0.81895944444444446</v>
      </c>
      <c r="Q41">
        <v>0.79967099999999991</v>
      </c>
      <c r="R41">
        <v>0.81324336363636351</v>
      </c>
      <c r="S41">
        <v>0.74604649999999995</v>
      </c>
      <c r="T41">
        <v>0.73581133333333337</v>
      </c>
      <c r="U41">
        <v>0.81812030769230781</v>
      </c>
      <c r="V41">
        <v>0.78005857142857149</v>
      </c>
      <c r="W41">
        <v>0.79298475000000002</v>
      </c>
      <c r="X41">
        <v>0.82084533333333332</v>
      </c>
      <c r="Y41">
        <v>0.80341415384615378</v>
      </c>
      <c r="Z41">
        <v>0.82733909090909075</v>
      </c>
      <c r="AA41">
        <v>0.77877875000000008</v>
      </c>
      <c r="AB41">
        <v>0.80501174999999991</v>
      </c>
      <c r="AC41">
        <v>0.78984187500000003</v>
      </c>
      <c r="AD41">
        <v>0.76622999999999997</v>
      </c>
      <c r="AE41">
        <v>0.79695439999999995</v>
      </c>
      <c r="AF41">
        <v>0.78354385714285713</v>
      </c>
      <c r="AG41">
        <v>0.74363933333333343</v>
      </c>
      <c r="AH41">
        <v>0.81014450000000005</v>
      </c>
      <c r="AI41">
        <v>0.79626133333333327</v>
      </c>
      <c r="AJ41">
        <v>0.76222300000000009</v>
      </c>
      <c r="AK41">
        <v>0.78415541666666666</v>
      </c>
      <c r="AL41">
        <v>0.76857500000000001</v>
      </c>
      <c r="AM41">
        <v>0.7878505555555555</v>
      </c>
      <c r="AN41">
        <v>0.80006299999999997</v>
      </c>
      <c r="AO41">
        <v>0.79363455555555551</v>
      </c>
      <c r="AP41">
        <v>0.83536109090909083</v>
      </c>
      <c r="AQ41">
        <v>0.76279299999999994</v>
      </c>
      <c r="AR41">
        <v>0.81287227272727269</v>
      </c>
      <c r="AS41">
        <v>0.77695249999999993</v>
      </c>
      <c r="AT41">
        <v>0.80148300000000006</v>
      </c>
      <c r="AU41">
        <v>0.81956037500000012</v>
      </c>
      <c r="AV41">
        <v>0.81770366666666661</v>
      </c>
      <c r="AW41">
        <v>0.75198828571428578</v>
      </c>
    </row>
    <row r="42" spans="1:49" x14ac:dyDescent="0.25">
      <c r="A42" t="s">
        <v>91</v>
      </c>
      <c r="B42">
        <v>9.224453555555554</v>
      </c>
      <c r="C42">
        <v>28.374875153846151</v>
      </c>
      <c r="D42">
        <v>10.856373714285715</v>
      </c>
      <c r="E42">
        <v>17.345229066666668</v>
      </c>
      <c r="F42">
        <v>15.905779000000003</v>
      </c>
      <c r="G42">
        <v>14.725348642857144</v>
      </c>
      <c r="H42">
        <v>10.496590000000001</v>
      </c>
      <c r="I42">
        <v>10.835298769230768</v>
      </c>
      <c r="J42">
        <v>34.267665416666667</v>
      </c>
      <c r="K42">
        <v>30.626944249999998</v>
      </c>
      <c r="L42">
        <v>23.352609499999996</v>
      </c>
      <c r="M42">
        <v>15.270443799999999</v>
      </c>
      <c r="N42">
        <v>22.928489636363636</v>
      </c>
      <c r="O42">
        <v>20.711618230769229</v>
      </c>
      <c r="P42">
        <v>22.54934011111111</v>
      </c>
      <c r="Q42">
        <v>21.892392272727271</v>
      </c>
      <c r="R42">
        <v>20.314465272727276</v>
      </c>
      <c r="S42">
        <v>45.836306</v>
      </c>
      <c r="T42">
        <v>16.603728749999998</v>
      </c>
      <c r="U42">
        <v>21.377649692307692</v>
      </c>
      <c r="V42">
        <v>13.492152928571427</v>
      </c>
      <c r="W42">
        <v>10.427448833333335</v>
      </c>
      <c r="X42">
        <v>16.006888749999998</v>
      </c>
      <c r="Y42">
        <v>16.764556384615386</v>
      </c>
      <c r="Z42">
        <v>18.103023545454548</v>
      </c>
      <c r="AA42">
        <v>12.017080999999999</v>
      </c>
      <c r="AB42">
        <v>23.020473333333332</v>
      </c>
      <c r="AC42">
        <v>22.313690125000001</v>
      </c>
      <c r="AD42">
        <v>27.450154999999999</v>
      </c>
      <c r="AE42">
        <v>17.640595733333331</v>
      </c>
      <c r="AF42">
        <v>25.876780428571429</v>
      </c>
      <c r="AG42">
        <v>11.288341222222222</v>
      </c>
      <c r="AH42">
        <v>11.407229785714287</v>
      </c>
      <c r="AI42">
        <v>24.601829111111108</v>
      </c>
      <c r="AJ42">
        <v>10.239810909090908</v>
      </c>
      <c r="AK42">
        <v>18.621742583333333</v>
      </c>
      <c r="AL42">
        <v>15.494935888888891</v>
      </c>
      <c r="AM42">
        <v>16.923411333333334</v>
      </c>
      <c r="AN42">
        <v>14.067126249999999</v>
      </c>
      <c r="AO42">
        <v>29.642652222222225</v>
      </c>
      <c r="AP42">
        <v>19.683441999999999</v>
      </c>
      <c r="AQ42">
        <v>8.8583874444444444</v>
      </c>
      <c r="AR42">
        <v>29.077002545454544</v>
      </c>
      <c r="AS42">
        <v>38.608103249999999</v>
      </c>
      <c r="AT42">
        <v>27.775593222222223</v>
      </c>
      <c r="AU42">
        <v>25.088365375000002</v>
      </c>
      <c r="AV42">
        <v>38.529541666666667</v>
      </c>
      <c r="AW42">
        <v>12.654399285714286</v>
      </c>
    </row>
    <row r="43" spans="1:49" x14ac:dyDescent="0.25">
      <c r="A43" t="s">
        <v>92</v>
      </c>
      <c r="B43">
        <v>0.15777766666666668</v>
      </c>
      <c r="C43">
        <v>0.10935892307692306</v>
      </c>
      <c r="D43">
        <v>0.14000007142857143</v>
      </c>
      <c r="E43">
        <v>0.13255553333333334</v>
      </c>
      <c r="F43">
        <v>8.0555666666666664E-2</v>
      </c>
      <c r="G43">
        <v>8.9761857142857129E-2</v>
      </c>
      <c r="H43">
        <v>9.7500071428571436E-2</v>
      </c>
      <c r="I43">
        <v>0.12987184615384614</v>
      </c>
      <c r="J43">
        <v>0.11333341666666664</v>
      </c>
      <c r="K43">
        <v>6.0277833333333336E-2</v>
      </c>
      <c r="L43">
        <v>6.904757142857143E-2</v>
      </c>
      <c r="M43">
        <v>9.7444333333333313E-2</v>
      </c>
      <c r="N43">
        <v>8.1060636363636362E-2</v>
      </c>
      <c r="O43">
        <v>8.9615384615384625E-2</v>
      </c>
      <c r="P43">
        <v>0.12037033333333332</v>
      </c>
      <c r="Q43">
        <v>0.13924245454545459</v>
      </c>
      <c r="R43">
        <v>0.12984863636363636</v>
      </c>
      <c r="S43">
        <v>5.944449999999999E-2</v>
      </c>
      <c r="T43">
        <v>8.2638833333333328E-2</v>
      </c>
      <c r="U43">
        <v>7.8717999999999996E-2</v>
      </c>
      <c r="V43">
        <v>8.761892857142857E-2</v>
      </c>
      <c r="W43">
        <v>0.10555549999999998</v>
      </c>
      <c r="X43">
        <v>0.11805566666666667</v>
      </c>
      <c r="Y43">
        <v>0.11179492307692308</v>
      </c>
      <c r="Z43">
        <v>0.16409081818181817</v>
      </c>
      <c r="AA43">
        <v>0.12000000000000001</v>
      </c>
      <c r="AB43">
        <v>7.0277750000000014E-2</v>
      </c>
      <c r="AC43">
        <v>8.9062624999999992E-2</v>
      </c>
      <c r="AD43">
        <v>9.1874999999999998E-2</v>
      </c>
      <c r="AE43">
        <v>9.1555466666666668E-2</v>
      </c>
      <c r="AF43">
        <v>7.3452357142857153E-2</v>
      </c>
      <c r="AG43">
        <v>0.145926</v>
      </c>
      <c r="AH43">
        <v>0.12916671428571427</v>
      </c>
      <c r="AI43">
        <v>9.4259333333333334E-2</v>
      </c>
      <c r="AJ43">
        <v>0.10272727272727272</v>
      </c>
      <c r="AK43">
        <v>0.11138883333333333</v>
      </c>
      <c r="AL43">
        <v>8.5740888888888908E-2</v>
      </c>
      <c r="AM43">
        <v>9.3703777777777775E-2</v>
      </c>
      <c r="AN43">
        <v>9.0625125000000001E-2</v>
      </c>
      <c r="AO43">
        <v>0.115926</v>
      </c>
      <c r="AP43">
        <v>9.5757636363636364E-2</v>
      </c>
      <c r="AQ43">
        <v>0.15703699999999998</v>
      </c>
      <c r="AR43">
        <v>9.5454454545454551E-2</v>
      </c>
      <c r="AS43">
        <v>5.8958375E-2</v>
      </c>
      <c r="AT43">
        <v>6.5925888888888895E-2</v>
      </c>
      <c r="AU43">
        <v>0.12041650000000001</v>
      </c>
      <c r="AV43">
        <v>0.10277766666666666</v>
      </c>
      <c r="AW43">
        <v>0.17642828571428568</v>
      </c>
    </row>
    <row r="44" spans="1:49" x14ac:dyDescent="0.25">
      <c r="A44" t="s">
        <v>93</v>
      </c>
      <c r="B44">
        <v>0.60699688888888881</v>
      </c>
      <c r="C44">
        <v>0.65396446153846155</v>
      </c>
      <c r="D44">
        <v>0.67710314285714301</v>
      </c>
      <c r="E44">
        <v>0.53624806666666669</v>
      </c>
      <c r="F44">
        <v>0.63846800000000004</v>
      </c>
      <c r="G44">
        <v>0.46413307142857141</v>
      </c>
      <c r="H44">
        <v>0.33816335714285717</v>
      </c>
      <c r="I44">
        <v>0.76580953846153832</v>
      </c>
      <c r="J44">
        <v>0.68274075000000012</v>
      </c>
      <c r="K44">
        <v>0.65269458333333341</v>
      </c>
      <c r="L44">
        <v>0.76120178571428565</v>
      </c>
      <c r="M44">
        <v>0.66540313333333334</v>
      </c>
      <c r="N44">
        <v>0.85715918181818185</v>
      </c>
      <c r="O44">
        <v>0.51560769230769232</v>
      </c>
      <c r="P44">
        <v>0.5945961111111111</v>
      </c>
      <c r="Q44">
        <v>0.61855409090909097</v>
      </c>
      <c r="R44">
        <v>0.74121136363636364</v>
      </c>
      <c r="S44">
        <v>0.58108550000000003</v>
      </c>
      <c r="T44">
        <v>0.76685999999999988</v>
      </c>
      <c r="U44">
        <v>0.5814181538461537</v>
      </c>
      <c r="V44">
        <v>0.50496842857142854</v>
      </c>
      <c r="W44">
        <v>0.43369833333333335</v>
      </c>
      <c r="X44">
        <v>0.530281</v>
      </c>
      <c r="Y44">
        <v>0.64173184615384615</v>
      </c>
      <c r="Z44">
        <v>0.63564127272727278</v>
      </c>
      <c r="AA44">
        <v>0.64053950000000004</v>
      </c>
      <c r="AB44">
        <v>0.63386558333333343</v>
      </c>
      <c r="AC44">
        <v>0.59929256250000007</v>
      </c>
      <c r="AD44">
        <v>0.58463187500000013</v>
      </c>
      <c r="AE44">
        <v>0.52255513333333314</v>
      </c>
      <c r="AF44">
        <v>0.59551235714285711</v>
      </c>
      <c r="AG44">
        <v>0.52189677777777777</v>
      </c>
      <c r="AH44">
        <v>0.46698349999999994</v>
      </c>
      <c r="AI44">
        <v>0.74134988888888886</v>
      </c>
      <c r="AJ44">
        <v>0.63867463636363631</v>
      </c>
      <c r="AK44">
        <v>0.44420666666666664</v>
      </c>
      <c r="AL44">
        <v>0.78516577777777785</v>
      </c>
      <c r="AM44">
        <v>0.69341066666666662</v>
      </c>
      <c r="AN44">
        <v>0.579903375</v>
      </c>
      <c r="AO44">
        <v>0.64301688888888897</v>
      </c>
      <c r="AP44">
        <v>0.76944363636363644</v>
      </c>
      <c r="AQ44">
        <v>0.61883766666666662</v>
      </c>
      <c r="AR44">
        <v>0.75068718181818184</v>
      </c>
      <c r="AS44">
        <v>0.63950512500000001</v>
      </c>
      <c r="AT44">
        <v>0.82026444444444424</v>
      </c>
      <c r="AU44">
        <v>0.50016075000000004</v>
      </c>
      <c r="AV44">
        <v>0.69263166666666665</v>
      </c>
      <c r="AW44">
        <v>0.66433014285714287</v>
      </c>
    </row>
    <row r="45" spans="1:49" x14ac:dyDescent="0.25">
      <c r="A45" t="s">
        <v>94</v>
      </c>
      <c r="B45">
        <v>76.336951111111105</v>
      </c>
      <c r="C45">
        <v>54.922045692307691</v>
      </c>
      <c r="D45">
        <v>72.167720928571427</v>
      </c>
      <c r="E45">
        <v>70.560362799999993</v>
      </c>
      <c r="F45">
        <v>84.964458555555538</v>
      </c>
      <c r="G45">
        <v>80.347596142857142</v>
      </c>
      <c r="H45">
        <v>86.33738842857143</v>
      </c>
      <c r="I45">
        <v>79.968142076923087</v>
      </c>
      <c r="J45">
        <v>56.485320916666666</v>
      </c>
      <c r="K45">
        <v>66.322914249999982</v>
      </c>
      <c r="L45">
        <v>81.749092857142841</v>
      </c>
      <c r="M45">
        <v>70.340576600000006</v>
      </c>
      <c r="N45">
        <v>74.112832727272732</v>
      </c>
      <c r="O45">
        <v>66.688189307692312</v>
      </c>
      <c r="P45">
        <v>71.588318333333333</v>
      </c>
      <c r="Q45">
        <v>66.499919545454546</v>
      </c>
      <c r="R45">
        <v>64.511293454545452</v>
      </c>
      <c r="S45">
        <v>40.844891000000004</v>
      </c>
      <c r="T45">
        <v>72.405400999999998</v>
      </c>
      <c r="U45">
        <v>67.362989846153837</v>
      </c>
      <c r="V45">
        <v>81.858549642857142</v>
      </c>
      <c r="W45">
        <v>91.90174016666667</v>
      </c>
      <c r="X45">
        <v>70.828504999999993</v>
      </c>
      <c r="Y45">
        <v>56.837667923076914</v>
      </c>
      <c r="Z45">
        <v>66.811424363636363</v>
      </c>
      <c r="AA45">
        <v>77.850651999999997</v>
      </c>
      <c r="AB45">
        <v>64.524346749999992</v>
      </c>
      <c r="AC45">
        <v>73.184244812500012</v>
      </c>
      <c r="AD45">
        <v>61.315950874999999</v>
      </c>
      <c r="AE45">
        <v>74.376855666666671</v>
      </c>
      <c r="AF45">
        <v>64.866739928571434</v>
      </c>
      <c r="AG45">
        <v>67.387695333333326</v>
      </c>
      <c r="AH45">
        <v>79.212586999999999</v>
      </c>
      <c r="AI45">
        <v>52.824994888888895</v>
      </c>
      <c r="AJ45">
        <v>82.18945318181818</v>
      </c>
      <c r="AK45">
        <v>77.89192391666667</v>
      </c>
      <c r="AL45">
        <v>68.61550166666666</v>
      </c>
      <c r="AM45">
        <v>64.340932222222222</v>
      </c>
      <c r="AN45">
        <v>65.335630374999994</v>
      </c>
      <c r="AO45">
        <v>58.107671555555562</v>
      </c>
      <c r="AP45">
        <v>63.447963636363646</v>
      </c>
      <c r="AQ45">
        <v>80.880284333333336</v>
      </c>
      <c r="AR45">
        <v>56.028454454545461</v>
      </c>
      <c r="AS45">
        <v>52.908109125000003</v>
      </c>
      <c r="AT45">
        <v>46.644601333333334</v>
      </c>
      <c r="AU45">
        <v>74.577948875000004</v>
      </c>
      <c r="AV45">
        <v>54.923418500000004</v>
      </c>
      <c r="AW45">
        <v>66.17254057142857</v>
      </c>
    </row>
    <row r="46" spans="1:49" x14ac:dyDescent="0.25">
      <c r="A46" t="s">
        <v>95</v>
      </c>
    </row>
    <row r="47" spans="1:49" x14ac:dyDescent="0.25">
      <c r="A47" t="s">
        <v>96</v>
      </c>
      <c r="B47">
        <v>143</v>
      </c>
      <c r="C47">
        <v>152</v>
      </c>
      <c r="D47">
        <v>135</v>
      </c>
      <c r="E47">
        <v>134</v>
      </c>
      <c r="F47">
        <v>70</v>
      </c>
      <c r="G47">
        <v>84</v>
      </c>
      <c r="H47">
        <v>67</v>
      </c>
      <c r="I47">
        <v>101</v>
      </c>
      <c r="J47">
        <v>156</v>
      </c>
      <c r="K47">
        <v>67</v>
      </c>
      <c r="L47">
        <v>55</v>
      </c>
      <c r="M47">
        <v>106</v>
      </c>
      <c r="N47">
        <v>86</v>
      </c>
      <c r="O47">
        <v>100</v>
      </c>
      <c r="P47">
        <v>117</v>
      </c>
      <c r="Q47">
        <v>134</v>
      </c>
      <c r="R47">
        <v>147</v>
      </c>
      <c r="S47">
        <v>32</v>
      </c>
      <c r="T47">
        <v>89</v>
      </c>
      <c r="U47">
        <v>102</v>
      </c>
      <c r="V47">
        <v>72</v>
      </c>
      <c r="W47">
        <v>74</v>
      </c>
      <c r="X47">
        <v>121</v>
      </c>
      <c r="Y47">
        <v>158</v>
      </c>
      <c r="Z47">
        <v>174</v>
      </c>
      <c r="AA47">
        <v>44</v>
      </c>
      <c r="AB47">
        <v>90</v>
      </c>
      <c r="AC47">
        <v>96</v>
      </c>
      <c r="AD47">
        <v>97</v>
      </c>
      <c r="AE47">
        <v>96</v>
      </c>
      <c r="AF47">
        <v>89</v>
      </c>
      <c r="AG47">
        <v>149</v>
      </c>
      <c r="AH47">
        <v>115</v>
      </c>
      <c r="AI47">
        <v>126</v>
      </c>
      <c r="AJ47">
        <v>92</v>
      </c>
      <c r="AK47">
        <v>94</v>
      </c>
      <c r="AL47">
        <v>96</v>
      </c>
      <c r="AM47">
        <v>107</v>
      </c>
      <c r="AN47">
        <v>87</v>
      </c>
      <c r="AO47">
        <v>140</v>
      </c>
      <c r="AP47">
        <v>126</v>
      </c>
      <c r="AQ47">
        <v>119</v>
      </c>
      <c r="AR47">
        <v>141</v>
      </c>
      <c r="AS47">
        <v>62</v>
      </c>
      <c r="AT47">
        <v>98</v>
      </c>
      <c r="AU47">
        <v>115</v>
      </c>
      <c r="AV47">
        <v>91</v>
      </c>
      <c r="AW47">
        <v>163</v>
      </c>
    </row>
    <row r="48" spans="1:49" x14ac:dyDescent="0.25">
      <c r="A48" t="s">
        <v>97</v>
      </c>
      <c r="B48">
        <v>0.23833299999999999</v>
      </c>
      <c r="C48">
        <v>0.25333299999999997</v>
      </c>
      <c r="D48">
        <v>0.22500000000000001</v>
      </c>
      <c r="E48">
        <v>0.223333</v>
      </c>
      <c r="F48">
        <v>0.11666700000000001</v>
      </c>
      <c r="G48">
        <v>0.14000000000000001</v>
      </c>
      <c r="H48">
        <v>0.111667</v>
      </c>
      <c r="I48">
        <v>0.16833300000000001</v>
      </c>
      <c r="J48">
        <v>0.26</v>
      </c>
      <c r="K48">
        <v>0.111667</v>
      </c>
      <c r="L48">
        <v>9.1666999999999998E-2</v>
      </c>
      <c r="M48">
        <v>0.17666699999999999</v>
      </c>
      <c r="N48">
        <v>0.14333299999999999</v>
      </c>
      <c r="O48">
        <v>0.16666700000000001</v>
      </c>
      <c r="P48">
        <v>0.19500000000000001</v>
      </c>
      <c r="Q48">
        <v>0.223333</v>
      </c>
      <c r="R48">
        <v>0.245</v>
      </c>
      <c r="S48">
        <v>5.3332999999999998E-2</v>
      </c>
      <c r="T48">
        <v>0.14833299999999999</v>
      </c>
      <c r="U48">
        <v>0.17</v>
      </c>
      <c r="V48">
        <v>0.12</v>
      </c>
      <c r="W48">
        <v>0.123333</v>
      </c>
      <c r="X48">
        <v>0.20166700000000001</v>
      </c>
      <c r="Y48">
        <v>0.26333299999999998</v>
      </c>
      <c r="Z48">
        <v>0.28999999999999998</v>
      </c>
      <c r="AA48">
        <v>7.3332999999999995E-2</v>
      </c>
      <c r="AB48">
        <v>0.15</v>
      </c>
      <c r="AC48">
        <v>0.16</v>
      </c>
      <c r="AD48">
        <v>0.16166700000000001</v>
      </c>
      <c r="AE48">
        <v>0.16</v>
      </c>
      <c r="AF48">
        <v>0.14833299999999999</v>
      </c>
      <c r="AG48">
        <v>0.248333</v>
      </c>
      <c r="AH48">
        <v>0.191667</v>
      </c>
      <c r="AI48">
        <v>0.21</v>
      </c>
      <c r="AJ48">
        <v>0.153333</v>
      </c>
      <c r="AK48">
        <v>0.156667</v>
      </c>
      <c r="AL48">
        <v>0.16</v>
      </c>
      <c r="AM48">
        <v>0.17833299999999999</v>
      </c>
      <c r="AN48">
        <v>0.14499999999999999</v>
      </c>
      <c r="AO48">
        <v>0.23333300000000001</v>
      </c>
      <c r="AP48">
        <v>0.21</v>
      </c>
      <c r="AQ48">
        <v>0.19833300000000001</v>
      </c>
      <c r="AR48">
        <v>0.23499999999999999</v>
      </c>
      <c r="AS48">
        <v>0.10333299999999999</v>
      </c>
      <c r="AT48">
        <v>0.16333300000000001</v>
      </c>
      <c r="AU48">
        <v>0.191667</v>
      </c>
      <c r="AV48">
        <v>0.151667</v>
      </c>
      <c r="AW48">
        <v>0.27166699999999999</v>
      </c>
    </row>
    <row r="49" spans="1:49" x14ac:dyDescent="0.25">
      <c r="A49" t="s">
        <v>98</v>
      </c>
      <c r="B49">
        <v>0.23725399999999999</v>
      </c>
      <c r="C49">
        <v>0.202431</v>
      </c>
      <c r="D49">
        <v>0.25857799999999997</v>
      </c>
      <c r="E49">
        <v>0.24523500000000001</v>
      </c>
      <c r="F49">
        <v>0.40501599999999999</v>
      </c>
      <c r="G49">
        <v>0.39200600000000002</v>
      </c>
      <c r="H49">
        <v>0.39739099999999999</v>
      </c>
      <c r="I49">
        <v>0.38150000000000001</v>
      </c>
      <c r="J49">
        <v>0.14097399999999999</v>
      </c>
      <c r="K49">
        <v>0.219746</v>
      </c>
      <c r="L49">
        <v>0.48871399999999998</v>
      </c>
      <c r="M49">
        <v>0.24374299999999999</v>
      </c>
      <c r="N49">
        <v>0.22867199999999999</v>
      </c>
      <c r="O49">
        <v>0.34443499999999999</v>
      </c>
      <c r="P49">
        <v>0.25935900000000001</v>
      </c>
      <c r="Q49">
        <v>0.25986799999999999</v>
      </c>
      <c r="R49">
        <v>0.17879500000000001</v>
      </c>
      <c r="S49">
        <v>0.387845</v>
      </c>
      <c r="T49">
        <v>0.281059</v>
      </c>
      <c r="U49">
        <v>0.28539799999999999</v>
      </c>
      <c r="V49">
        <v>0.51249400000000001</v>
      </c>
      <c r="W49">
        <v>0.33000800000000002</v>
      </c>
      <c r="X49">
        <v>0.26900600000000002</v>
      </c>
      <c r="Y49">
        <v>0.21615500000000001</v>
      </c>
      <c r="Z49">
        <v>0.130832</v>
      </c>
      <c r="AA49">
        <v>0.18070700000000001</v>
      </c>
      <c r="AB49">
        <v>0.30387199999999998</v>
      </c>
      <c r="AC49">
        <v>0.31789499999999998</v>
      </c>
      <c r="AD49">
        <v>0.39449899999999999</v>
      </c>
      <c r="AE49">
        <v>0.425201</v>
      </c>
      <c r="AF49">
        <v>0.31731999999999999</v>
      </c>
      <c r="AG49">
        <v>0.22389300000000001</v>
      </c>
      <c r="AH49">
        <v>0.172955</v>
      </c>
      <c r="AI49">
        <v>0.20900199999999999</v>
      </c>
      <c r="AJ49">
        <v>0.30462099999999998</v>
      </c>
      <c r="AK49">
        <v>0.34920400000000001</v>
      </c>
      <c r="AL49">
        <v>0.66008999999999995</v>
      </c>
      <c r="AM49">
        <v>0.33066200000000001</v>
      </c>
      <c r="AN49">
        <v>0.29542499999999999</v>
      </c>
      <c r="AO49">
        <v>0.22323899999999999</v>
      </c>
      <c r="AP49">
        <v>0.230267</v>
      </c>
      <c r="AQ49">
        <v>0.37886300000000001</v>
      </c>
      <c r="AR49">
        <v>0.158578</v>
      </c>
      <c r="AS49">
        <v>0.40105200000000002</v>
      </c>
      <c r="AT49">
        <v>0.20286000000000001</v>
      </c>
      <c r="AU49">
        <v>0.33722600000000003</v>
      </c>
      <c r="AV49">
        <v>0.20996300000000001</v>
      </c>
      <c r="AW49">
        <v>0.31562099999999998</v>
      </c>
    </row>
    <row r="50" spans="1:49" x14ac:dyDescent="0.25">
      <c r="A50" t="s">
        <v>99</v>
      </c>
      <c r="B50">
        <v>125.895105</v>
      </c>
      <c r="C50">
        <v>84.796053000000001</v>
      </c>
      <c r="D50">
        <v>147.933333</v>
      </c>
      <c r="E50">
        <v>163.179104</v>
      </c>
      <c r="F50">
        <v>131.88571400000001</v>
      </c>
      <c r="G50">
        <v>191.36904799999999</v>
      </c>
      <c r="H50">
        <v>295.88059700000002</v>
      </c>
      <c r="I50">
        <v>224.643564</v>
      </c>
      <c r="J50">
        <v>96.538461999999996</v>
      </c>
      <c r="K50">
        <v>104.283582</v>
      </c>
      <c r="L50">
        <v>229.94545500000001</v>
      </c>
      <c r="M50">
        <v>152.13207499999999</v>
      </c>
      <c r="N50">
        <v>124.488372</v>
      </c>
      <c r="O50">
        <v>147.57</v>
      </c>
      <c r="P50">
        <v>99.794871999999998</v>
      </c>
      <c r="Q50">
        <v>142</v>
      </c>
      <c r="R50">
        <v>115.87074800000001</v>
      </c>
      <c r="S50">
        <v>54.40625</v>
      </c>
      <c r="T50">
        <v>131.202247</v>
      </c>
      <c r="U50">
        <v>113.294118</v>
      </c>
      <c r="V50">
        <v>215.055556</v>
      </c>
      <c r="W50">
        <v>230.337838</v>
      </c>
      <c r="X50">
        <v>140.14049600000001</v>
      </c>
      <c r="Y50">
        <v>106.759494</v>
      </c>
      <c r="Z50">
        <v>109.005747</v>
      </c>
      <c r="AA50">
        <v>66.295455000000004</v>
      </c>
      <c r="AB50">
        <v>120.64444399999999</v>
      </c>
      <c r="AC50">
        <v>180.4375</v>
      </c>
      <c r="AD50">
        <v>81.030928000000003</v>
      </c>
      <c r="AE50">
        <v>184.70833300000001</v>
      </c>
      <c r="AF50">
        <v>136.56179800000001</v>
      </c>
      <c r="AG50">
        <v>103.97315399999999</v>
      </c>
      <c r="AH50">
        <v>172.89565200000001</v>
      </c>
      <c r="AI50">
        <v>78.769841</v>
      </c>
      <c r="AJ50">
        <v>183.98912999999999</v>
      </c>
      <c r="AK50">
        <v>217.43617</v>
      </c>
      <c r="AL50">
        <v>121.104167</v>
      </c>
      <c r="AM50">
        <v>96.878505000000004</v>
      </c>
      <c r="AN50">
        <v>94.666667000000004</v>
      </c>
      <c r="AO50">
        <v>86.678571000000005</v>
      </c>
      <c r="AP50">
        <v>116.68254</v>
      </c>
      <c r="AQ50">
        <v>147.932773</v>
      </c>
      <c r="AR50">
        <v>82.070921999999996</v>
      </c>
      <c r="AS50">
        <v>69.903226000000004</v>
      </c>
      <c r="AT50">
        <v>64.030612000000005</v>
      </c>
      <c r="AU50">
        <v>98.921739000000002</v>
      </c>
      <c r="AV50">
        <v>70</v>
      </c>
      <c r="AW50">
        <v>80.306747999999999</v>
      </c>
    </row>
    <row r="51" spans="1:49" x14ac:dyDescent="0.25">
      <c r="A51" t="s">
        <v>100</v>
      </c>
      <c r="B51">
        <v>1.8710000000000001E-3</v>
      </c>
      <c r="C51">
        <v>2.4060000000000002E-3</v>
      </c>
      <c r="D51">
        <v>1.56E-3</v>
      </c>
      <c r="E51">
        <v>1.6119999999999999E-3</v>
      </c>
      <c r="F51">
        <v>3.3400000000000001E-3</v>
      </c>
      <c r="G51">
        <v>1.9889999999999999E-3</v>
      </c>
      <c r="H51">
        <v>1.4630000000000001E-3</v>
      </c>
      <c r="I51">
        <v>1.5269999999999999E-3</v>
      </c>
      <c r="J51">
        <v>1.4710000000000001E-3</v>
      </c>
      <c r="K51">
        <v>1.9919999999999998E-3</v>
      </c>
      <c r="L51">
        <v>2.1930000000000001E-3</v>
      </c>
      <c r="M51">
        <v>1.776E-3</v>
      </c>
      <c r="N51">
        <v>1.7260000000000001E-3</v>
      </c>
      <c r="O51">
        <v>2.6380000000000002E-3</v>
      </c>
      <c r="P51">
        <v>2.745E-3</v>
      </c>
      <c r="Q51">
        <v>1.8159999999999999E-3</v>
      </c>
      <c r="R51">
        <v>1.604E-3</v>
      </c>
      <c r="S51">
        <v>6.927E-3</v>
      </c>
      <c r="T51">
        <v>2.0249999999999999E-3</v>
      </c>
      <c r="U51">
        <v>2.8860000000000001E-3</v>
      </c>
      <c r="V51">
        <v>2.5950000000000001E-3</v>
      </c>
      <c r="W51">
        <v>1.312E-3</v>
      </c>
      <c r="X51">
        <v>1.9740000000000001E-3</v>
      </c>
      <c r="Y51">
        <v>2.4810000000000001E-3</v>
      </c>
      <c r="Z51">
        <v>1.2600000000000001E-3</v>
      </c>
      <c r="AA51">
        <v>2.6120000000000002E-3</v>
      </c>
      <c r="AB51">
        <v>3.0339999999999998E-3</v>
      </c>
      <c r="AC51">
        <v>1.64E-3</v>
      </c>
      <c r="AD51">
        <v>4.777E-3</v>
      </c>
      <c r="AE51">
        <v>2.2369999999999998E-3</v>
      </c>
      <c r="AF51">
        <v>2.7789999999999998E-3</v>
      </c>
      <c r="AG51">
        <v>2.392E-3</v>
      </c>
      <c r="AH51">
        <v>1.06E-3</v>
      </c>
      <c r="AI51">
        <v>2.7399999999999998E-3</v>
      </c>
      <c r="AJ51">
        <v>2.1419999999999998E-3</v>
      </c>
      <c r="AK51">
        <v>1.6410000000000001E-3</v>
      </c>
      <c r="AL51">
        <v>4.6979999999999999E-3</v>
      </c>
      <c r="AM51">
        <v>3.4390000000000002E-3</v>
      </c>
      <c r="AN51">
        <v>3.4919999999999999E-3</v>
      </c>
      <c r="AO51">
        <v>2.673E-3</v>
      </c>
      <c r="AP51">
        <v>1.915E-3</v>
      </c>
      <c r="AQ51">
        <v>2.0660000000000001E-3</v>
      </c>
      <c r="AR51">
        <v>1.8940000000000001E-3</v>
      </c>
      <c r="AS51">
        <v>5.8120000000000003E-3</v>
      </c>
      <c r="AT51">
        <v>3.411E-3</v>
      </c>
      <c r="AU51">
        <v>3.166E-3</v>
      </c>
      <c r="AV51">
        <v>3.2130000000000001E-3</v>
      </c>
      <c r="AW51">
        <v>4.2770000000000004E-3</v>
      </c>
    </row>
    <row r="52" spans="1:49" x14ac:dyDescent="0.25">
      <c r="A52" t="s">
        <v>101</v>
      </c>
      <c r="B52">
        <v>8.8400000000000002E-4</v>
      </c>
      <c r="C52">
        <v>7.8299999999999995E-4</v>
      </c>
      <c r="D52">
        <v>4.5800000000000002E-4</v>
      </c>
      <c r="E52">
        <v>6.0999999999999997E-4</v>
      </c>
      <c r="F52">
        <v>1.7060000000000001E-3</v>
      </c>
      <c r="G52">
        <v>7.9799999999999999E-4</v>
      </c>
      <c r="H52">
        <v>5.1500000000000005E-4</v>
      </c>
      <c r="I52">
        <v>6.02E-4</v>
      </c>
      <c r="J52">
        <v>7.2300000000000001E-4</v>
      </c>
      <c r="K52">
        <v>9.41E-4</v>
      </c>
      <c r="L52">
        <v>6.0099999999999997E-4</v>
      </c>
      <c r="M52">
        <v>6.9499999999999998E-4</v>
      </c>
      <c r="N52">
        <v>8.2600000000000002E-4</v>
      </c>
      <c r="O52">
        <v>9.0300000000000005E-4</v>
      </c>
      <c r="P52">
        <v>9.3700000000000001E-4</v>
      </c>
      <c r="Q52">
        <v>6.8000000000000005E-4</v>
      </c>
      <c r="R52">
        <v>8.6499999999999999E-4</v>
      </c>
      <c r="S52">
        <v>2.7690000000000002E-3</v>
      </c>
      <c r="T52">
        <v>8.4999999999999995E-4</v>
      </c>
      <c r="U52">
        <v>1.1980000000000001E-3</v>
      </c>
      <c r="V52">
        <v>6.29E-4</v>
      </c>
      <c r="W52">
        <v>4.46E-4</v>
      </c>
      <c r="X52">
        <v>7.0799999999999997E-4</v>
      </c>
      <c r="Y52">
        <v>7.9900000000000001E-4</v>
      </c>
      <c r="Z52">
        <v>7.2599999999999997E-4</v>
      </c>
      <c r="AA52">
        <v>1.7060000000000001E-3</v>
      </c>
      <c r="AB52">
        <v>1.0139999999999999E-3</v>
      </c>
      <c r="AC52">
        <v>6.2399999999999999E-4</v>
      </c>
      <c r="AD52">
        <v>1.5009999999999999E-3</v>
      </c>
      <c r="AE52">
        <v>8.03E-4</v>
      </c>
      <c r="AF52">
        <v>1.041E-3</v>
      </c>
      <c r="AG52">
        <v>7.5900000000000002E-4</v>
      </c>
      <c r="AH52">
        <v>4.8899999999999996E-4</v>
      </c>
      <c r="AI52">
        <v>1.1509999999999999E-3</v>
      </c>
      <c r="AJ52">
        <v>8.0699999999999999E-4</v>
      </c>
      <c r="AK52">
        <v>6.0300000000000002E-4</v>
      </c>
      <c r="AL52">
        <v>1.7129999999999999E-3</v>
      </c>
      <c r="AM52">
        <v>1.516E-3</v>
      </c>
      <c r="AN52">
        <v>1.1310000000000001E-3</v>
      </c>
      <c r="AO52">
        <v>9.990000000000001E-4</v>
      </c>
      <c r="AP52">
        <v>1.0349999999999999E-3</v>
      </c>
      <c r="AQ52">
        <v>7.3700000000000002E-4</v>
      </c>
      <c r="AR52">
        <v>9.7499999999999996E-4</v>
      </c>
      <c r="AS52">
        <v>2.379E-3</v>
      </c>
      <c r="AT52">
        <v>1.9620000000000002E-3</v>
      </c>
      <c r="AU52">
        <v>1.1709999999999999E-3</v>
      </c>
      <c r="AV52">
        <v>1.727E-3</v>
      </c>
      <c r="AW52">
        <v>1.34E-3</v>
      </c>
    </row>
    <row r="53" spans="1:49" x14ac:dyDescent="0.25">
      <c r="A53" t="s">
        <v>102</v>
      </c>
      <c r="B53">
        <v>0.53813900000000003</v>
      </c>
      <c r="C53">
        <v>0.48486299999999999</v>
      </c>
      <c r="D53">
        <v>0.43720500000000001</v>
      </c>
      <c r="E53">
        <v>0.47224100000000002</v>
      </c>
      <c r="F53">
        <v>0.44031199999999998</v>
      </c>
      <c r="G53">
        <v>0.426178</v>
      </c>
      <c r="H53">
        <v>0.33064300000000002</v>
      </c>
      <c r="I53">
        <v>0.43176700000000001</v>
      </c>
      <c r="J53">
        <v>0.52317599999999997</v>
      </c>
      <c r="K53">
        <v>0.52266400000000002</v>
      </c>
      <c r="L53">
        <v>0.30929899999999999</v>
      </c>
      <c r="M53">
        <v>0.43651400000000001</v>
      </c>
      <c r="N53">
        <v>0.51660399999999995</v>
      </c>
      <c r="O53">
        <v>0.36428899999999997</v>
      </c>
      <c r="P53">
        <v>0.44305600000000001</v>
      </c>
      <c r="Q53">
        <v>0.42873299999999998</v>
      </c>
      <c r="R53">
        <v>0.55130900000000005</v>
      </c>
      <c r="S53">
        <v>0.47391100000000003</v>
      </c>
      <c r="T53">
        <v>0.45907399999999998</v>
      </c>
      <c r="U53">
        <v>0.45371400000000001</v>
      </c>
      <c r="V53">
        <v>0.273449</v>
      </c>
      <c r="W53">
        <v>0.40351799999999999</v>
      </c>
      <c r="X53">
        <v>0.39604099999999998</v>
      </c>
      <c r="Y53">
        <v>0.40113300000000002</v>
      </c>
      <c r="Z53">
        <v>0.58615399999999995</v>
      </c>
      <c r="AA53">
        <v>0.68856600000000001</v>
      </c>
      <c r="AB53">
        <v>0.40282200000000001</v>
      </c>
      <c r="AC53">
        <v>0.44560499999999997</v>
      </c>
      <c r="AD53">
        <v>0.37559599999999999</v>
      </c>
      <c r="AE53">
        <v>0.38950899999999999</v>
      </c>
      <c r="AF53">
        <v>0.369087</v>
      </c>
      <c r="AG53">
        <v>0.38749899999999998</v>
      </c>
      <c r="AH53">
        <v>0.48554000000000003</v>
      </c>
      <c r="AI53">
        <v>0.49759300000000001</v>
      </c>
      <c r="AJ53">
        <v>0.40846500000000002</v>
      </c>
      <c r="AK53">
        <v>0.41211100000000001</v>
      </c>
      <c r="AL53">
        <v>0.43839400000000001</v>
      </c>
      <c r="AM53">
        <v>0.46485599999999999</v>
      </c>
      <c r="AN53">
        <v>0.35664499999999999</v>
      </c>
      <c r="AO53">
        <v>0.43880799999999998</v>
      </c>
      <c r="AP53">
        <v>0.56223100000000004</v>
      </c>
      <c r="AQ53">
        <v>0.42393799999999998</v>
      </c>
      <c r="AR53">
        <v>0.56176199999999998</v>
      </c>
      <c r="AS53">
        <v>0.48985000000000001</v>
      </c>
      <c r="AT53">
        <v>0.58408300000000002</v>
      </c>
      <c r="AU53">
        <v>0.43407400000000002</v>
      </c>
      <c r="AV53">
        <v>0.57816800000000002</v>
      </c>
      <c r="AW53">
        <v>0.42632100000000001</v>
      </c>
    </row>
    <row r="54" spans="1:49" x14ac:dyDescent="0.25">
      <c r="A54" t="s">
        <v>103</v>
      </c>
      <c r="B54">
        <v>10.097901999999999</v>
      </c>
      <c r="C54">
        <v>11.953946999999999</v>
      </c>
      <c r="D54">
        <v>15.444444000000001</v>
      </c>
      <c r="E54">
        <v>14.402984999999999</v>
      </c>
      <c r="F54">
        <v>10.371428999999999</v>
      </c>
      <c r="G54">
        <v>13.75</v>
      </c>
      <c r="H54">
        <v>14.358209</v>
      </c>
      <c r="I54">
        <v>13.653465000000001</v>
      </c>
      <c r="J54">
        <v>11.160256</v>
      </c>
      <c r="K54">
        <v>11.686567</v>
      </c>
      <c r="L54">
        <v>13.927273</v>
      </c>
      <c r="M54">
        <v>15.009434000000001</v>
      </c>
      <c r="N54">
        <v>11.05814</v>
      </c>
      <c r="O54">
        <v>13.68</v>
      </c>
      <c r="P54">
        <v>9.0427350000000004</v>
      </c>
      <c r="Q54">
        <v>10.753731</v>
      </c>
      <c r="R54">
        <v>11.965985999999999</v>
      </c>
      <c r="S54">
        <v>6.5</v>
      </c>
      <c r="T54">
        <v>12.483146</v>
      </c>
      <c r="U54">
        <v>11.431373000000001</v>
      </c>
      <c r="V54">
        <v>13.902778</v>
      </c>
      <c r="W54">
        <v>13.040540999999999</v>
      </c>
      <c r="X54">
        <v>12.801653</v>
      </c>
      <c r="Y54">
        <v>14.037974999999999</v>
      </c>
      <c r="Z54">
        <v>12.132184000000001</v>
      </c>
      <c r="AA54">
        <v>4.9545450000000004</v>
      </c>
      <c r="AB54">
        <v>11.833333</v>
      </c>
      <c r="AC54">
        <v>14.46875</v>
      </c>
      <c r="AD54">
        <v>8.6185569999999991</v>
      </c>
      <c r="AE54">
        <v>14.052083</v>
      </c>
      <c r="AF54">
        <v>12.595506</v>
      </c>
      <c r="AG54">
        <v>11.798658</v>
      </c>
      <c r="AH54">
        <v>13.878261</v>
      </c>
      <c r="AI54">
        <v>9.9365079999999999</v>
      </c>
      <c r="AJ54">
        <v>11.076086999999999</v>
      </c>
      <c r="AK54">
        <v>11.244681</v>
      </c>
      <c r="AL54">
        <v>9.34375</v>
      </c>
      <c r="AM54">
        <v>9.2523359999999997</v>
      </c>
      <c r="AN54">
        <v>10.402298999999999</v>
      </c>
      <c r="AO54">
        <v>10.928571</v>
      </c>
      <c r="AP54">
        <v>10.849206000000001</v>
      </c>
      <c r="AQ54">
        <v>9.4033610000000003</v>
      </c>
      <c r="AR54">
        <v>11.560283999999999</v>
      </c>
      <c r="AS54">
        <v>8.4354840000000006</v>
      </c>
      <c r="AT54">
        <v>9.9591840000000005</v>
      </c>
      <c r="AU54">
        <v>8.356522</v>
      </c>
      <c r="AV54">
        <v>6.648352</v>
      </c>
      <c r="AW54">
        <v>8.3865029999999994</v>
      </c>
    </row>
    <row r="55" spans="1:49" x14ac:dyDescent="0.25">
      <c r="A55" t="s">
        <v>104</v>
      </c>
      <c r="B55">
        <v>12.253132000000001</v>
      </c>
      <c r="C55">
        <v>7.0046369999999998</v>
      </c>
      <c r="D55">
        <v>9.4931380000000001</v>
      </c>
      <c r="E55">
        <v>11.195746</v>
      </c>
      <c r="F55">
        <v>12.20309</v>
      </c>
      <c r="G55">
        <v>13.574759</v>
      </c>
      <c r="H55">
        <v>20.435865</v>
      </c>
      <c r="I55">
        <v>16.014244000000001</v>
      </c>
      <c r="J55">
        <v>8.534516</v>
      </c>
      <c r="K55">
        <v>8.7096520000000002</v>
      </c>
      <c r="L55">
        <v>16.206154999999999</v>
      </c>
      <c r="M55">
        <v>9.9954769999999993</v>
      </c>
      <c r="N55">
        <v>10.504586</v>
      </c>
      <c r="O55">
        <v>10.384859000000001</v>
      </c>
      <c r="P55">
        <v>10.848093</v>
      </c>
      <c r="Q55">
        <v>13.071465999999999</v>
      </c>
      <c r="R55">
        <v>9.4863949999999999</v>
      </c>
      <c r="S55">
        <v>8.4934519999999996</v>
      </c>
      <c r="T55">
        <v>10.405676</v>
      </c>
      <c r="U55">
        <v>9.4095019999999998</v>
      </c>
      <c r="V55">
        <v>15.234873</v>
      </c>
      <c r="W55">
        <v>17.229725999999999</v>
      </c>
      <c r="X55">
        <v>10.827083999999999</v>
      </c>
      <c r="Y55">
        <v>7.5065140000000001</v>
      </c>
      <c r="Z55">
        <v>8.9545499999999993</v>
      </c>
      <c r="AA55">
        <v>13.676136</v>
      </c>
      <c r="AB55">
        <v>9.473573</v>
      </c>
      <c r="AC55">
        <v>12.102209999999999</v>
      </c>
      <c r="AD55">
        <v>9.3651929999999997</v>
      </c>
      <c r="AE55">
        <v>12.676992</v>
      </c>
      <c r="AF55">
        <v>10.159402</v>
      </c>
      <c r="AG55">
        <v>8.772729</v>
      </c>
      <c r="AH55">
        <v>12.337839000000001</v>
      </c>
      <c r="AI55">
        <v>7.8397750000000004</v>
      </c>
      <c r="AJ55">
        <v>16.458777000000001</v>
      </c>
      <c r="AK55">
        <v>18.952567999999999</v>
      </c>
      <c r="AL55">
        <v>12.723618999999999</v>
      </c>
      <c r="AM55">
        <v>10.274559</v>
      </c>
      <c r="AN55">
        <v>8.8579170000000005</v>
      </c>
      <c r="AO55">
        <v>7.8386199999999997</v>
      </c>
      <c r="AP55">
        <v>10.671842</v>
      </c>
      <c r="AQ55">
        <v>15.531407</v>
      </c>
      <c r="AR55">
        <v>6.9592289999999997</v>
      </c>
      <c r="AS55">
        <v>8.0995069999999991</v>
      </c>
      <c r="AT55">
        <v>6.422307</v>
      </c>
      <c r="AU55">
        <v>11.518535999999999</v>
      </c>
      <c r="AV55">
        <v>10.395478000000001</v>
      </c>
      <c r="AW55">
        <v>9.4860480000000003</v>
      </c>
    </row>
    <row r="56" spans="1:49" x14ac:dyDescent="0.25">
      <c r="A56" t="s">
        <v>105</v>
      </c>
      <c r="B56">
        <v>98.912148000000002</v>
      </c>
      <c r="C56">
        <v>94.862735999999998</v>
      </c>
      <c r="D56">
        <v>98.758778000000007</v>
      </c>
      <c r="E56">
        <v>99.867549999999994</v>
      </c>
      <c r="F56">
        <v>96.801929000000001</v>
      </c>
      <c r="G56">
        <v>99.308087</v>
      </c>
      <c r="H56">
        <v>82.872789999999995</v>
      </c>
      <c r="I56">
        <v>97.970551</v>
      </c>
      <c r="J56">
        <v>94.372727999999995</v>
      </c>
      <c r="K56">
        <v>96.412308999999993</v>
      </c>
      <c r="L56">
        <v>98.835573999999994</v>
      </c>
      <c r="M56">
        <v>98.341261000000003</v>
      </c>
      <c r="N56">
        <v>98.763838000000007</v>
      </c>
      <c r="O56">
        <v>95.188028000000003</v>
      </c>
      <c r="P56">
        <v>98.890489000000002</v>
      </c>
      <c r="Q56">
        <v>96.388227999999998</v>
      </c>
      <c r="R56">
        <v>98.054227999999995</v>
      </c>
      <c r="S56">
        <v>36.248178000000003</v>
      </c>
      <c r="T56">
        <v>99.820481999999998</v>
      </c>
      <c r="U56">
        <v>98.769231000000005</v>
      </c>
      <c r="V56">
        <v>95.509499000000005</v>
      </c>
      <c r="W56">
        <v>99.876947999999999</v>
      </c>
      <c r="X56">
        <v>99.466212999999996</v>
      </c>
      <c r="Y56">
        <v>92.977620999999999</v>
      </c>
      <c r="Z56">
        <v>99.215357999999995</v>
      </c>
      <c r="AA56">
        <v>56.574863999999998</v>
      </c>
      <c r="AB56">
        <v>89.373610999999997</v>
      </c>
      <c r="AC56">
        <v>99.580338999999995</v>
      </c>
      <c r="AD56">
        <v>89.440145999999999</v>
      </c>
      <c r="AE56">
        <v>99.803005999999996</v>
      </c>
      <c r="AF56">
        <v>96.790634999999995</v>
      </c>
      <c r="AG56">
        <v>88.748853999999994</v>
      </c>
      <c r="AH56">
        <v>99.320644999999999</v>
      </c>
      <c r="AI56">
        <v>92.722346999999999</v>
      </c>
      <c r="AJ56">
        <v>99.471117000000007</v>
      </c>
      <c r="AK56">
        <v>99.571296000000004</v>
      </c>
      <c r="AL56">
        <v>97.730329999999995</v>
      </c>
      <c r="AM56">
        <v>94.022676000000004</v>
      </c>
      <c r="AN56">
        <v>86.276974999999993</v>
      </c>
      <c r="AO56">
        <v>95.169005999999996</v>
      </c>
      <c r="AP56">
        <v>98.770573999999996</v>
      </c>
      <c r="AQ56">
        <v>94.118904999999998</v>
      </c>
      <c r="AR56">
        <v>95.652174000000002</v>
      </c>
      <c r="AS56">
        <v>65.369532000000007</v>
      </c>
      <c r="AT56">
        <v>80.655527000000006</v>
      </c>
      <c r="AU56">
        <v>97.455667000000005</v>
      </c>
      <c r="AV56">
        <v>77.127982000000003</v>
      </c>
      <c r="AW56">
        <v>90.294544000000002</v>
      </c>
    </row>
    <row r="57" spans="1:49" x14ac:dyDescent="0.25">
      <c r="A57" t="s">
        <v>106</v>
      </c>
      <c r="B57">
        <v>0.43301200000000001</v>
      </c>
      <c r="C57">
        <v>0.305927</v>
      </c>
      <c r="D57">
        <v>0.438444</v>
      </c>
      <c r="E57">
        <v>0.28146100000000002</v>
      </c>
      <c r="F57">
        <v>0.313309</v>
      </c>
      <c r="G57">
        <v>0.26201200000000002</v>
      </c>
      <c r="H57">
        <v>0.25329600000000002</v>
      </c>
      <c r="I57">
        <v>0.36026000000000002</v>
      </c>
      <c r="J57">
        <v>0.46843400000000002</v>
      </c>
      <c r="K57">
        <v>0.44028499999999998</v>
      </c>
      <c r="L57">
        <v>0.54658099999999998</v>
      </c>
      <c r="M57">
        <v>0.36262800000000001</v>
      </c>
      <c r="N57">
        <v>0.36063099999999998</v>
      </c>
      <c r="O57">
        <v>0.38969799999999999</v>
      </c>
      <c r="P57">
        <v>0.29661399999999999</v>
      </c>
      <c r="Q57">
        <v>0.36829499999999998</v>
      </c>
      <c r="R57">
        <v>0.348219</v>
      </c>
      <c r="S57">
        <v>0.72742300000000004</v>
      </c>
      <c r="T57">
        <v>0.27536500000000003</v>
      </c>
      <c r="U57">
        <v>0.404617</v>
      </c>
      <c r="V57">
        <v>0.32209100000000002</v>
      </c>
      <c r="W57">
        <v>0.34209600000000001</v>
      </c>
      <c r="X57">
        <v>0.31337799999999999</v>
      </c>
      <c r="Y57">
        <v>0.40859400000000001</v>
      </c>
      <c r="Z57">
        <v>0.25957400000000003</v>
      </c>
      <c r="AA57">
        <v>0.66313900000000003</v>
      </c>
      <c r="AB57">
        <v>0.44961899999999999</v>
      </c>
      <c r="AC57">
        <v>0.41416799999999998</v>
      </c>
      <c r="AD57">
        <v>0.38409500000000002</v>
      </c>
      <c r="AE57">
        <v>0.252691</v>
      </c>
      <c r="AF57">
        <v>0.32639400000000002</v>
      </c>
      <c r="AG57">
        <v>0.39315600000000001</v>
      </c>
      <c r="AH57">
        <v>0.25640499999999999</v>
      </c>
      <c r="AI57">
        <v>0.36122700000000002</v>
      </c>
      <c r="AJ57">
        <v>0.37936399999999998</v>
      </c>
      <c r="AK57">
        <v>0.26280700000000001</v>
      </c>
      <c r="AL57">
        <v>0.39062000000000002</v>
      </c>
      <c r="AM57">
        <v>0.30939100000000003</v>
      </c>
      <c r="AN57">
        <v>0.33571299999999998</v>
      </c>
      <c r="AO57">
        <v>0.40394000000000002</v>
      </c>
      <c r="AP57">
        <v>0.41401199999999999</v>
      </c>
      <c r="AQ57">
        <v>0.51433200000000001</v>
      </c>
      <c r="AR57">
        <v>0.41023399999999999</v>
      </c>
      <c r="AS57">
        <v>0.55962999999999996</v>
      </c>
      <c r="AT57">
        <v>0.42904399999999998</v>
      </c>
      <c r="AU57">
        <v>0.36304199999999998</v>
      </c>
      <c r="AV57">
        <v>0.58994500000000005</v>
      </c>
      <c r="AW57">
        <v>0.414076</v>
      </c>
    </row>
    <row r="58" spans="1:49" x14ac:dyDescent="0.25">
      <c r="A58" t="s">
        <v>107</v>
      </c>
      <c r="B58">
        <v>0.48045900000000002</v>
      </c>
      <c r="C58">
        <v>1.1024240000000001</v>
      </c>
      <c r="D58">
        <v>2.510872</v>
      </c>
      <c r="E58">
        <v>1.2210460000000001</v>
      </c>
      <c r="F58">
        <v>0.93362400000000001</v>
      </c>
      <c r="G58">
        <v>1.0982769999999999</v>
      </c>
      <c r="H58">
        <v>0.34029100000000001</v>
      </c>
      <c r="I58">
        <v>0.59387599999999996</v>
      </c>
      <c r="J58">
        <v>0.65363899999999997</v>
      </c>
      <c r="K58">
        <v>0.548794</v>
      </c>
      <c r="L58">
        <v>0.94508400000000004</v>
      </c>
      <c r="M58">
        <v>0.46721200000000002</v>
      </c>
      <c r="N58">
        <v>1.4920519999999999</v>
      </c>
      <c r="O58">
        <v>0.80487900000000001</v>
      </c>
      <c r="P58">
        <v>1.530786</v>
      </c>
      <c r="Q58">
        <v>0.91073700000000002</v>
      </c>
      <c r="R58">
        <v>0.57528800000000002</v>
      </c>
      <c r="S58">
        <v>1.293822</v>
      </c>
      <c r="T58">
        <v>1.1848970000000001</v>
      </c>
      <c r="U58">
        <v>0.74746199999999996</v>
      </c>
      <c r="V58">
        <v>0.72536299999999998</v>
      </c>
      <c r="W58">
        <v>1.051472</v>
      </c>
      <c r="X58">
        <v>0.65091100000000002</v>
      </c>
      <c r="Y58">
        <v>1.165667</v>
      </c>
      <c r="Z58">
        <v>0.17288400000000001</v>
      </c>
      <c r="AA58">
        <v>0.32680399999999998</v>
      </c>
      <c r="AB58">
        <v>0.78218500000000002</v>
      </c>
      <c r="AC58">
        <v>0.81338100000000002</v>
      </c>
      <c r="AD58">
        <v>0.79238699999999995</v>
      </c>
      <c r="AE58">
        <v>1.3475520000000001</v>
      </c>
      <c r="AF58">
        <v>0.636293</v>
      </c>
      <c r="AG58">
        <v>0.79036799999999996</v>
      </c>
      <c r="AH58">
        <v>0.39596599999999998</v>
      </c>
      <c r="AI58">
        <v>0.86144699999999996</v>
      </c>
      <c r="AJ58">
        <v>0.79055500000000001</v>
      </c>
      <c r="AK58">
        <v>0.99126899999999996</v>
      </c>
      <c r="AL58">
        <v>1.670722</v>
      </c>
      <c r="AM58">
        <v>0.73738599999999999</v>
      </c>
      <c r="AN58">
        <v>0.92037599999999997</v>
      </c>
      <c r="AO58">
        <v>0.69937800000000006</v>
      </c>
      <c r="AP58">
        <v>0.51544900000000005</v>
      </c>
      <c r="AQ58">
        <v>1.117189</v>
      </c>
      <c r="AR58">
        <v>0.37156699999999998</v>
      </c>
      <c r="AS58">
        <v>0.76189300000000004</v>
      </c>
      <c r="AT58">
        <v>0.47879500000000003</v>
      </c>
      <c r="AU58">
        <v>1.475052</v>
      </c>
      <c r="AV58">
        <v>0.53676199999999996</v>
      </c>
      <c r="AW58">
        <v>1.2207330000000001</v>
      </c>
    </row>
    <row r="59" spans="1:49" x14ac:dyDescent="0.25">
      <c r="A59" t="s">
        <v>108</v>
      </c>
    </row>
    <row r="60" spans="1:49" x14ac:dyDescent="0.25">
      <c r="A60" t="s">
        <v>109</v>
      </c>
      <c r="B60">
        <v>0.26319199999999998</v>
      </c>
      <c r="C60">
        <v>0.44239800000000001</v>
      </c>
      <c r="D60">
        <v>0.64564600000000005</v>
      </c>
      <c r="E60">
        <v>0.49312899999999998</v>
      </c>
      <c r="F60">
        <v>0.31824799999999998</v>
      </c>
      <c r="G60">
        <v>0.45112600000000003</v>
      </c>
      <c r="H60">
        <v>0.55575600000000003</v>
      </c>
      <c r="I60">
        <v>0.45576499999999998</v>
      </c>
      <c r="J60">
        <v>0.40377400000000002</v>
      </c>
      <c r="K60">
        <v>0.40455999999999998</v>
      </c>
      <c r="L60">
        <v>0.53648099999999999</v>
      </c>
      <c r="M60">
        <v>0.55176400000000003</v>
      </c>
      <c r="N60">
        <v>0.38126700000000002</v>
      </c>
      <c r="O60">
        <v>0.42094599999999999</v>
      </c>
      <c r="P60">
        <v>0.31872499999999998</v>
      </c>
      <c r="Q60">
        <v>0.33481699999999998</v>
      </c>
      <c r="R60">
        <v>0.30312</v>
      </c>
      <c r="S60">
        <v>0.153808</v>
      </c>
      <c r="T60">
        <v>0.42851600000000001</v>
      </c>
      <c r="U60">
        <v>0.36169600000000002</v>
      </c>
      <c r="V60">
        <v>0.50629400000000002</v>
      </c>
      <c r="W60">
        <v>0.51590599999999998</v>
      </c>
      <c r="X60">
        <v>0.443359</v>
      </c>
      <c r="Y60">
        <v>0.525752</v>
      </c>
      <c r="Z60">
        <v>0.37009599999999998</v>
      </c>
      <c r="AA60">
        <v>0.156608</v>
      </c>
      <c r="AB60">
        <v>0.42882199999999998</v>
      </c>
      <c r="AC60">
        <v>0.48146800000000001</v>
      </c>
      <c r="AD60">
        <v>0.235789</v>
      </c>
      <c r="AE60">
        <v>0.44621300000000003</v>
      </c>
      <c r="AF60">
        <v>0.43856699999999998</v>
      </c>
      <c r="AG60">
        <v>0.40393899999999999</v>
      </c>
      <c r="AH60">
        <v>0.53681500000000004</v>
      </c>
      <c r="AI60">
        <v>0.28151599999999999</v>
      </c>
      <c r="AJ60">
        <v>0.49630299999999999</v>
      </c>
      <c r="AK60">
        <v>0.441438</v>
      </c>
      <c r="AL60">
        <v>0.229212</v>
      </c>
      <c r="AM60">
        <v>0.213565</v>
      </c>
      <c r="AN60">
        <v>0.34066999999999997</v>
      </c>
      <c r="AO60">
        <v>0.32324900000000001</v>
      </c>
      <c r="AP60">
        <v>0.26178499999999999</v>
      </c>
      <c r="AQ60">
        <v>0.36143399999999998</v>
      </c>
      <c r="AR60">
        <v>0.34997600000000001</v>
      </c>
      <c r="AS60">
        <v>0.162969</v>
      </c>
      <c r="AT60">
        <v>0.17507400000000001</v>
      </c>
      <c r="AU60">
        <v>0.26757500000000001</v>
      </c>
      <c r="AV60">
        <v>0.14661399999999999</v>
      </c>
      <c r="AW60">
        <v>0.22552</v>
      </c>
    </row>
    <row r="61" spans="1:49" x14ac:dyDescent="0.25">
      <c r="A61" t="s">
        <v>110</v>
      </c>
      <c r="B61">
        <v>4.4097920000000004</v>
      </c>
      <c r="C61">
        <v>3.363944</v>
      </c>
      <c r="D61">
        <v>7.7726810000000004</v>
      </c>
      <c r="E61">
        <v>8.4550420000000006</v>
      </c>
      <c r="F61">
        <v>2.3144439999999999</v>
      </c>
      <c r="G61">
        <v>4.5423330000000002</v>
      </c>
      <c r="H61">
        <v>10.074667</v>
      </c>
      <c r="I61">
        <v>8.800694</v>
      </c>
      <c r="J61">
        <v>3.948375</v>
      </c>
      <c r="K61">
        <v>1.6306670000000001</v>
      </c>
      <c r="L61">
        <v>4.9565970000000004</v>
      </c>
      <c r="M61">
        <v>5.8716249999999999</v>
      </c>
      <c r="N61">
        <v>2.8429030000000002</v>
      </c>
      <c r="O61">
        <v>4.6605280000000002</v>
      </c>
      <c r="P61">
        <v>2.948264</v>
      </c>
      <c r="Q61">
        <v>5.674944</v>
      </c>
      <c r="R61">
        <v>4.1509309999999999</v>
      </c>
      <c r="S61">
        <v>0.24422199999999999</v>
      </c>
      <c r="T61">
        <v>2.5004439999999999</v>
      </c>
      <c r="U61">
        <v>2.6732079999999998</v>
      </c>
      <c r="V61">
        <v>6.4058469999999996</v>
      </c>
      <c r="W61">
        <v>7.6630560000000001</v>
      </c>
      <c r="X61">
        <v>5.6119719999999997</v>
      </c>
      <c r="Y61">
        <v>5.4242359999999996</v>
      </c>
      <c r="Z61">
        <v>5.3937359999999996</v>
      </c>
      <c r="AA61">
        <v>0.389264</v>
      </c>
      <c r="AB61">
        <v>2.4770560000000001</v>
      </c>
      <c r="AC61">
        <v>5.974736</v>
      </c>
      <c r="AD61">
        <v>1.0778190000000001</v>
      </c>
      <c r="AE61">
        <v>6.088222</v>
      </c>
      <c r="AF61">
        <v>3.9895420000000001</v>
      </c>
      <c r="AG61">
        <v>4.03</v>
      </c>
      <c r="AH61">
        <v>8.9394439999999999</v>
      </c>
      <c r="AI61">
        <v>1.6717219999999999</v>
      </c>
      <c r="AJ61">
        <v>6.7045000000000003</v>
      </c>
      <c r="AK61">
        <v>8.5012080000000001</v>
      </c>
      <c r="AL61">
        <v>1.5689169999999999</v>
      </c>
      <c r="AM61">
        <v>1.5896939999999999</v>
      </c>
      <c r="AN61">
        <v>1.918153</v>
      </c>
      <c r="AO61">
        <v>2.5237500000000002</v>
      </c>
      <c r="AP61">
        <v>3.0488749999999998</v>
      </c>
      <c r="AQ61">
        <v>4.3117359999999998</v>
      </c>
      <c r="AR61">
        <v>2.092625</v>
      </c>
      <c r="AS61">
        <v>0.426653</v>
      </c>
      <c r="AT61">
        <v>0.71969399999999994</v>
      </c>
      <c r="AU61">
        <v>2.4130690000000001</v>
      </c>
      <c r="AV61">
        <v>0.91683300000000001</v>
      </c>
      <c r="AW61">
        <v>2.0878190000000001</v>
      </c>
    </row>
    <row r="62" spans="1:49" x14ac:dyDescent="0.25">
      <c r="A62" t="s">
        <v>111</v>
      </c>
      <c r="B62">
        <v>21</v>
      </c>
      <c r="C62">
        <v>14</v>
      </c>
      <c r="D62">
        <v>19</v>
      </c>
      <c r="E62">
        <v>19</v>
      </c>
      <c r="F62">
        <v>31</v>
      </c>
      <c r="G62">
        <v>21</v>
      </c>
      <c r="H62">
        <v>34</v>
      </c>
      <c r="I62">
        <v>27</v>
      </c>
      <c r="J62">
        <v>17</v>
      </c>
      <c r="K62">
        <v>25</v>
      </c>
      <c r="L62">
        <v>27</v>
      </c>
      <c r="M62">
        <v>19</v>
      </c>
      <c r="N62">
        <v>23</v>
      </c>
      <c r="O62">
        <v>18</v>
      </c>
      <c r="P62">
        <v>19</v>
      </c>
      <c r="Q62">
        <v>18</v>
      </c>
      <c r="R62">
        <v>28</v>
      </c>
      <c r="S62">
        <v>14</v>
      </c>
      <c r="T62">
        <v>14</v>
      </c>
      <c r="U62">
        <v>25</v>
      </c>
      <c r="V62">
        <v>29</v>
      </c>
      <c r="W62">
        <v>25</v>
      </c>
      <c r="X62">
        <v>25</v>
      </c>
      <c r="Y62">
        <v>15</v>
      </c>
      <c r="Z62">
        <v>28</v>
      </c>
      <c r="AA62">
        <v>15</v>
      </c>
      <c r="AB62">
        <v>16</v>
      </c>
      <c r="AC62">
        <v>19</v>
      </c>
      <c r="AD62">
        <v>30</v>
      </c>
      <c r="AE62">
        <v>27</v>
      </c>
      <c r="AF62">
        <v>29</v>
      </c>
      <c r="AG62">
        <v>15</v>
      </c>
      <c r="AH62">
        <v>21</v>
      </c>
      <c r="AI62">
        <v>15</v>
      </c>
      <c r="AJ62">
        <v>22</v>
      </c>
      <c r="AK62">
        <v>23</v>
      </c>
      <c r="AL62">
        <v>30</v>
      </c>
      <c r="AM62">
        <v>30</v>
      </c>
      <c r="AN62">
        <v>27</v>
      </c>
      <c r="AO62">
        <v>17</v>
      </c>
      <c r="AP62">
        <v>14</v>
      </c>
      <c r="AQ62">
        <v>16</v>
      </c>
      <c r="AR62">
        <v>15</v>
      </c>
      <c r="AS62">
        <v>27</v>
      </c>
      <c r="AT62">
        <v>22</v>
      </c>
      <c r="AU62">
        <v>18</v>
      </c>
      <c r="AV62">
        <v>29</v>
      </c>
      <c r="AW62">
        <v>21</v>
      </c>
    </row>
    <row r="63" spans="1:49" x14ac:dyDescent="0.25">
      <c r="A63" t="s">
        <v>112</v>
      </c>
      <c r="B63">
        <v>91</v>
      </c>
      <c r="C63">
        <v>50</v>
      </c>
      <c r="D63">
        <v>58</v>
      </c>
      <c r="E63">
        <v>85</v>
      </c>
      <c r="F63">
        <v>95</v>
      </c>
      <c r="G63">
        <v>100</v>
      </c>
      <c r="H63">
        <v>103</v>
      </c>
      <c r="I63">
        <v>97</v>
      </c>
      <c r="J63">
        <v>59</v>
      </c>
      <c r="K63">
        <v>76</v>
      </c>
      <c r="L63">
        <v>104</v>
      </c>
      <c r="M63">
        <v>77</v>
      </c>
      <c r="N63">
        <v>88</v>
      </c>
      <c r="O63">
        <v>85</v>
      </c>
      <c r="P63">
        <v>67</v>
      </c>
      <c r="Q63">
        <v>83</v>
      </c>
      <c r="R63">
        <v>83</v>
      </c>
      <c r="S63">
        <v>65</v>
      </c>
      <c r="T63">
        <v>73</v>
      </c>
      <c r="U63">
        <v>89</v>
      </c>
      <c r="V63">
        <v>95</v>
      </c>
      <c r="W63">
        <v>98</v>
      </c>
      <c r="X63">
        <v>86</v>
      </c>
      <c r="Y63">
        <v>60</v>
      </c>
      <c r="Z63">
        <v>76</v>
      </c>
      <c r="AA63">
        <v>80</v>
      </c>
      <c r="AB63">
        <v>75</v>
      </c>
      <c r="AC63">
        <v>89</v>
      </c>
      <c r="AD63">
        <v>71</v>
      </c>
      <c r="AE63">
        <v>97</v>
      </c>
      <c r="AF63">
        <v>82</v>
      </c>
      <c r="AG63">
        <v>64</v>
      </c>
      <c r="AH63">
        <v>75</v>
      </c>
      <c r="AI63">
        <v>72</v>
      </c>
      <c r="AJ63">
        <v>100</v>
      </c>
      <c r="AK63">
        <v>99</v>
      </c>
      <c r="AL63">
        <v>89</v>
      </c>
      <c r="AM63">
        <v>92</v>
      </c>
      <c r="AN63">
        <v>71</v>
      </c>
      <c r="AO63">
        <v>65</v>
      </c>
      <c r="AP63">
        <v>90</v>
      </c>
      <c r="AQ63">
        <v>67</v>
      </c>
      <c r="AR63">
        <v>71</v>
      </c>
      <c r="AS63">
        <v>88</v>
      </c>
      <c r="AT63">
        <v>104</v>
      </c>
      <c r="AU63">
        <v>84</v>
      </c>
      <c r="AV63">
        <v>95</v>
      </c>
      <c r="AW63">
        <v>63</v>
      </c>
    </row>
    <row r="64" spans="1:49" x14ac:dyDescent="0.25">
      <c r="A64" t="s">
        <v>113</v>
      </c>
      <c r="B64" t="s">
        <v>114</v>
      </c>
      <c r="C64" t="s">
        <v>114</v>
      </c>
      <c r="D64" t="s">
        <v>114</v>
      </c>
      <c r="E64" t="s">
        <v>114</v>
      </c>
      <c r="F64" t="s">
        <v>114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</row>
    <row r="65" spans="1:769" x14ac:dyDescent="0.25">
      <c r="A65" t="s">
        <v>115</v>
      </c>
      <c r="B65" t="s">
        <v>114</v>
      </c>
      <c r="C65" t="s">
        <v>114</v>
      </c>
      <c r="D65" t="s">
        <v>114</v>
      </c>
      <c r="E65" t="s">
        <v>114</v>
      </c>
      <c r="F65" t="s">
        <v>114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</row>
    <row r="66" spans="1:769" x14ac:dyDescent="0.25">
      <c r="A66" t="s">
        <v>116</v>
      </c>
    </row>
    <row r="67" spans="1:769" x14ac:dyDescent="0.25">
      <c r="A67" t="s">
        <v>117</v>
      </c>
      <c r="B67">
        <v>13</v>
      </c>
      <c r="C67">
        <v>14</v>
      </c>
      <c r="D67">
        <v>14</v>
      </c>
      <c r="E67">
        <v>44</v>
      </c>
      <c r="F67">
        <v>22</v>
      </c>
      <c r="G67">
        <v>34</v>
      </c>
      <c r="H67">
        <v>44</v>
      </c>
      <c r="I67">
        <v>31</v>
      </c>
      <c r="J67">
        <v>12</v>
      </c>
      <c r="K67">
        <v>31</v>
      </c>
      <c r="L67">
        <v>42</v>
      </c>
      <c r="M67">
        <v>24</v>
      </c>
      <c r="N67">
        <v>31</v>
      </c>
      <c r="O67">
        <v>13</v>
      </c>
      <c r="P67">
        <v>24</v>
      </c>
      <c r="Q67">
        <v>11</v>
      </c>
      <c r="R67">
        <v>12</v>
      </c>
      <c r="S67">
        <v>24</v>
      </c>
      <c r="T67">
        <v>14</v>
      </c>
      <c r="U67">
        <v>14</v>
      </c>
      <c r="V67">
        <v>11</v>
      </c>
      <c r="W67">
        <v>13</v>
      </c>
      <c r="X67">
        <v>24</v>
      </c>
      <c r="Y67">
        <v>11</v>
      </c>
      <c r="Z67">
        <v>11</v>
      </c>
      <c r="AA67">
        <v>13</v>
      </c>
      <c r="AB67">
        <v>12</v>
      </c>
      <c r="AC67">
        <v>44</v>
      </c>
      <c r="AD67">
        <v>44</v>
      </c>
      <c r="AE67">
        <v>44</v>
      </c>
      <c r="AF67">
        <v>34</v>
      </c>
      <c r="AG67">
        <v>44</v>
      </c>
      <c r="AH67">
        <v>12</v>
      </c>
      <c r="AI67">
        <v>43</v>
      </c>
      <c r="AJ67">
        <v>41</v>
      </c>
      <c r="AK67">
        <v>31</v>
      </c>
      <c r="AL67">
        <v>32</v>
      </c>
      <c r="AM67">
        <v>21</v>
      </c>
      <c r="AN67">
        <v>11</v>
      </c>
      <c r="AO67">
        <v>41</v>
      </c>
      <c r="AP67">
        <v>13</v>
      </c>
      <c r="AQ67">
        <v>14</v>
      </c>
      <c r="AR67">
        <v>24</v>
      </c>
      <c r="AS67">
        <v>42</v>
      </c>
      <c r="AT67">
        <v>11</v>
      </c>
      <c r="AU67">
        <v>24</v>
      </c>
      <c r="AV67">
        <v>31</v>
      </c>
      <c r="AW67">
        <v>44</v>
      </c>
    </row>
    <row r="68" spans="1:769" x14ac:dyDescent="0.25">
      <c r="A68" t="s">
        <v>118</v>
      </c>
      <c r="B68">
        <v>20.979020999999999</v>
      </c>
      <c r="C68">
        <v>25</v>
      </c>
      <c r="D68">
        <v>14.814814999999999</v>
      </c>
      <c r="E68">
        <v>46.268656999999997</v>
      </c>
      <c r="F68">
        <v>32.857143000000001</v>
      </c>
      <c r="G68">
        <v>32.142856999999999</v>
      </c>
      <c r="H68">
        <v>37.313433000000003</v>
      </c>
      <c r="I68">
        <v>47.524751999999999</v>
      </c>
      <c r="J68">
        <v>51.282051000000003</v>
      </c>
      <c r="K68">
        <v>22.388059999999999</v>
      </c>
      <c r="L68">
        <v>27.272727</v>
      </c>
      <c r="M68">
        <v>23.584906</v>
      </c>
      <c r="N68">
        <v>31.395349</v>
      </c>
      <c r="O68">
        <v>18</v>
      </c>
      <c r="P68">
        <v>29.914529999999999</v>
      </c>
      <c r="Q68">
        <v>35.820895999999998</v>
      </c>
      <c r="R68">
        <v>40.816327000000001</v>
      </c>
      <c r="S68">
        <v>40.625</v>
      </c>
      <c r="T68">
        <v>23.595506</v>
      </c>
      <c r="U68">
        <v>52.941175999999999</v>
      </c>
      <c r="V68">
        <v>41.666666999999997</v>
      </c>
      <c r="W68">
        <v>37.837837999999998</v>
      </c>
      <c r="X68">
        <v>18.181818</v>
      </c>
      <c r="Y68">
        <v>14.556962</v>
      </c>
      <c r="Z68">
        <v>37.356321999999999</v>
      </c>
      <c r="AA68">
        <v>59.090909000000003</v>
      </c>
      <c r="AB68">
        <v>44.444443999999997</v>
      </c>
      <c r="AC68">
        <v>27.083333</v>
      </c>
      <c r="AD68">
        <v>64.948453999999998</v>
      </c>
      <c r="AE68">
        <v>22.916667</v>
      </c>
      <c r="AF68">
        <v>40.449438000000001</v>
      </c>
      <c r="AG68">
        <v>20.134228</v>
      </c>
      <c r="AH68">
        <v>28.695651999999999</v>
      </c>
      <c r="AI68">
        <v>49.206349000000003</v>
      </c>
      <c r="AJ68">
        <v>21.739129999999999</v>
      </c>
      <c r="AK68">
        <v>29.787234000000002</v>
      </c>
      <c r="AL68">
        <v>36.458333000000003</v>
      </c>
      <c r="AM68">
        <v>23.364485999999999</v>
      </c>
      <c r="AN68">
        <v>25.287355999999999</v>
      </c>
      <c r="AO68">
        <v>53.571429000000002</v>
      </c>
      <c r="AP68">
        <v>34.920634999999997</v>
      </c>
      <c r="AQ68">
        <v>21.848738999999998</v>
      </c>
      <c r="AR68">
        <v>34.042552999999998</v>
      </c>
      <c r="AS68">
        <v>64.516129000000006</v>
      </c>
      <c r="AT68">
        <v>38.775509999999997</v>
      </c>
      <c r="AU68">
        <v>20.869565000000001</v>
      </c>
      <c r="AV68">
        <v>27.472526999999999</v>
      </c>
      <c r="AW68">
        <v>29.447852999999999</v>
      </c>
    </row>
    <row r="69" spans="1:769" x14ac:dyDescent="0.25">
      <c r="A69" t="s">
        <v>119</v>
      </c>
      <c r="B69">
        <v>1251.7482520000001</v>
      </c>
      <c r="C69">
        <v>1190.7894739999999</v>
      </c>
      <c r="D69">
        <v>1918.518519</v>
      </c>
      <c r="E69">
        <v>1694.029851</v>
      </c>
      <c r="F69">
        <v>1457.142857</v>
      </c>
      <c r="G69">
        <v>1654.7619050000001</v>
      </c>
      <c r="H69">
        <v>1985.074627</v>
      </c>
      <c r="I69">
        <v>2247.5247519999998</v>
      </c>
      <c r="J69">
        <v>1192.3076920000001</v>
      </c>
      <c r="K69">
        <v>1402.9850750000001</v>
      </c>
      <c r="L69">
        <v>2254.5454549999999</v>
      </c>
      <c r="M69">
        <v>1528.3018870000001</v>
      </c>
      <c r="N69">
        <v>1290.697674</v>
      </c>
      <c r="O69">
        <v>1240</v>
      </c>
      <c r="P69">
        <v>1196.581197</v>
      </c>
      <c r="Q69">
        <v>1179.104478</v>
      </c>
      <c r="R69">
        <v>1306.122449</v>
      </c>
      <c r="S69">
        <v>531.25</v>
      </c>
      <c r="T69">
        <v>1146.0674160000001</v>
      </c>
      <c r="U69">
        <v>1166.666667</v>
      </c>
      <c r="V69">
        <v>958.33333300000004</v>
      </c>
      <c r="W69">
        <v>2527.0270270000001</v>
      </c>
      <c r="X69">
        <v>1619.834711</v>
      </c>
      <c r="Y69">
        <v>1082.2784810000001</v>
      </c>
      <c r="Z69">
        <v>1528.7356319999999</v>
      </c>
      <c r="AA69">
        <v>818.18181800000002</v>
      </c>
      <c r="AB69">
        <v>1188.8888890000001</v>
      </c>
      <c r="AC69">
        <v>1718.75</v>
      </c>
      <c r="AD69">
        <v>680.41237100000001</v>
      </c>
      <c r="AE69">
        <v>1520.833333</v>
      </c>
      <c r="AF69">
        <v>1292.1348310000001</v>
      </c>
      <c r="AG69">
        <v>926.17449699999997</v>
      </c>
      <c r="AH69">
        <v>1617.391304</v>
      </c>
      <c r="AI69">
        <v>976.19047599999999</v>
      </c>
      <c r="AJ69">
        <v>1869.5652170000001</v>
      </c>
      <c r="AK69">
        <v>1744.6808510000001</v>
      </c>
      <c r="AL69">
        <v>947.91666699999996</v>
      </c>
      <c r="AM69">
        <v>813.084112</v>
      </c>
      <c r="AN69">
        <v>781.609195</v>
      </c>
      <c r="AO69">
        <v>928.57142899999997</v>
      </c>
      <c r="AP69">
        <v>1309.5238099999999</v>
      </c>
      <c r="AQ69">
        <v>1436.97479</v>
      </c>
      <c r="AR69">
        <v>900.70921999999996</v>
      </c>
      <c r="AS69">
        <v>483.870968</v>
      </c>
      <c r="AT69">
        <v>561.22448999999995</v>
      </c>
      <c r="AU69">
        <v>1034.7826090000001</v>
      </c>
      <c r="AV69">
        <v>780.21978000000001</v>
      </c>
      <c r="AW69">
        <v>693.25153399999999</v>
      </c>
    </row>
    <row r="70" spans="1:769" x14ac:dyDescent="0.25">
      <c r="A70" t="s">
        <v>120</v>
      </c>
      <c r="B70">
        <v>56.5</v>
      </c>
      <c r="C70">
        <v>12.5</v>
      </c>
      <c r="D70">
        <v>30.5</v>
      </c>
      <c r="E70">
        <v>60.5</v>
      </c>
      <c r="F70">
        <v>60.5</v>
      </c>
      <c r="G70">
        <v>38.5</v>
      </c>
      <c r="H70">
        <v>96.5</v>
      </c>
      <c r="I70">
        <v>62.5</v>
      </c>
      <c r="J70">
        <v>22.5</v>
      </c>
      <c r="K70">
        <v>43.5</v>
      </c>
      <c r="L70">
        <v>56.5</v>
      </c>
      <c r="M70">
        <v>76.5</v>
      </c>
      <c r="N70">
        <v>56.5</v>
      </c>
      <c r="O70">
        <v>72.5</v>
      </c>
      <c r="P70">
        <v>54.5</v>
      </c>
      <c r="Q70">
        <v>74.5</v>
      </c>
      <c r="R70">
        <v>32.5</v>
      </c>
      <c r="S70">
        <v>96.5</v>
      </c>
      <c r="T70">
        <v>40.5</v>
      </c>
      <c r="U70">
        <v>56.5</v>
      </c>
      <c r="V70">
        <v>50.5</v>
      </c>
      <c r="W70">
        <v>52.5</v>
      </c>
      <c r="X70">
        <v>26.5</v>
      </c>
      <c r="Y70">
        <v>22.5</v>
      </c>
      <c r="Z70">
        <v>42.5</v>
      </c>
      <c r="AA70">
        <v>39.5</v>
      </c>
      <c r="AB70">
        <v>16.5</v>
      </c>
      <c r="AC70">
        <v>36.5</v>
      </c>
      <c r="AD70">
        <v>8.5</v>
      </c>
      <c r="AE70">
        <v>66.5</v>
      </c>
      <c r="AF70">
        <v>52.5</v>
      </c>
      <c r="AG70">
        <v>8.5</v>
      </c>
      <c r="AH70">
        <v>68.5</v>
      </c>
      <c r="AI70">
        <v>14.5</v>
      </c>
      <c r="AJ70">
        <v>42.5</v>
      </c>
      <c r="AK70">
        <v>60.5</v>
      </c>
      <c r="AL70">
        <v>58.5</v>
      </c>
      <c r="AM70">
        <v>70.5</v>
      </c>
      <c r="AN70">
        <v>34.5</v>
      </c>
      <c r="AO70">
        <v>30.5</v>
      </c>
      <c r="AP70">
        <v>40.5</v>
      </c>
      <c r="AQ70">
        <v>22.5</v>
      </c>
      <c r="AR70">
        <v>4.5</v>
      </c>
      <c r="AS70">
        <v>52.5</v>
      </c>
      <c r="AT70">
        <v>32.5</v>
      </c>
      <c r="AU70">
        <v>66.5</v>
      </c>
      <c r="AV70">
        <v>52.5</v>
      </c>
      <c r="AW70">
        <v>35.5</v>
      </c>
    </row>
    <row r="72" spans="1:769" x14ac:dyDescent="0.25">
      <c r="A72" t="s">
        <v>121</v>
      </c>
      <c r="B72" t="s">
        <v>122</v>
      </c>
      <c r="C72" t="s">
        <v>123</v>
      </c>
      <c r="D72" t="s">
        <v>124</v>
      </c>
      <c r="E72" t="s">
        <v>125</v>
      </c>
      <c r="F72" t="s">
        <v>126</v>
      </c>
      <c r="G72" t="s">
        <v>127</v>
      </c>
      <c r="H72" t="s">
        <v>128</v>
      </c>
      <c r="I72" t="s">
        <v>129</v>
      </c>
      <c r="J72" t="s">
        <v>130</v>
      </c>
      <c r="K72" t="s">
        <v>131</v>
      </c>
      <c r="L72" t="s">
        <v>132</v>
      </c>
      <c r="M72" t="s">
        <v>133</v>
      </c>
      <c r="N72" t="s">
        <v>134</v>
      </c>
      <c r="O72" t="s">
        <v>135</v>
      </c>
      <c r="P72" t="s">
        <v>136</v>
      </c>
      <c r="Q72" t="s">
        <v>137</v>
      </c>
      <c r="R72" t="s">
        <v>138</v>
      </c>
      <c r="S72" t="s">
        <v>139</v>
      </c>
      <c r="T72" t="s">
        <v>140</v>
      </c>
      <c r="U72" t="s">
        <v>141</v>
      </c>
      <c r="V72" t="s">
        <v>142</v>
      </c>
      <c r="W72" t="s">
        <v>143</v>
      </c>
      <c r="X72" t="s">
        <v>144</v>
      </c>
      <c r="Y72" t="s">
        <v>145</v>
      </c>
      <c r="Z72" t="s">
        <v>146</v>
      </c>
      <c r="AA72" t="s">
        <v>147</v>
      </c>
      <c r="AB72" t="s">
        <v>148</v>
      </c>
      <c r="AC72" t="s">
        <v>149</v>
      </c>
      <c r="AD72" t="s">
        <v>150</v>
      </c>
      <c r="AE72" t="s">
        <v>151</v>
      </c>
      <c r="AF72" t="s">
        <v>152</v>
      </c>
      <c r="AG72" t="s">
        <v>153</v>
      </c>
      <c r="AH72" t="s">
        <v>154</v>
      </c>
      <c r="AI72" t="s">
        <v>155</v>
      </c>
      <c r="AJ72" t="s">
        <v>156</v>
      </c>
      <c r="AK72" t="s">
        <v>157</v>
      </c>
      <c r="AL72" t="s">
        <v>158</v>
      </c>
      <c r="AM72" t="s">
        <v>159</v>
      </c>
      <c r="AN72" t="s">
        <v>160</v>
      </c>
      <c r="AO72" t="s">
        <v>161</v>
      </c>
      <c r="AP72" t="s">
        <v>162</v>
      </c>
      <c r="AQ72" t="s">
        <v>163</v>
      </c>
      <c r="AR72" t="s">
        <v>164</v>
      </c>
      <c r="AS72" t="s">
        <v>165</v>
      </c>
      <c r="AT72" t="s">
        <v>166</v>
      </c>
      <c r="AU72" t="s">
        <v>167</v>
      </c>
      <c r="AV72" t="s">
        <v>168</v>
      </c>
      <c r="AW72" t="s">
        <v>169</v>
      </c>
      <c r="AX72" t="s">
        <v>170</v>
      </c>
      <c r="AY72" t="s">
        <v>171</v>
      </c>
      <c r="AZ72" t="s">
        <v>172</v>
      </c>
      <c r="BA72" t="s">
        <v>173</v>
      </c>
      <c r="BB72" t="s">
        <v>174</v>
      </c>
      <c r="BC72" t="s">
        <v>175</v>
      </c>
      <c r="BD72" t="s">
        <v>176</v>
      </c>
      <c r="BE72" t="s">
        <v>177</v>
      </c>
      <c r="BF72" t="s">
        <v>178</v>
      </c>
      <c r="BG72" t="s">
        <v>179</v>
      </c>
      <c r="BH72" t="s">
        <v>180</v>
      </c>
      <c r="BI72" t="s">
        <v>181</v>
      </c>
      <c r="BJ72" t="s">
        <v>182</v>
      </c>
      <c r="BK72" t="s">
        <v>183</v>
      </c>
      <c r="BL72" t="s">
        <v>184</v>
      </c>
      <c r="BM72" t="s">
        <v>185</v>
      </c>
      <c r="BN72" t="s">
        <v>186</v>
      </c>
      <c r="BO72" t="s">
        <v>187</v>
      </c>
      <c r="BP72" t="s">
        <v>188</v>
      </c>
      <c r="BQ72" t="s">
        <v>189</v>
      </c>
      <c r="BR72" t="s">
        <v>190</v>
      </c>
      <c r="BS72" t="s">
        <v>191</v>
      </c>
      <c r="BT72" t="s">
        <v>192</v>
      </c>
      <c r="BU72" t="s">
        <v>193</v>
      </c>
      <c r="BV72" t="s">
        <v>194</v>
      </c>
      <c r="BW72" t="s">
        <v>195</v>
      </c>
      <c r="BX72" t="s">
        <v>196</v>
      </c>
      <c r="BY72" t="s">
        <v>197</v>
      </c>
      <c r="BZ72" t="s">
        <v>198</v>
      </c>
      <c r="CA72" t="s">
        <v>199</v>
      </c>
      <c r="CB72" t="s">
        <v>200</v>
      </c>
      <c r="CC72" t="s">
        <v>201</v>
      </c>
      <c r="CD72" t="s">
        <v>202</v>
      </c>
      <c r="CE72" t="s">
        <v>203</v>
      </c>
      <c r="CF72" t="s">
        <v>204</v>
      </c>
      <c r="CG72" t="s">
        <v>205</v>
      </c>
      <c r="CH72" t="s">
        <v>206</v>
      </c>
      <c r="CI72" t="s">
        <v>207</v>
      </c>
      <c r="CJ72" t="s">
        <v>208</v>
      </c>
      <c r="CK72" t="s">
        <v>209</v>
      </c>
      <c r="CL72" t="s">
        <v>210</v>
      </c>
      <c r="CM72" t="s">
        <v>211</v>
      </c>
      <c r="CN72" t="s">
        <v>212</v>
      </c>
      <c r="CO72" t="s">
        <v>213</v>
      </c>
      <c r="CP72" t="s">
        <v>214</v>
      </c>
      <c r="CQ72" t="s">
        <v>215</v>
      </c>
      <c r="CR72" t="s">
        <v>216</v>
      </c>
      <c r="CS72" t="s">
        <v>217</v>
      </c>
      <c r="CT72" t="s">
        <v>218</v>
      </c>
      <c r="CU72" t="s">
        <v>219</v>
      </c>
      <c r="CV72" t="s">
        <v>220</v>
      </c>
      <c r="CW72" t="s">
        <v>221</v>
      </c>
      <c r="CX72" t="s">
        <v>222</v>
      </c>
      <c r="CY72" t="s">
        <v>223</v>
      </c>
      <c r="CZ72" t="s">
        <v>224</v>
      </c>
      <c r="DA72" t="s">
        <v>225</v>
      </c>
      <c r="DB72" t="s">
        <v>226</v>
      </c>
      <c r="DC72" t="s">
        <v>227</v>
      </c>
      <c r="DD72" t="s">
        <v>228</v>
      </c>
      <c r="DE72" t="s">
        <v>229</v>
      </c>
      <c r="DF72" t="s">
        <v>230</v>
      </c>
      <c r="DG72" t="s">
        <v>231</v>
      </c>
      <c r="DH72" t="s">
        <v>232</v>
      </c>
      <c r="DI72" t="s">
        <v>233</v>
      </c>
      <c r="DJ72" t="s">
        <v>234</v>
      </c>
      <c r="DK72" t="s">
        <v>235</v>
      </c>
      <c r="DL72" t="s">
        <v>236</v>
      </c>
      <c r="DM72" t="s">
        <v>237</v>
      </c>
      <c r="DN72" t="s">
        <v>238</v>
      </c>
      <c r="DO72" t="s">
        <v>239</v>
      </c>
      <c r="DP72" t="s">
        <v>240</v>
      </c>
      <c r="DQ72" t="s">
        <v>241</v>
      </c>
      <c r="DR72" t="s">
        <v>242</v>
      </c>
      <c r="DS72" t="s">
        <v>243</v>
      </c>
      <c r="DT72" t="s">
        <v>244</v>
      </c>
      <c r="DU72" t="s">
        <v>245</v>
      </c>
      <c r="DV72" t="s">
        <v>246</v>
      </c>
      <c r="DW72" t="s">
        <v>247</v>
      </c>
      <c r="DX72" t="s">
        <v>248</v>
      </c>
      <c r="DY72" t="s">
        <v>249</v>
      </c>
      <c r="DZ72" t="s">
        <v>250</v>
      </c>
      <c r="EA72" t="s">
        <v>251</v>
      </c>
      <c r="EB72" t="s">
        <v>252</v>
      </c>
      <c r="EC72" t="s">
        <v>253</v>
      </c>
      <c r="ED72" t="s">
        <v>254</v>
      </c>
      <c r="EE72" t="s">
        <v>255</v>
      </c>
      <c r="EF72" t="s">
        <v>256</v>
      </c>
      <c r="EG72" t="s">
        <v>257</v>
      </c>
      <c r="EH72" t="s">
        <v>258</v>
      </c>
      <c r="EI72" t="s">
        <v>259</v>
      </c>
      <c r="EJ72" t="s">
        <v>260</v>
      </c>
      <c r="EK72" t="s">
        <v>261</v>
      </c>
      <c r="EL72" t="s">
        <v>262</v>
      </c>
      <c r="EM72" t="s">
        <v>263</v>
      </c>
      <c r="EN72" t="s">
        <v>264</v>
      </c>
      <c r="EO72" t="s">
        <v>265</v>
      </c>
      <c r="EP72" t="s">
        <v>266</v>
      </c>
      <c r="EQ72" t="s">
        <v>267</v>
      </c>
      <c r="ER72" t="s">
        <v>268</v>
      </c>
      <c r="ES72" t="s">
        <v>269</v>
      </c>
      <c r="ET72" t="s">
        <v>270</v>
      </c>
      <c r="EU72" t="s">
        <v>271</v>
      </c>
      <c r="EV72" t="s">
        <v>272</v>
      </c>
      <c r="EW72" t="s">
        <v>273</v>
      </c>
      <c r="EX72" t="s">
        <v>274</v>
      </c>
      <c r="EY72" t="s">
        <v>275</v>
      </c>
      <c r="EZ72" t="s">
        <v>276</v>
      </c>
      <c r="FA72" t="s">
        <v>277</v>
      </c>
      <c r="FB72" t="s">
        <v>278</v>
      </c>
      <c r="FC72" t="s">
        <v>279</v>
      </c>
      <c r="FD72" t="s">
        <v>280</v>
      </c>
      <c r="FE72" t="s">
        <v>281</v>
      </c>
      <c r="FF72" t="s">
        <v>282</v>
      </c>
      <c r="FG72" t="s">
        <v>283</v>
      </c>
      <c r="FH72" t="s">
        <v>284</v>
      </c>
      <c r="FI72" t="s">
        <v>285</v>
      </c>
      <c r="FJ72" t="s">
        <v>286</v>
      </c>
      <c r="FK72" t="s">
        <v>287</v>
      </c>
      <c r="FL72" t="s">
        <v>288</v>
      </c>
      <c r="FM72" t="s">
        <v>289</v>
      </c>
      <c r="FN72" t="s">
        <v>290</v>
      </c>
      <c r="FO72" t="s">
        <v>291</v>
      </c>
      <c r="FP72" t="s">
        <v>292</v>
      </c>
      <c r="FQ72" t="s">
        <v>293</v>
      </c>
      <c r="FR72" t="s">
        <v>294</v>
      </c>
      <c r="FS72" t="s">
        <v>295</v>
      </c>
      <c r="FT72" t="s">
        <v>296</v>
      </c>
      <c r="FU72" t="s">
        <v>297</v>
      </c>
      <c r="FV72" t="s">
        <v>298</v>
      </c>
      <c r="FW72" t="s">
        <v>299</v>
      </c>
      <c r="FX72" t="s">
        <v>300</v>
      </c>
      <c r="FY72" t="s">
        <v>301</v>
      </c>
      <c r="FZ72" t="s">
        <v>302</v>
      </c>
      <c r="GA72" t="s">
        <v>303</v>
      </c>
      <c r="GB72" t="s">
        <v>304</v>
      </c>
      <c r="GC72" t="s">
        <v>305</v>
      </c>
      <c r="GD72" t="s">
        <v>306</v>
      </c>
      <c r="GE72" t="s">
        <v>307</v>
      </c>
      <c r="GF72" t="s">
        <v>308</v>
      </c>
      <c r="GG72" t="s">
        <v>309</v>
      </c>
      <c r="GH72" t="s">
        <v>310</v>
      </c>
      <c r="GI72" t="s">
        <v>311</v>
      </c>
      <c r="GJ72" t="s">
        <v>312</v>
      </c>
      <c r="GK72" t="s">
        <v>313</v>
      </c>
      <c r="GL72" t="s">
        <v>314</v>
      </c>
      <c r="GM72" t="s">
        <v>315</v>
      </c>
      <c r="GN72" t="s">
        <v>316</v>
      </c>
      <c r="GO72" t="s">
        <v>317</v>
      </c>
      <c r="GP72" t="s">
        <v>318</v>
      </c>
      <c r="GQ72" t="s">
        <v>319</v>
      </c>
      <c r="GR72" t="s">
        <v>320</v>
      </c>
      <c r="GS72" t="s">
        <v>321</v>
      </c>
      <c r="GT72" t="s">
        <v>322</v>
      </c>
      <c r="GU72" t="s">
        <v>323</v>
      </c>
      <c r="GV72" t="s">
        <v>324</v>
      </c>
      <c r="GW72" t="s">
        <v>325</v>
      </c>
      <c r="GX72" t="s">
        <v>326</v>
      </c>
      <c r="GY72" t="s">
        <v>327</v>
      </c>
      <c r="GZ72" t="s">
        <v>328</v>
      </c>
      <c r="HA72" t="s">
        <v>329</v>
      </c>
      <c r="HB72" t="s">
        <v>330</v>
      </c>
      <c r="HC72" t="s">
        <v>331</v>
      </c>
      <c r="HD72" t="s">
        <v>332</v>
      </c>
      <c r="HE72" t="s">
        <v>333</v>
      </c>
      <c r="HF72" t="s">
        <v>334</v>
      </c>
      <c r="HG72" t="s">
        <v>335</v>
      </c>
      <c r="HH72" t="s">
        <v>336</v>
      </c>
      <c r="HI72" t="s">
        <v>337</v>
      </c>
      <c r="HJ72" t="s">
        <v>338</v>
      </c>
      <c r="HK72" t="s">
        <v>339</v>
      </c>
      <c r="HL72" t="s">
        <v>340</v>
      </c>
      <c r="HM72" t="s">
        <v>341</v>
      </c>
      <c r="HN72" t="s">
        <v>342</v>
      </c>
      <c r="HO72" t="s">
        <v>343</v>
      </c>
      <c r="HP72" t="s">
        <v>344</v>
      </c>
      <c r="HQ72" t="s">
        <v>345</v>
      </c>
      <c r="HR72" t="s">
        <v>346</v>
      </c>
      <c r="HS72" t="s">
        <v>347</v>
      </c>
      <c r="HT72" t="s">
        <v>348</v>
      </c>
      <c r="HU72" t="s">
        <v>349</v>
      </c>
      <c r="HV72" t="s">
        <v>350</v>
      </c>
      <c r="HW72" t="s">
        <v>351</v>
      </c>
      <c r="HX72" t="s">
        <v>352</v>
      </c>
      <c r="HY72" t="s">
        <v>353</v>
      </c>
      <c r="HZ72" t="s">
        <v>354</v>
      </c>
      <c r="IA72" t="s">
        <v>355</v>
      </c>
      <c r="IB72" t="s">
        <v>356</v>
      </c>
      <c r="IC72" t="s">
        <v>357</v>
      </c>
      <c r="ID72" t="s">
        <v>358</v>
      </c>
      <c r="IE72" t="s">
        <v>359</v>
      </c>
      <c r="IF72" t="s">
        <v>360</v>
      </c>
      <c r="IG72" t="s">
        <v>361</v>
      </c>
      <c r="IH72" t="s">
        <v>362</v>
      </c>
      <c r="II72" t="s">
        <v>363</v>
      </c>
      <c r="IJ72" t="s">
        <v>364</v>
      </c>
      <c r="IK72" t="s">
        <v>365</v>
      </c>
      <c r="IL72" t="s">
        <v>366</v>
      </c>
      <c r="IM72" t="s">
        <v>367</v>
      </c>
      <c r="IN72" t="s">
        <v>368</v>
      </c>
      <c r="IO72" t="s">
        <v>369</v>
      </c>
      <c r="IP72" t="s">
        <v>370</v>
      </c>
      <c r="IQ72" t="s">
        <v>371</v>
      </c>
      <c r="IR72" t="s">
        <v>372</v>
      </c>
      <c r="IS72" t="s">
        <v>373</v>
      </c>
      <c r="IT72" t="s">
        <v>374</v>
      </c>
      <c r="IU72" t="s">
        <v>375</v>
      </c>
      <c r="IV72" t="s">
        <v>376</v>
      </c>
      <c r="IW72" t="s">
        <v>377</v>
      </c>
      <c r="IX72" t="s">
        <v>378</v>
      </c>
      <c r="IY72" t="s">
        <v>379</v>
      </c>
      <c r="IZ72" t="s">
        <v>380</v>
      </c>
      <c r="JA72" t="s">
        <v>381</v>
      </c>
      <c r="JB72" t="s">
        <v>382</v>
      </c>
      <c r="JC72" t="s">
        <v>383</v>
      </c>
      <c r="JD72" t="s">
        <v>384</v>
      </c>
      <c r="JE72" t="s">
        <v>385</v>
      </c>
      <c r="JF72" t="s">
        <v>386</v>
      </c>
      <c r="JG72" t="s">
        <v>387</v>
      </c>
      <c r="JH72" t="s">
        <v>388</v>
      </c>
      <c r="JI72" t="s">
        <v>389</v>
      </c>
      <c r="JJ72" t="s">
        <v>390</v>
      </c>
      <c r="JK72" t="s">
        <v>391</v>
      </c>
      <c r="JL72" t="s">
        <v>392</v>
      </c>
      <c r="JM72" t="s">
        <v>393</v>
      </c>
      <c r="JN72" t="s">
        <v>394</v>
      </c>
      <c r="JO72" t="s">
        <v>395</v>
      </c>
      <c r="JP72" t="s">
        <v>396</v>
      </c>
      <c r="JQ72" t="s">
        <v>397</v>
      </c>
      <c r="JR72" t="s">
        <v>398</v>
      </c>
      <c r="JS72" t="s">
        <v>399</v>
      </c>
      <c r="JT72" t="s">
        <v>400</v>
      </c>
      <c r="JU72" t="s">
        <v>401</v>
      </c>
      <c r="JV72" t="s">
        <v>402</v>
      </c>
      <c r="JW72" t="s">
        <v>403</v>
      </c>
      <c r="JX72" t="s">
        <v>404</v>
      </c>
      <c r="JY72" t="s">
        <v>405</v>
      </c>
      <c r="JZ72" t="s">
        <v>406</v>
      </c>
      <c r="KA72" t="s">
        <v>407</v>
      </c>
      <c r="KB72" t="s">
        <v>408</v>
      </c>
      <c r="KC72" t="s">
        <v>409</v>
      </c>
      <c r="KD72" t="s">
        <v>410</v>
      </c>
      <c r="KE72" t="s">
        <v>411</v>
      </c>
      <c r="KF72" t="s">
        <v>412</v>
      </c>
      <c r="KG72" t="s">
        <v>413</v>
      </c>
      <c r="KH72" t="s">
        <v>414</v>
      </c>
      <c r="KI72" t="s">
        <v>415</v>
      </c>
      <c r="KJ72" t="s">
        <v>416</v>
      </c>
      <c r="KK72" t="s">
        <v>417</v>
      </c>
      <c r="KL72" t="s">
        <v>418</v>
      </c>
      <c r="KM72" t="s">
        <v>419</v>
      </c>
      <c r="KN72" t="s">
        <v>420</v>
      </c>
      <c r="KO72" t="s">
        <v>421</v>
      </c>
      <c r="KP72" t="s">
        <v>422</v>
      </c>
      <c r="KQ72" t="s">
        <v>423</v>
      </c>
      <c r="KR72" t="s">
        <v>424</v>
      </c>
      <c r="KS72" t="s">
        <v>425</v>
      </c>
      <c r="KT72" t="s">
        <v>426</v>
      </c>
      <c r="KU72" t="s">
        <v>427</v>
      </c>
      <c r="KV72" t="s">
        <v>428</v>
      </c>
      <c r="KW72" t="s">
        <v>429</v>
      </c>
      <c r="KX72" t="s">
        <v>430</v>
      </c>
      <c r="KY72" t="s">
        <v>431</v>
      </c>
      <c r="KZ72" t="s">
        <v>432</v>
      </c>
      <c r="LA72" t="s">
        <v>433</v>
      </c>
      <c r="LB72" t="s">
        <v>434</v>
      </c>
      <c r="LC72" t="s">
        <v>435</v>
      </c>
      <c r="LD72" t="s">
        <v>436</v>
      </c>
      <c r="LE72" t="s">
        <v>437</v>
      </c>
      <c r="LF72" t="s">
        <v>438</v>
      </c>
      <c r="LG72" t="s">
        <v>439</v>
      </c>
      <c r="LH72" t="s">
        <v>440</v>
      </c>
      <c r="LI72" t="s">
        <v>441</v>
      </c>
      <c r="LJ72" t="s">
        <v>442</v>
      </c>
      <c r="LK72" t="s">
        <v>443</v>
      </c>
      <c r="LL72" t="s">
        <v>444</v>
      </c>
      <c r="LM72" t="s">
        <v>445</v>
      </c>
      <c r="LN72" t="s">
        <v>446</v>
      </c>
      <c r="LO72" t="s">
        <v>447</v>
      </c>
      <c r="LP72" t="s">
        <v>448</v>
      </c>
      <c r="LQ72" t="s">
        <v>449</v>
      </c>
      <c r="LR72" t="s">
        <v>450</v>
      </c>
      <c r="LS72" t="s">
        <v>451</v>
      </c>
      <c r="LT72" t="s">
        <v>452</v>
      </c>
      <c r="LU72" t="s">
        <v>453</v>
      </c>
      <c r="LV72" t="s">
        <v>454</v>
      </c>
      <c r="LW72" t="s">
        <v>455</v>
      </c>
      <c r="LX72" t="s">
        <v>456</v>
      </c>
      <c r="LY72" t="s">
        <v>457</v>
      </c>
      <c r="LZ72" t="s">
        <v>458</v>
      </c>
      <c r="MA72" t="s">
        <v>459</v>
      </c>
      <c r="MB72" t="s">
        <v>460</v>
      </c>
      <c r="MC72" t="s">
        <v>461</v>
      </c>
      <c r="MD72" t="s">
        <v>462</v>
      </c>
      <c r="ME72" t="s">
        <v>463</v>
      </c>
      <c r="MF72" t="s">
        <v>464</v>
      </c>
      <c r="MG72" t="s">
        <v>465</v>
      </c>
      <c r="MH72" t="s">
        <v>466</v>
      </c>
      <c r="MI72" t="s">
        <v>467</v>
      </c>
      <c r="MJ72" t="s">
        <v>468</v>
      </c>
      <c r="MK72" t="s">
        <v>469</v>
      </c>
      <c r="ML72" t="s">
        <v>470</v>
      </c>
      <c r="MM72" t="s">
        <v>471</v>
      </c>
      <c r="MN72" t="s">
        <v>472</v>
      </c>
      <c r="MO72" t="s">
        <v>473</v>
      </c>
      <c r="MP72" t="s">
        <v>474</v>
      </c>
      <c r="MQ72" t="s">
        <v>475</v>
      </c>
      <c r="MR72" t="s">
        <v>476</v>
      </c>
      <c r="MS72" t="s">
        <v>477</v>
      </c>
      <c r="MT72" t="s">
        <v>478</v>
      </c>
      <c r="MU72" t="s">
        <v>479</v>
      </c>
      <c r="MV72" t="s">
        <v>480</v>
      </c>
      <c r="MW72" t="s">
        <v>481</v>
      </c>
      <c r="MX72" t="s">
        <v>482</v>
      </c>
      <c r="MY72" t="s">
        <v>483</v>
      </c>
      <c r="MZ72" t="s">
        <v>484</v>
      </c>
      <c r="NA72" t="s">
        <v>485</v>
      </c>
      <c r="NB72" t="s">
        <v>486</v>
      </c>
      <c r="NC72" t="s">
        <v>487</v>
      </c>
      <c r="ND72" t="s">
        <v>488</v>
      </c>
      <c r="NE72" t="s">
        <v>489</v>
      </c>
      <c r="NF72" t="s">
        <v>490</v>
      </c>
      <c r="NG72" t="s">
        <v>491</v>
      </c>
      <c r="NH72" t="s">
        <v>492</v>
      </c>
      <c r="NI72" t="s">
        <v>493</v>
      </c>
      <c r="NJ72" t="s">
        <v>494</v>
      </c>
      <c r="NK72" t="s">
        <v>495</v>
      </c>
      <c r="NL72" t="s">
        <v>496</v>
      </c>
      <c r="NM72" t="s">
        <v>497</v>
      </c>
      <c r="NN72" t="s">
        <v>498</v>
      </c>
      <c r="NO72" t="s">
        <v>499</v>
      </c>
      <c r="NP72" t="s">
        <v>500</v>
      </c>
      <c r="NQ72" t="s">
        <v>501</v>
      </c>
      <c r="NR72" t="s">
        <v>502</v>
      </c>
      <c r="NS72" t="s">
        <v>503</v>
      </c>
      <c r="NT72" t="s">
        <v>504</v>
      </c>
      <c r="NU72" t="s">
        <v>505</v>
      </c>
      <c r="NV72" t="s">
        <v>506</v>
      </c>
      <c r="NW72" t="s">
        <v>507</v>
      </c>
      <c r="NX72" t="s">
        <v>508</v>
      </c>
      <c r="NY72" t="s">
        <v>509</v>
      </c>
      <c r="NZ72" t="s">
        <v>510</v>
      </c>
      <c r="OA72" t="s">
        <v>511</v>
      </c>
      <c r="OB72" t="s">
        <v>512</v>
      </c>
      <c r="OC72" t="s">
        <v>513</v>
      </c>
      <c r="OD72" t="s">
        <v>514</v>
      </c>
      <c r="OE72" t="s">
        <v>515</v>
      </c>
      <c r="OF72" t="s">
        <v>516</v>
      </c>
      <c r="OG72" t="s">
        <v>517</v>
      </c>
      <c r="OH72" t="s">
        <v>518</v>
      </c>
      <c r="OI72" t="s">
        <v>519</v>
      </c>
      <c r="OJ72" t="s">
        <v>520</v>
      </c>
      <c r="OK72" t="s">
        <v>521</v>
      </c>
      <c r="OL72" t="s">
        <v>522</v>
      </c>
      <c r="OM72" t="s">
        <v>523</v>
      </c>
      <c r="ON72" t="s">
        <v>524</v>
      </c>
      <c r="OO72" t="s">
        <v>525</v>
      </c>
      <c r="OP72" t="s">
        <v>526</v>
      </c>
      <c r="OQ72" t="s">
        <v>527</v>
      </c>
      <c r="OR72" t="s">
        <v>528</v>
      </c>
      <c r="OS72" t="s">
        <v>529</v>
      </c>
      <c r="OT72" t="s">
        <v>530</v>
      </c>
      <c r="OU72" t="s">
        <v>531</v>
      </c>
      <c r="OV72" t="s">
        <v>532</v>
      </c>
      <c r="OW72" t="s">
        <v>533</v>
      </c>
      <c r="OX72" t="s">
        <v>534</v>
      </c>
      <c r="OY72" t="s">
        <v>535</v>
      </c>
      <c r="OZ72" t="s">
        <v>536</v>
      </c>
      <c r="PA72" t="s">
        <v>537</v>
      </c>
      <c r="PB72" t="s">
        <v>538</v>
      </c>
      <c r="PC72" t="s">
        <v>539</v>
      </c>
      <c r="PD72" t="s">
        <v>540</v>
      </c>
      <c r="PE72" t="s">
        <v>541</v>
      </c>
      <c r="PF72" t="s">
        <v>542</v>
      </c>
      <c r="PG72" t="s">
        <v>543</v>
      </c>
      <c r="PH72" t="s">
        <v>544</v>
      </c>
      <c r="PI72" t="s">
        <v>545</v>
      </c>
      <c r="PJ72" t="s">
        <v>546</v>
      </c>
      <c r="PK72" t="s">
        <v>547</v>
      </c>
      <c r="PL72" t="s">
        <v>548</v>
      </c>
      <c r="PM72" t="s">
        <v>549</v>
      </c>
      <c r="PN72" t="s">
        <v>550</v>
      </c>
      <c r="PO72" t="s">
        <v>551</v>
      </c>
      <c r="PP72" t="s">
        <v>552</v>
      </c>
      <c r="PQ72" t="s">
        <v>553</v>
      </c>
      <c r="PR72" t="s">
        <v>554</v>
      </c>
      <c r="PS72" t="s">
        <v>555</v>
      </c>
      <c r="PT72" t="s">
        <v>556</v>
      </c>
      <c r="PU72" t="s">
        <v>557</v>
      </c>
      <c r="PV72" t="s">
        <v>558</v>
      </c>
      <c r="PW72" t="s">
        <v>559</v>
      </c>
      <c r="PX72" t="s">
        <v>560</v>
      </c>
      <c r="PY72" t="s">
        <v>561</v>
      </c>
      <c r="PZ72" t="s">
        <v>562</v>
      </c>
      <c r="QA72" t="s">
        <v>563</v>
      </c>
      <c r="QB72" t="s">
        <v>564</v>
      </c>
      <c r="QC72" t="s">
        <v>565</v>
      </c>
      <c r="QD72" t="s">
        <v>566</v>
      </c>
      <c r="QE72" t="s">
        <v>567</v>
      </c>
      <c r="QF72" t="s">
        <v>568</v>
      </c>
      <c r="QG72" t="s">
        <v>569</v>
      </c>
      <c r="QH72" t="s">
        <v>570</v>
      </c>
      <c r="QI72" t="s">
        <v>571</v>
      </c>
      <c r="QJ72" t="s">
        <v>572</v>
      </c>
      <c r="QK72" t="s">
        <v>573</v>
      </c>
      <c r="QL72" t="s">
        <v>574</v>
      </c>
      <c r="QM72" t="s">
        <v>575</v>
      </c>
      <c r="QN72" t="s">
        <v>576</v>
      </c>
      <c r="QO72" t="s">
        <v>577</v>
      </c>
      <c r="QP72" t="s">
        <v>578</v>
      </c>
      <c r="QQ72" t="s">
        <v>579</v>
      </c>
      <c r="QR72" t="s">
        <v>580</v>
      </c>
      <c r="QS72" t="s">
        <v>581</v>
      </c>
      <c r="QT72" t="s">
        <v>582</v>
      </c>
      <c r="QU72" t="s">
        <v>583</v>
      </c>
      <c r="QV72" t="s">
        <v>584</v>
      </c>
      <c r="QW72" t="s">
        <v>585</v>
      </c>
      <c r="QX72" t="s">
        <v>586</v>
      </c>
      <c r="QY72" t="s">
        <v>587</v>
      </c>
      <c r="QZ72" t="s">
        <v>588</v>
      </c>
      <c r="RA72" t="s">
        <v>589</v>
      </c>
      <c r="RB72" t="s">
        <v>590</v>
      </c>
      <c r="RC72" t="s">
        <v>591</v>
      </c>
      <c r="RD72" t="s">
        <v>592</v>
      </c>
      <c r="RE72" t="s">
        <v>593</v>
      </c>
      <c r="RF72" t="s">
        <v>594</v>
      </c>
      <c r="RG72" t="s">
        <v>595</v>
      </c>
      <c r="RH72" t="s">
        <v>596</v>
      </c>
      <c r="RI72" t="s">
        <v>597</v>
      </c>
      <c r="RJ72" t="s">
        <v>598</v>
      </c>
      <c r="RK72" t="s">
        <v>599</v>
      </c>
      <c r="RL72" t="s">
        <v>600</v>
      </c>
      <c r="RM72" t="s">
        <v>601</v>
      </c>
      <c r="RN72" t="s">
        <v>602</v>
      </c>
      <c r="RO72" t="s">
        <v>603</v>
      </c>
      <c r="RP72" t="s">
        <v>604</v>
      </c>
      <c r="RQ72" t="s">
        <v>605</v>
      </c>
      <c r="RR72" t="s">
        <v>606</v>
      </c>
      <c r="RS72" t="s">
        <v>607</v>
      </c>
      <c r="RT72" t="s">
        <v>608</v>
      </c>
      <c r="RU72" t="s">
        <v>609</v>
      </c>
      <c r="RV72" t="s">
        <v>610</v>
      </c>
      <c r="RW72" t="s">
        <v>611</v>
      </c>
      <c r="RX72" t="s">
        <v>612</v>
      </c>
      <c r="RY72" t="s">
        <v>613</v>
      </c>
      <c r="RZ72" t="s">
        <v>614</v>
      </c>
      <c r="SA72" t="s">
        <v>615</v>
      </c>
      <c r="SB72" t="s">
        <v>616</v>
      </c>
      <c r="SC72" t="s">
        <v>617</v>
      </c>
      <c r="SD72" t="s">
        <v>618</v>
      </c>
      <c r="SE72" t="s">
        <v>619</v>
      </c>
      <c r="SF72" t="s">
        <v>620</v>
      </c>
      <c r="SG72" t="s">
        <v>621</v>
      </c>
      <c r="SH72" t="s">
        <v>622</v>
      </c>
      <c r="SI72" t="s">
        <v>623</v>
      </c>
      <c r="SJ72" t="s">
        <v>624</v>
      </c>
      <c r="SK72" t="s">
        <v>625</v>
      </c>
      <c r="SL72" t="s">
        <v>626</v>
      </c>
      <c r="SM72" t="s">
        <v>627</v>
      </c>
      <c r="SN72" t="s">
        <v>628</v>
      </c>
      <c r="SO72" t="s">
        <v>629</v>
      </c>
      <c r="SP72" t="s">
        <v>630</v>
      </c>
      <c r="SQ72" t="s">
        <v>631</v>
      </c>
      <c r="SR72" t="s">
        <v>632</v>
      </c>
      <c r="SS72" t="s">
        <v>633</v>
      </c>
      <c r="ST72" t="s">
        <v>634</v>
      </c>
      <c r="SU72" t="s">
        <v>635</v>
      </c>
      <c r="SV72" t="s">
        <v>636</v>
      </c>
      <c r="SW72" t="s">
        <v>637</v>
      </c>
      <c r="SX72" t="s">
        <v>638</v>
      </c>
      <c r="SY72" t="s">
        <v>639</v>
      </c>
      <c r="SZ72" t="s">
        <v>640</v>
      </c>
      <c r="TA72" t="s">
        <v>641</v>
      </c>
      <c r="TB72" t="s">
        <v>642</v>
      </c>
      <c r="TC72" t="s">
        <v>643</v>
      </c>
      <c r="TD72" t="s">
        <v>644</v>
      </c>
      <c r="TE72" t="s">
        <v>645</v>
      </c>
      <c r="TF72" t="s">
        <v>646</v>
      </c>
      <c r="TG72" t="s">
        <v>647</v>
      </c>
      <c r="TH72" t="s">
        <v>648</v>
      </c>
      <c r="TI72" t="s">
        <v>649</v>
      </c>
      <c r="TJ72" t="s">
        <v>650</v>
      </c>
      <c r="TK72" t="s">
        <v>651</v>
      </c>
      <c r="TL72" t="s">
        <v>652</v>
      </c>
      <c r="TM72" t="s">
        <v>653</v>
      </c>
      <c r="TN72" t="s">
        <v>654</v>
      </c>
      <c r="TO72" t="s">
        <v>655</v>
      </c>
      <c r="TP72" t="s">
        <v>656</v>
      </c>
      <c r="TQ72" t="s">
        <v>657</v>
      </c>
      <c r="TR72" t="s">
        <v>658</v>
      </c>
      <c r="TS72" t="s">
        <v>659</v>
      </c>
      <c r="TT72" t="s">
        <v>660</v>
      </c>
      <c r="TU72" t="s">
        <v>661</v>
      </c>
      <c r="TV72" t="s">
        <v>662</v>
      </c>
      <c r="TW72" t="s">
        <v>663</v>
      </c>
      <c r="TX72" t="s">
        <v>664</v>
      </c>
      <c r="TY72" t="s">
        <v>665</v>
      </c>
      <c r="TZ72" t="s">
        <v>666</v>
      </c>
      <c r="UA72" t="s">
        <v>667</v>
      </c>
      <c r="UB72" t="s">
        <v>668</v>
      </c>
      <c r="UC72" t="s">
        <v>669</v>
      </c>
      <c r="UD72" t="s">
        <v>670</v>
      </c>
      <c r="UE72" t="s">
        <v>671</v>
      </c>
      <c r="UF72" t="s">
        <v>672</v>
      </c>
      <c r="UG72" t="s">
        <v>673</v>
      </c>
      <c r="UH72" t="s">
        <v>674</v>
      </c>
      <c r="UI72" t="s">
        <v>675</v>
      </c>
      <c r="UJ72" t="s">
        <v>676</v>
      </c>
      <c r="UK72" t="s">
        <v>677</v>
      </c>
      <c r="UL72" t="s">
        <v>678</v>
      </c>
      <c r="UM72" t="s">
        <v>679</v>
      </c>
      <c r="UN72" t="s">
        <v>680</v>
      </c>
      <c r="UO72" t="s">
        <v>681</v>
      </c>
      <c r="UP72" t="s">
        <v>682</v>
      </c>
      <c r="UQ72" t="s">
        <v>683</v>
      </c>
      <c r="UR72" t="s">
        <v>684</v>
      </c>
      <c r="US72" t="s">
        <v>685</v>
      </c>
      <c r="UT72" t="s">
        <v>686</v>
      </c>
      <c r="UU72" t="s">
        <v>687</v>
      </c>
      <c r="UV72" t="s">
        <v>688</v>
      </c>
      <c r="UW72" t="s">
        <v>689</v>
      </c>
      <c r="UX72" t="s">
        <v>690</v>
      </c>
      <c r="UY72" t="s">
        <v>691</v>
      </c>
      <c r="UZ72" t="s">
        <v>692</v>
      </c>
      <c r="VA72" t="s">
        <v>693</v>
      </c>
      <c r="VB72" t="s">
        <v>694</v>
      </c>
      <c r="VC72" t="s">
        <v>695</v>
      </c>
      <c r="VD72" t="s">
        <v>696</v>
      </c>
      <c r="VE72" t="s">
        <v>697</v>
      </c>
      <c r="VF72" t="s">
        <v>698</v>
      </c>
      <c r="VG72" t="s">
        <v>699</v>
      </c>
      <c r="VH72" t="s">
        <v>700</v>
      </c>
      <c r="VI72" t="s">
        <v>701</v>
      </c>
      <c r="VJ72" t="s">
        <v>702</v>
      </c>
      <c r="VK72" t="s">
        <v>703</v>
      </c>
      <c r="VL72" t="s">
        <v>704</v>
      </c>
      <c r="VM72" t="s">
        <v>705</v>
      </c>
      <c r="VN72" t="s">
        <v>706</v>
      </c>
      <c r="VO72" t="s">
        <v>707</v>
      </c>
      <c r="VP72" t="s">
        <v>708</v>
      </c>
      <c r="VQ72" t="s">
        <v>709</v>
      </c>
      <c r="VR72" t="s">
        <v>710</v>
      </c>
      <c r="VS72" t="s">
        <v>711</v>
      </c>
      <c r="VT72" t="s">
        <v>712</v>
      </c>
      <c r="VU72" t="s">
        <v>713</v>
      </c>
      <c r="VV72" t="s">
        <v>714</v>
      </c>
      <c r="VW72" t="s">
        <v>715</v>
      </c>
      <c r="VX72" t="s">
        <v>716</v>
      </c>
      <c r="VY72" t="s">
        <v>717</v>
      </c>
      <c r="VZ72" t="s">
        <v>718</v>
      </c>
      <c r="WA72" t="s">
        <v>719</v>
      </c>
      <c r="WB72" t="s">
        <v>720</v>
      </c>
      <c r="WC72" t="s">
        <v>721</v>
      </c>
      <c r="WD72" t="s">
        <v>722</v>
      </c>
      <c r="WE72" t="s">
        <v>723</v>
      </c>
      <c r="WF72" t="s">
        <v>724</v>
      </c>
      <c r="WG72" t="s">
        <v>725</v>
      </c>
      <c r="WH72" t="s">
        <v>726</v>
      </c>
      <c r="WI72" t="s">
        <v>727</v>
      </c>
      <c r="WJ72" t="s">
        <v>728</v>
      </c>
      <c r="WK72" t="s">
        <v>729</v>
      </c>
      <c r="WL72" t="s">
        <v>730</v>
      </c>
      <c r="WM72" t="s">
        <v>731</v>
      </c>
      <c r="WN72" t="s">
        <v>732</v>
      </c>
      <c r="WO72" t="s">
        <v>733</v>
      </c>
      <c r="WP72" t="s">
        <v>734</v>
      </c>
      <c r="WQ72" t="s">
        <v>735</v>
      </c>
      <c r="WR72" t="s">
        <v>736</v>
      </c>
      <c r="WS72" t="s">
        <v>737</v>
      </c>
      <c r="WT72" t="s">
        <v>738</v>
      </c>
      <c r="WU72" t="s">
        <v>739</v>
      </c>
      <c r="WV72" t="s">
        <v>740</v>
      </c>
      <c r="WW72" t="s">
        <v>741</v>
      </c>
      <c r="WX72" t="s">
        <v>742</v>
      </c>
      <c r="WY72" t="s">
        <v>743</v>
      </c>
      <c r="WZ72" t="s">
        <v>744</v>
      </c>
      <c r="XA72" t="s">
        <v>745</v>
      </c>
      <c r="XB72" t="s">
        <v>746</v>
      </c>
      <c r="XC72" t="s">
        <v>747</v>
      </c>
      <c r="XD72" t="s">
        <v>748</v>
      </c>
      <c r="XE72" t="s">
        <v>749</v>
      </c>
      <c r="XF72" t="s">
        <v>750</v>
      </c>
      <c r="XG72" t="s">
        <v>751</v>
      </c>
      <c r="XH72" t="s">
        <v>752</v>
      </c>
      <c r="XI72" t="s">
        <v>753</v>
      </c>
      <c r="XJ72" t="s">
        <v>754</v>
      </c>
      <c r="XK72" t="s">
        <v>755</v>
      </c>
      <c r="XL72" t="s">
        <v>756</v>
      </c>
      <c r="XM72" t="s">
        <v>757</v>
      </c>
      <c r="XN72" t="s">
        <v>758</v>
      </c>
      <c r="XO72" t="s">
        <v>759</v>
      </c>
      <c r="XP72" t="s">
        <v>760</v>
      </c>
      <c r="XQ72" t="s">
        <v>761</v>
      </c>
      <c r="XR72" t="s">
        <v>762</v>
      </c>
      <c r="XS72" t="s">
        <v>763</v>
      </c>
      <c r="XT72" t="s">
        <v>764</v>
      </c>
      <c r="XU72" t="s">
        <v>765</v>
      </c>
      <c r="XV72" t="s">
        <v>766</v>
      </c>
      <c r="XW72" t="s">
        <v>767</v>
      </c>
      <c r="XX72" t="s">
        <v>768</v>
      </c>
      <c r="XY72" t="s">
        <v>769</v>
      </c>
      <c r="XZ72" t="s">
        <v>770</v>
      </c>
      <c r="YA72" t="s">
        <v>771</v>
      </c>
      <c r="YB72" t="s">
        <v>772</v>
      </c>
      <c r="YC72" t="s">
        <v>773</v>
      </c>
      <c r="YD72" t="s">
        <v>774</v>
      </c>
      <c r="YE72" t="s">
        <v>775</v>
      </c>
      <c r="YF72" t="s">
        <v>776</v>
      </c>
      <c r="YG72" t="s">
        <v>777</v>
      </c>
      <c r="YH72" t="s">
        <v>778</v>
      </c>
      <c r="YI72" t="s">
        <v>779</v>
      </c>
      <c r="YJ72" t="s">
        <v>780</v>
      </c>
      <c r="YK72" t="s">
        <v>781</v>
      </c>
      <c r="YL72" t="s">
        <v>782</v>
      </c>
      <c r="YM72" t="s">
        <v>783</v>
      </c>
      <c r="YN72" t="s">
        <v>784</v>
      </c>
      <c r="YO72" t="s">
        <v>785</v>
      </c>
      <c r="YP72" t="s">
        <v>786</v>
      </c>
      <c r="YQ72" t="s">
        <v>787</v>
      </c>
      <c r="YR72" t="s">
        <v>788</v>
      </c>
      <c r="YS72" t="s">
        <v>789</v>
      </c>
      <c r="YT72" t="s">
        <v>790</v>
      </c>
      <c r="YU72" t="s">
        <v>791</v>
      </c>
      <c r="YV72" t="s">
        <v>792</v>
      </c>
      <c r="YW72" t="s">
        <v>793</v>
      </c>
      <c r="YX72" t="s">
        <v>794</v>
      </c>
      <c r="YY72" t="s">
        <v>795</v>
      </c>
      <c r="YZ72" t="s">
        <v>796</v>
      </c>
      <c r="ZA72" t="s">
        <v>797</v>
      </c>
      <c r="ZB72" t="s">
        <v>798</v>
      </c>
      <c r="ZC72" t="s">
        <v>799</v>
      </c>
      <c r="ZD72" t="s">
        <v>800</v>
      </c>
      <c r="ZE72" t="s">
        <v>801</v>
      </c>
      <c r="ZF72" t="s">
        <v>802</v>
      </c>
      <c r="ZG72" t="s">
        <v>803</v>
      </c>
      <c r="ZH72" t="s">
        <v>804</v>
      </c>
      <c r="ZI72" t="s">
        <v>805</v>
      </c>
      <c r="ZJ72" t="s">
        <v>806</v>
      </c>
      <c r="ZK72" t="s">
        <v>807</v>
      </c>
      <c r="ZL72" t="s">
        <v>808</v>
      </c>
      <c r="ZM72" t="s">
        <v>809</v>
      </c>
      <c r="ZN72" t="s">
        <v>810</v>
      </c>
      <c r="ZO72" t="s">
        <v>811</v>
      </c>
      <c r="ZP72" t="s">
        <v>812</v>
      </c>
      <c r="ZQ72" t="s">
        <v>813</v>
      </c>
      <c r="ZR72" t="s">
        <v>814</v>
      </c>
      <c r="ZS72" t="s">
        <v>815</v>
      </c>
      <c r="ZT72" t="s">
        <v>816</v>
      </c>
      <c r="ZU72" t="s">
        <v>817</v>
      </c>
      <c r="ZV72" t="s">
        <v>818</v>
      </c>
      <c r="ZW72" t="s">
        <v>819</v>
      </c>
      <c r="ZX72" t="s">
        <v>820</v>
      </c>
      <c r="ZY72" t="s">
        <v>821</v>
      </c>
      <c r="ZZ72" t="s">
        <v>822</v>
      </c>
      <c r="AAA72" t="s">
        <v>823</v>
      </c>
      <c r="AAB72" t="s">
        <v>824</v>
      </c>
      <c r="AAC72" t="s">
        <v>825</v>
      </c>
      <c r="AAD72" t="s">
        <v>826</v>
      </c>
      <c r="AAE72" t="s">
        <v>827</v>
      </c>
      <c r="AAF72" t="s">
        <v>828</v>
      </c>
      <c r="AAG72" t="s">
        <v>829</v>
      </c>
      <c r="AAH72" t="s">
        <v>830</v>
      </c>
      <c r="AAI72" t="s">
        <v>831</v>
      </c>
      <c r="AAJ72" t="s">
        <v>832</v>
      </c>
      <c r="AAK72" t="s">
        <v>833</v>
      </c>
      <c r="AAL72" t="s">
        <v>834</v>
      </c>
      <c r="AAM72" t="s">
        <v>835</v>
      </c>
      <c r="AAN72" t="s">
        <v>836</v>
      </c>
      <c r="AAO72" t="s">
        <v>837</v>
      </c>
      <c r="AAP72" t="s">
        <v>838</v>
      </c>
      <c r="AAQ72" t="s">
        <v>839</v>
      </c>
      <c r="AAR72" t="s">
        <v>840</v>
      </c>
      <c r="AAS72" t="s">
        <v>841</v>
      </c>
      <c r="AAT72" t="s">
        <v>842</v>
      </c>
      <c r="AAU72" t="s">
        <v>843</v>
      </c>
      <c r="AAV72" t="s">
        <v>844</v>
      </c>
      <c r="AAW72" t="s">
        <v>845</v>
      </c>
      <c r="AAX72" t="s">
        <v>846</v>
      </c>
      <c r="AAY72" t="s">
        <v>847</v>
      </c>
      <c r="AAZ72" t="s">
        <v>848</v>
      </c>
      <c r="ABA72" t="s">
        <v>849</v>
      </c>
      <c r="ABB72" t="s">
        <v>850</v>
      </c>
      <c r="ABC72" t="s">
        <v>851</v>
      </c>
      <c r="ABD72" t="s">
        <v>852</v>
      </c>
      <c r="ABE72" t="s">
        <v>853</v>
      </c>
      <c r="ABF72" t="s">
        <v>854</v>
      </c>
      <c r="ABG72" t="s">
        <v>855</v>
      </c>
      <c r="ABH72" t="s">
        <v>856</v>
      </c>
      <c r="ABI72" t="s">
        <v>857</v>
      </c>
      <c r="ABJ72" t="s">
        <v>858</v>
      </c>
      <c r="ABK72" t="s">
        <v>859</v>
      </c>
      <c r="ABL72" t="s">
        <v>860</v>
      </c>
      <c r="ABM72" t="s">
        <v>861</v>
      </c>
      <c r="ABN72" t="s">
        <v>862</v>
      </c>
      <c r="ABO72" t="s">
        <v>863</v>
      </c>
      <c r="ABP72" t="s">
        <v>864</v>
      </c>
      <c r="ABQ72" t="s">
        <v>865</v>
      </c>
      <c r="ABR72" t="s">
        <v>866</v>
      </c>
      <c r="ABS72" t="s">
        <v>867</v>
      </c>
      <c r="ABT72" t="s">
        <v>868</v>
      </c>
      <c r="ABU72" t="s">
        <v>869</v>
      </c>
      <c r="ABV72" t="s">
        <v>870</v>
      </c>
      <c r="ABW72" t="s">
        <v>871</v>
      </c>
      <c r="ABX72" t="s">
        <v>872</v>
      </c>
      <c r="ABY72" t="s">
        <v>873</v>
      </c>
      <c r="ABZ72" t="s">
        <v>874</v>
      </c>
      <c r="ACA72" t="s">
        <v>875</v>
      </c>
      <c r="ACB72" t="s">
        <v>876</v>
      </c>
      <c r="ACC72" t="s">
        <v>877</v>
      </c>
      <c r="ACD72" t="s">
        <v>878</v>
      </c>
      <c r="ACE72" t="s">
        <v>879</v>
      </c>
      <c r="ACF72" t="s">
        <v>880</v>
      </c>
      <c r="ACG72" t="s">
        <v>881</v>
      </c>
      <c r="ACH72" t="s">
        <v>882</v>
      </c>
      <c r="ACI72" t="s">
        <v>883</v>
      </c>
      <c r="ACJ72" t="s">
        <v>884</v>
      </c>
      <c r="ACK72" t="s">
        <v>885</v>
      </c>
      <c r="ACL72" t="s">
        <v>886</v>
      </c>
      <c r="ACM72" t="s">
        <v>887</v>
      </c>
      <c r="ACN72" t="s">
        <v>888</v>
      </c>
      <c r="ACO72" t="s">
        <v>889</v>
      </c>
    </row>
    <row r="73" spans="1:769" x14ac:dyDescent="0.25">
      <c r="A73" t="s">
        <v>77</v>
      </c>
    </row>
    <row r="74" spans="1:769" x14ac:dyDescent="0.25">
      <c r="A74" t="s">
        <v>78</v>
      </c>
      <c r="B74">
        <v>34</v>
      </c>
      <c r="C74">
        <v>0</v>
      </c>
      <c r="D74">
        <v>3732</v>
      </c>
      <c r="E74">
        <v>0</v>
      </c>
      <c r="F74">
        <v>2690</v>
      </c>
      <c r="G74">
        <v>3406</v>
      </c>
      <c r="H74">
        <v>1534</v>
      </c>
      <c r="I74">
        <v>557</v>
      </c>
      <c r="J74">
        <v>67</v>
      </c>
      <c r="K74">
        <v>560</v>
      </c>
      <c r="L74">
        <v>117</v>
      </c>
      <c r="M74">
        <v>2276</v>
      </c>
      <c r="N74">
        <v>0</v>
      </c>
      <c r="O74">
        <v>2270</v>
      </c>
      <c r="P74">
        <v>923</v>
      </c>
      <c r="Q74">
        <v>35</v>
      </c>
      <c r="R74">
        <v>223</v>
      </c>
      <c r="S74">
        <v>116</v>
      </c>
      <c r="T74">
        <v>255</v>
      </c>
      <c r="U74">
        <v>2231</v>
      </c>
      <c r="V74">
        <v>673</v>
      </c>
      <c r="W74">
        <v>31</v>
      </c>
      <c r="X74">
        <v>1290</v>
      </c>
      <c r="Y74">
        <v>610</v>
      </c>
      <c r="Z74">
        <v>42</v>
      </c>
      <c r="AA74">
        <v>1986</v>
      </c>
      <c r="AB74">
        <v>1424</v>
      </c>
      <c r="AC74">
        <v>1513</v>
      </c>
      <c r="AD74">
        <v>6</v>
      </c>
      <c r="AE74">
        <v>1751</v>
      </c>
      <c r="AF74">
        <v>386</v>
      </c>
      <c r="AG74">
        <v>1050</v>
      </c>
      <c r="AH74">
        <v>478</v>
      </c>
      <c r="AI74">
        <v>1228</v>
      </c>
      <c r="AJ74">
        <v>2554</v>
      </c>
      <c r="AK74">
        <v>1344</v>
      </c>
      <c r="AL74">
        <v>1766</v>
      </c>
      <c r="AM74">
        <v>316</v>
      </c>
      <c r="AN74">
        <v>1812</v>
      </c>
      <c r="AO74">
        <v>2750</v>
      </c>
      <c r="AP74">
        <v>1189</v>
      </c>
      <c r="AQ74">
        <v>644</v>
      </c>
      <c r="AR74">
        <v>2279</v>
      </c>
      <c r="AS74">
        <v>1202</v>
      </c>
      <c r="AT74">
        <v>308</v>
      </c>
      <c r="AU74">
        <v>655</v>
      </c>
      <c r="AV74">
        <v>253</v>
      </c>
      <c r="AW74">
        <v>1444</v>
      </c>
      <c r="AX74">
        <v>2254</v>
      </c>
      <c r="AY74">
        <v>348</v>
      </c>
      <c r="AZ74">
        <v>1260</v>
      </c>
      <c r="BA74">
        <v>2377</v>
      </c>
      <c r="BB74">
        <v>468</v>
      </c>
      <c r="BC74">
        <v>22</v>
      </c>
      <c r="BD74">
        <v>1009</v>
      </c>
      <c r="BE74">
        <v>3740</v>
      </c>
      <c r="BF74">
        <v>2005</v>
      </c>
      <c r="BG74">
        <v>585</v>
      </c>
      <c r="BH74">
        <v>418</v>
      </c>
      <c r="BI74">
        <v>1196</v>
      </c>
      <c r="BJ74">
        <v>2229</v>
      </c>
      <c r="BK74">
        <v>1284</v>
      </c>
      <c r="BL74">
        <v>411</v>
      </c>
      <c r="BM74">
        <v>2289</v>
      </c>
      <c r="BN74">
        <v>123</v>
      </c>
      <c r="BO74">
        <v>0</v>
      </c>
      <c r="BP74">
        <v>816</v>
      </c>
      <c r="BQ74">
        <v>1710</v>
      </c>
      <c r="BR74">
        <v>0</v>
      </c>
      <c r="BS74">
        <v>1884</v>
      </c>
      <c r="BT74">
        <v>573</v>
      </c>
      <c r="BU74">
        <v>0</v>
      </c>
      <c r="BV74">
        <v>382</v>
      </c>
      <c r="BW74">
        <v>1767</v>
      </c>
      <c r="BX74">
        <v>34</v>
      </c>
      <c r="BY74">
        <v>123</v>
      </c>
      <c r="BZ74">
        <v>1125</v>
      </c>
      <c r="CA74">
        <v>354</v>
      </c>
      <c r="CB74">
        <v>21</v>
      </c>
      <c r="CC74">
        <v>625</v>
      </c>
      <c r="CD74">
        <v>329</v>
      </c>
      <c r="CE74">
        <v>541</v>
      </c>
      <c r="CF74">
        <v>392</v>
      </c>
      <c r="CG74">
        <v>1389</v>
      </c>
      <c r="CH74">
        <v>0</v>
      </c>
      <c r="CI74">
        <v>828</v>
      </c>
      <c r="CJ74">
        <v>2179</v>
      </c>
      <c r="CK74">
        <v>59</v>
      </c>
      <c r="CL74">
        <v>1711</v>
      </c>
      <c r="CM74">
        <v>940</v>
      </c>
      <c r="CN74">
        <v>259</v>
      </c>
      <c r="CO74">
        <v>1420</v>
      </c>
      <c r="CP74">
        <v>2660</v>
      </c>
      <c r="CQ74">
        <v>842</v>
      </c>
      <c r="CR74">
        <v>1530</v>
      </c>
      <c r="CS74">
        <v>1108</v>
      </c>
      <c r="CT74">
        <v>0</v>
      </c>
      <c r="CU74">
        <v>2361</v>
      </c>
      <c r="CV74">
        <v>1969</v>
      </c>
      <c r="CW74">
        <v>936</v>
      </c>
      <c r="CX74">
        <v>5409</v>
      </c>
      <c r="CY74">
        <v>630</v>
      </c>
      <c r="CZ74">
        <v>1776</v>
      </c>
      <c r="DA74">
        <v>55</v>
      </c>
      <c r="DB74">
        <v>1330</v>
      </c>
      <c r="DC74">
        <v>1758</v>
      </c>
      <c r="DD74">
        <v>1332</v>
      </c>
      <c r="DE74">
        <v>702</v>
      </c>
      <c r="DF74">
        <v>1797</v>
      </c>
      <c r="DG74">
        <v>722</v>
      </c>
      <c r="DH74">
        <v>534</v>
      </c>
      <c r="DI74">
        <v>2610</v>
      </c>
      <c r="DJ74">
        <v>603</v>
      </c>
      <c r="DK74">
        <v>90</v>
      </c>
      <c r="DL74">
        <v>3816</v>
      </c>
      <c r="DM74">
        <v>1631</v>
      </c>
      <c r="DN74">
        <v>633</v>
      </c>
      <c r="DO74">
        <v>1708</v>
      </c>
      <c r="DP74">
        <v>796</v>
      </c>
      <c r="DQ74">
        <v>2518</v>
      </c>
      <c r="DR74">
        <v>2972</v>
      </c>
      <c r="DS74">
        <v>3485</v>
      </c>
      <c r="DT74">
        <v>182</v>
      </c>
      <c r="DU74">
        <v>2143</v>
      </c>
      <c r="DV74">
        <v>55</v>
      </c>
      <c r="DW74">
        <v>18</v>
      </c>
      <c r="DX74">
        <v>1639</v>
      </c>
      <c r="DY74">
        <v>870</v>
      </c>
      <c r="DZ74">
        <v>1068</v>
      </c>
      <c r="EA74">
        <v>3313</v>
      </c>
      <c r="EB74">
        <v>0</v>
      </c>
      <c r="EC74">
        <v>505</v>
      </c>
      <c r="ED74">
        <v>0</v>
      </c>
      <c r="EE74">
        <v>638</v>
      </c>
      <c r="EF74">
        <v>1039</v>
      </c>
      <c r="EG74">
        <v>3573</v>
      </c>
      <c r="EH74">
        <v>331</v>
      </c>
      <c r="EI74">
        <v>2247</v>
      </c>
      <c r="EJ74">
        <v>213</v>
      </c>
      <c r="EK74">
        <v>179</v>
      </c>
      <c r="EL74">
        <v>1072</v>
      </c>
      <c r="EM74">
        <v>1570</v>
      </c>
      <c r="EN74">
        <v>210</v>
      </c>
      <c r="EO74">
        <v>0</v>
      </c>
      <c r="EP74">
        <v>943</v>
      </c>
      <c r="EQ74">
        <v>1095</v>
      </c>
      <c r="ER74">
        <v>699</v>
      </c>
      <c r="ES74">
        <v>249</v>
      </c>
      <c r="ET74">
        <v>233</v>
      </c>
      <c r="EU74">
        <v>1294</v>
      </c>
      <c r="EV74">
        <v>2</v>
      </c>
      <c r="EW74">
        <v>202</v>
      </c>
      <c r="EX74">
        <v>702</v>
      </c>
      <c r="EY74">
        <v>116</v>
      </c>
      <c r="EZ74">
        <v>322</v>
      </c>
      <c r="FA74">
        <v>1050</v>
      </c>
      <c r="FB74">
        <v>1</v>
      </c>
      <c r="FC74">
        <v>309</v>
      </c>
      <c r="FD74">
        <v>22</v>
      </c>
      <c r="FE74">
        <v>8</v>
      </c>
      <c r="FF74">
        <v>1270</v>
      </c>
      <c r="FG74">
        <v>1580</v>
      </c>
      <c r="FH74">
        <v>1831</v>
      </c>
      <c r="FI74">
        <v>187</v>
      </c>
      <c r="FJ74">
        <v>1202</v>
      </c>
      <c r="FK74">
        <v>1013</v>
      </c>
      <c r="FL74">
        <v>1368</v>
      </c>
      <c r="FM74">
        <v>272</v>
      </c>
      <c r="FN74">
        <v>0</v>
      </c>
      <c r="FO74">
        <v>26</v>
      </c>
      <c r="FP74">
        <v>1125</v>
      </c>
      <c r="FQ74">
        <v>266</v>
      </c>
      <c r="FR74">
        <v>647</v>
      </c>
      <c r="FS74">
        <v>1182</v>
      </c>
      <c r="FT74">
        <v>329</v>
      </c>
      <c r="FU74">
        <v>498</v>
      </c>
      <c r="FV74">
        <v>1442</v>
      </c>
      <c r="FW74">
        <v>687</v>
      </c>
      <c r="FX74">
        <v>948</v>
      </c>
      <c r="FY74">
        <v>1148</v>
      </c>
      <c r="FZ74">
        <v>2064</v>
      </c>
      <c r="GA74">
        <v>748</v>
      </c>
      <c r="GB74">
        <v>296</v>
      </c>
      <c r="GC74">
        <v>1132</v>
      </c>
      <c r="GD74">
        <v>2470</v>
      </c>
      <c r="GE74">
        <v>2259</v>
      </c>
      <c r="GF74">
        <v>349</v>
      </c>
      <c r="GG74">
        <v>436</v>
      </c>
      <c r="GH74">
        <v>865</v>
      </c>
      <c r="GI74">
        <v>53</v>
      </c>
      <c r="GJ74">
        <v>716</v>
      </c>
      <c r="GK74">
        <v>785</v>
      </c>
      <c r="GL74">
        <v>60</v>
      </c>
      <c r="GM74">
        <v>17</v>
      </c>
      <c r="GN74">
        <v>254</v>
      </c>
      <c r="GO74">
        <v>11</v>
      </c>
      <c r="GP74">
        <v>1760</v>
      </c>
      <c r="GQ74">
        <v>2411</v>
      </c>
      <c r="GR74">
        <v>862</v>
      </c>
      <c r="GS74">
        <v>88</v>
      </c>
      <c r="GT74">
        <v>1288</v>
      </c>
      <c r="GU74">
        <v>5</v>
      </c>
      <c r="GV74">
        <v>365</v>
      </c>
      <c r="GW74">
        <v>56</v>
      </c>
      <c r="GX74">
        <v>800</v>
      </c>
      <c r="GY74">
        <v>492</v>
      </c>
      <c r="GZ74">
        <v>1701</v>
      </c>
      <c r="HA74">
        <v>670</v>
      </c>
      <c r="HB74">
        <v>1418</v>
      </c>
      <c r="HC74">
        <v>617</v>
      </c>
      <c r="HD74">
        <v>885</v>
      </c>
      <c r="HE74">
        <v>294</v>
      </c>
      <c r="HF74">
        <v>65</v>
      </c>
      <c r="HG74">
        <v>2013</v>
      </c>
      <c r="HH74">
        <v>2557</v>
      </c>
      <c r="HI74">
        <v>362</v>
      </c>
      <c r="HJ74">
        <v>2145</v>
      </c>
      <c r="HK74">
        <v>764</v>
      </c>
      <c r="HL74">
        <v>742</v>
      </c>
      <c r="HM74">
        <v>89</v>
      </c>
      <c r="HN74">
        <v>285</v>
      </c>
      <c r="HO74">
        <v>2613</v>
      </c>
      <c r="HP74">
        <v>174</v>
      </c>
      <c r="HQ74">
        <v>480</v>
      </c>
      <c r="HR74">
        <v>447</v>
      </c>
      <c r="HS74">
        <v>66</v>
      </c>
      <c r="HT74">
        <v>2067</v>
      </c>
      <c r="HU74">
        <v>1225</v>
      </c>
      <c r="HV74">
        <v>0</v>
      </c>
      <c r="HW74">
        <v>41</v>
      </c>
      <c r="HX74">
        <v>1407</v>
      </c>
      <c r="HY74">
        <v>2980</v>
      </c>
      <c r="HZ74">
        <v>802</v>
      </c>
      <c r="IA74">
        <v>114</v>
      </c>
      <c r="IB74">
        <v>0</v>
      </c>
      <c r="IC74">
        <v>0</v>
      </c>
      <c r="ID74">
        <v>46</v>
      </c>
      <c r="IE74">
        <v>2164</v>
      </c>
      <c r="IF74">
        <v>448</v>
      </c>
      <c r="IG74">
        <v>0</v>
      </c>
      <c r="IH74">
        <v>948</v>
      </c>
      <c r="II74">
        <v>20</v>
      </c>
      <c r="IJ74">
        <v>2522</v>
      </c>
      <c r="IK74">
        <v>3</v>
      </c>
      <c r="IL74">
        <v>2</v>
      </c>
      <c r="IM74">
        <v>44</v>
      </c>
      <c r="IN74">
        <v>2536</v>
      </c>
      <c r="IO74">
        <v>2738</v>
      </c>
      <c r="IP74">
        <v>2815</v>
      </c>
      <c r="IQ74">
        <v>22</v>
      </c>
      <c r="IR74">
        <v>3660</v>
      </c>
      <c r="IS74">
        <v>2950</v>
      </c>
      <c r="IT74">
        <v>542</v>
      </c>
      <c r="IU74">
        <v>153</v>
      </c>
      <c r="IV74">
        <v>544</v>
      </c>
      <c r="IW74">
        <v>242</v>
      </c>
      <c r="IX74">
        <v>774</v>
      </c>
      <c r="IY74">
        <v>2756</v>
      </c>
      <c r="IZ74">
        <v>841</v>
      </c>
      <c r="JA74">
        <v>949</v>
      </c>
      <c r="JB74">
        <v>126</v>
      </c>
      <c r="JC74">
        <v>524</v>
      </c>
      <c r="JD74">
        <v>2521</v>
      </c>
      <c r="JE74">
        <v>228</v>
      </c>
      <c r="JF74">
        <v>128</v>
      </c>
      <c r="JG74">
        <v>3313</v>
      </c>
      <c r="JH74">
        <v>282</v>
      </c>
      <c r="JI74">
        <v>46</v>
      </c>
      <c r="JJ74">
        <v>0</v>
      </c>
      <c r="JK74">
        <v>267</v>
      </c>
      <c r="JL74">
        <v>3103</v>
      </c>
      <c r="JM74">
        <v>1513</v>
      </c>
      <c r="JN74">
        <v>1433</v>
      </c>
      <c r="JO74">
        <v>3</v>
      </c>
      <c r="JP74">
        <v>629</v>
      </c>
      <c r="JQ74">
        <v>12</v>
      </c>
      <c r="JR74">
        <v>909</v>
      </c>
      <c r="JS74">
        <v>0</v>
      </c>
      <c r="JT74">
        <v>0</v>
      </c>
      <c r="JU74">
        <v>1126</v>
      </c>
      <c r="JV74">
        <v>0</v>
      </c>
      <c r="JW74">
        <v>287</v>
      </c>
      <c r="JX74">
        <v>0</v>
      </c>
      <c r="JY74">
        <v>262</v>
      </c>
      <c r="JZ74">
        <v>0</v>
      </c>
      <c r="KA74">
        <v>0</v>
      </c>
      <c r="KB74">
        <v>1</v>
      </c>
      <c r="KC74">
        <v>141</v>
      </c>
      <c r="KD74">
        <v>2088</v>
      </c>
      <c r="KE74">
        <v>190</v>
      </c>
      <c r="KF74">
        <v>1216</v>
      </c>
      <c r="KG74">
        <v>1639</v>
      </c>
      <c r="KH74">
        <v>13</v>
      </c>
      <c r="KI74">
        <v>487</v>
      </c>
      <c r="KJ74">
        <v>86</v>
      </c>
      <c r="KK74">
        <v>2008</v>
      </c>
      <c r="KL74">
        <v>0</v>
      </c>
      <c r="KM74">
        <v>633</v>
      </c>
      <c r="KN74">
        <v>808</v>
      </c>
      <c r="KO74">
        <v>33</v>
      </c>
      <c r="KP74">
        <v>464</v>
      </c>
      <c r="KQ74">
        <v>373</v>
      </c>
      <c r="KR74">
        <v>536</v>
      </c>
      <c r="KS74">
        <v>1124</v>
      </c>
      <c r="KT74">
        <v>1181</v>
      </c>
      <c r="KU74">
        <v>6</v>
      </c>
      <c r="KV74">
        <v>100</v>
      </c>
      <c r="KW74">
        <v>2624</v>
      </c>
      <c r="KX74">
        <v>140</v>
      </c>
      <c r="KY74">
        <v>1277</v>
      </c>
      <c r="KZ74">
        <v>72</v>
      </c>
      <c r="LA74">
        <v>1147</v>
      </c>
      <c r="LB74">
        <v>297</v>
      </c>
      <c r="LC74">
        <v>1407</v>
      </c>
      <c r="LD74">
        <v>0</v>
      </c>
      <c r="LE74">
        <v>513</v>
      </c>
      <c r="LF74">
        <v>328</v>
      </c>
      <c r="LG74">
        <v>1180</v>
      </c>
      <c r="LH74">
        <v>511</v>
      </c>
      <c r="LI74">
        <v>917</v>
      </c>
      <c r="LJ74">
        <v>843</v>
      </c>
      <c r="LK74">
        <v>2016</v>
      </c>
      <c r="LL74">
        <v>1518</v>
      </c>
      <c r="LM74">
        <v>1499</v>
      </c>
      <c r="LN74">
        <v>212</v>
      </c>
      <c r="LO74">
        <v>1441</v>
      </c>
      <c r="LP74">
        <v>1001</v>
      </c>
      <c r="LQ74">
        <v>1359</v>
      </c>
      <c r="LR74">
        <v>1</v>
      </c>
      <c r="LS74">
        <v>505</v>
      </c>
      <c r="LT74">
        <v>966</v>
      </c>
      <c r="LU74">
        <v>560</v>
      </c>
      <c r="LV74">
        <v>2146</v>
      </c>
      <c r="LW74">
        <v>27</v>
      </c>
      <c r="LX74">
        <v>707</v>
      </c>
      <c r="LY74">
        <v>1411</v>
      </c>
      <c r="LZ74">
        <v>59</v>
      </c>
      <c r="MA74">
        <v>926</v>
      </c>
      <c r="MB74">
        <v>1234</v>
      </c>
      <c r="MC74">
        <v>226</v>
      </c>
      <c r="MD74">
        <v>813</v>
      </c>
      <c r="ME74">
        <v>1427</v>
      </c>
      <c r="MF74">
        <v>2205</v>
      </c>
      <c r="MG74">
        <v>83</v>
      </c>
      <c r="MH74">
        <v>13</v>
      </c>
      <c r="MI74">
        <v>2779</v>
      </c>
      <c r="MJ74">
        <v>789</v>
      </c>
      <c r="MK74">
        <v>1626</v>
      </c>
      <c r="ML74">
        <v>4</v>
      </c>
      <c r="MM74">
        <v>1399</v>
      </c>
      <c r="MN74">
        <v>1374</v>
      </c>
      <c r="MO74">
        <v>2109</v>
      </c>
      <c r="MP74">
        <v>2749</v>
      </c>
      <c r="MQ74">
        <v>365</v>
      </c>
      <c r="MR74">
        <v>786</v>
      </c>
      <c r="MS74">
        <v>106</v>
      </c>
      <c r="MT74">
        <v>2390</v>
      </c>
      <c r="MU74">
        <v>965</v>
      </c>
      <c r="MV74">
        <v>2184</v>
      </c>
      <c r="MW74">
        <v>1764</v>
      </c>
      <c r="MX74">
        <v>1</v>
      </c>
      <c r="MY74">
        <v>2</v>
      </c>
      <c r="MZ74">
        <v>1253</v>
      </c>
      <c r="NA74">
        <v>1143</v>
      </c>
      <c r="NB74">
        <v>113</v>
      </c>
      <c r="NC74">
        <v>440</v>
      </c>
      <c r="ND74">
        <v>2143</v>
      </c>
      <c r="NE74">
        <v>644</v>
      </c>
      <c r="NF74">
        <v>486</v>
      </c>
      <c r="NG74">
        <v>583</v>
      </c>
      <c r="NH74">
        <v>656</v>
      </c>
      <c r="NI74">
        <v>1739</v>
      </c>
      <c r="NJ74">
        <v>2035</v>
      </c>
      <c r="NK74">
        <v>261</v>
      </c>
      <c r="NL74">
        <v>2796</v>
      </c>
      <c r="NM74">
        <v>955</v>
      </c>
      <c r="NN74">
        <v>303</v>
      </c>
      <c r="NO74">
        <v>1756</v>
      </c>
      <c r="NP74">
        <v>2659</v>
      </c>
      <c r="NQ74">
        <v>18</v>
      </c>
      <c r="NR74">
        <v>1247</v>
      </c>
      <c r="NS74">
        <v>981</v>
      </c>
      <c r="NT74">
        <v>799</v>
      </c>
      <c r="NU74">
        <v>868</v>
      </c>
      <c r="NV74">
        <v>1593</v>
      </c>
      <c r="NW74">
        <v>900</v>
      </c>
      <c r="NX74">
        <v>605</v>
      </c>
      <c r="NY74">
        <v>0</v>
      </c>
      <c r="NZ74">
        <v>11</v>
      </c>
      <c r="OA74">
        <v>256</v>
      </c>
      <c r="OB74">
        <v>1649</v>
      </c>
      <c r="OC74">
        <v>1215</v>
      </c>
      <c r="OD74">
        <v>480</v>
      </c>
      <c r="OE74">
        <v>568</v>
      </c>
      <c r="OF74">
        <v>154</v>
      </c>
      <c r="OG74">
        <v>2495</v>
      </c>
      <c r="OH74">
        <v>3927</v>
      </c>
      <c r="OI74">
        <v>0</v>
      </c>
      <c r="OJ74">
        <v>2630</v>
      </c>
      <c r="OK74">
        <v>2634</v>
      </c>
      <c r="OL74">
        <v>1351</v>
      </c>
      <c r="OM74">
        <v>396</v>
      </c>
      <c r="ON74">
        <v>1520</v>
      </c>
      <c r="OO74">
        <v>0</v>
      </c>
      <c r="OP74">
        <v>1739</v>
      </c>
      <c r="OQ74">
        <v>0</v>
      </c>
      <c r="OR74">
        <v>14</v>
      </c>
      <c r="OS74">
        <v>9</v>
      </c>
      <c r="OT74">
        <v>0</v>
      </c>
      <c r="OU74">
        <v>0</v>
      </c>
      <c r="OV74">
        <v>0</v>
      </c>
      <c r="OW74">
        <v>0</v>
      </c>
      <c r="OX74">
        <v>126</v>
      </c>
      <c r="OY74">
        <v>1</v>
      </c>
      <c r="OZ74">
        <v>0</v>
      </c>
      <c r="PA74">
        <v>0</v>
      </c>
      <c r="PB74">
        <v>1939</v>
      </c>
      <c r="PC74">
        <v>2231</v>
      </c>
      <c r="PD74">
        <v>40</v>
      </c>
      <c r="PE74">
        <v>925</v>
      </c>
      <c r="PF74">
        <v>411</v>
      </c>
      <c r="PG74">
        <v>1013</v>
      </c>
      <c r="PH74">
        <v>911</v>
      </c>
      <c r="PI74">
        <v>319</v>
      </c>
      <c r="PJ74">
        <v>296</v>
      </c>
      <c r="PK74">
        <v>1645</v>
      </c>
      <c r="PL74">
        <v>53</v>
      </c>
      <c r="PM74">
        <v>939</v>
      </c>
      <c r="PN74">
        <v>0</v>
      </c>
      <c r="PO74">
        <v>18</v>
      </c>
      <c r="PP74">
        <v>291</v>
      </c>
      <c r="PQ74">
        <v>1118</v>
      </c>
      <c r="PR74">
        <v>278</v>
      </c>
      <c r="PS74">
        <v>2104</v>
      </c>
      <c r="PT74">
        <v>216</v>
      </c>
      <c r="PU74">
        <v>1450</v>
      </c>
      <c r="PV74">
        <v>2434</v>
      </c>
      <c r="PW74">
        <v>1725</v>
      </c>
      <c r="PX74">
        <v>1853</v>
      </c>
      <c r="PY74">
        <v>583</v>
      </c>
      <c r="PZ74">
        <v>2285</v>
      </c>
      <c r="QA74">
        <v>230</v>
      </c>
      <c r="QB74">
        <v>506</v>
      </c>
      <c r="QC74">
        <v>292</v>
      </c>
      <c r="QD74">
        <v>742</v>
      </c>
      <c r="QE74">
        <v>439</v>
      </c>
      <c r="QF74">
        <v>412</v>
      </c>
      <c r="QG74">
        <v>1846</v>
      </c>
      <c r="QH74">
        <v>9</v>
      </c>
      <c r="QI74">
        <v>0</v>
      </c>
      <c r="QJ74">
        <v>1364</v>
      </c>
      <c r="QK74">
        <v>1114</v>
      </c>
      <c r="QL74">
        <v>200</v>
      </c>
      <c r="QM74">
        <v>584</v>
      </c>
      <c r="QN74">
        <v>0</v>
      </c>
      <c r="QO74">
        <v>216</v>
      </c>
      <c r="QP74">
        <v>518</v>
      </c>
      <c r="QQ74">
        <v>6</v>
      </c>
      <c r="QR74">
        <v>12</v>
      </c>
      <c r="QS74">
        <v>817</v>
      </c>
      <c r="QT74">
        <v>0</v>
      </c>
      <c r="QU74">
        <v>0</v>
      </c>
      <c r="QV74">
        <v>1798</v>
      </c>
      <c r="QW74">
        <v>2150</v>
      </c>
      <c r="QX74">
        <v>71</v>
      </c>
      <c r="QY74">
        <v>243</v>
      </c>
      <c r="QZ74">
        <v>1600</v>
      </c>
      <c r="RA74">
        <v>2053</v>
      </c>
      <c r="RB74">
        <v>2726</v>
      </c>
      <c r="RC74">
        <v>489</v>
      </c>
      <c r="RD74">
        <v>386</v>
      </c>
      <c r="RE74">
        <v>1589</v>
      </c>
      <c r="RF74">
        <v>942</v>
      </c>
      <c r="RG74">
        <v>1102</v>
      </c>
      <c r="RH74">
        <v>406</v>
      </c>
      <c r="RI74">
        <v>261</v>
      </c>
      <c r="RJ74">
        <v>2441</v>
      </c>
      <c r="RK74">
        <v>623</v>
      </c>
      <c r="RL74">
        <v>421</v>
      </c>
      <c r="RM74">
        <v>2414</v>
      </c>
      <c r="RN74">
        <v>97</v>
      </c>
      <c r="RO74">
        <v>1849</v>
      </c>
      <c r="RP74">
        <v>21</v>
      </c>
      <c r="RQ74">
        <v>1154</v>
      </c>
      <c r="RR74">
        <v>536</v>
      </c>
      <c r="RS74">
        <v>194</v>
      </c>
      <c r="RT74">
        <v>1796</v>
      </c>
      <c r="RU74">
        <v>198</v>
      </c>
      <c r="RV74">
        <v>1898</v>
      </c>
      <c r="RW74">
        <v>732</v>
      </c>
      <c r="RX74">
        <v>91</v>
      </c>
      <c r="RY74">
        <v>2243</v>
      </c>
      <c r="RZ74">
        <v>1002</v>
      </c>
      <c r="SA74">
        <v>225</v>
      </c>
      <c r="SB74">
        <v>116</v>
      </c>
      <c r="SC74">
        <v>405</v>
      </c>
      <c r="SD74">
        <v>1343</v>
      </c>
      <c r="SE74">
        <v>2688</v>
      </c>
      <c r="SF74">
        <v>1072</v>
      </c>
      <c r="SG74">
        <v>1698</v>
      </c>
      <c r="SH74">
        <v>987</v>
      </c>
      <c r="SI74">
        <v>2775</v>
      </c>
      <c r="SJ74">
        <v>156</v>
      </c>
      <c r="SK74">
        <v>0</v>
      </c>
      <c r="SL74">
        <v>150</v>
      </c>
      <c r="SM74">
        <v>164</v>
      </c>
      <c r="SN74">
        <v>2205</v>
      </c>
      <c r="SO74">
        <v>4</v>
      </c>
      <c r="SP74">
        <v>595</v>
      </c>
      <c r="SQ74">
        <v>126</v>
      </c>
      <c r="SR74">
        <v>1406</v>
      </c>
      <c r="SS74">
        <v>2087</v>
      </c>
      <c r="ST74">
        <v>477</v>
      </c>
      <c r="SU74">
        <v>2509</v>
      </c>
      <c r="SV74">
        <v>128</v>
      </c>
      <c r="SW74">
        <v>2465</v>
      </c>
      <c r="SX74">
        <v>2</v>
      </c>
      <c r="SY74">
        <v>724</v>
      </c>
      <c r="SZ74">
        <v>690</v>
      </c>
      <c r="TA74">
        <v>3098</v>
      </c>
      <c r="TB74">
        <v>618</v>
      </c>
      <c r="TC74">
        <v>2544</v>
      </c>
      <c r="TD74">
        <v>2637</v>
      </c>
      <c r="TE74">
        <v>1356</v>
      </c>
      <c r="TF74">
        <v>771</v>
      </c>
      <c r="TG74">
        <v>216</v>
      </c>
      <c r="TH74">
        <v>1151</v>
      </c>
      <c r="TI74">
        <v>633</v>
      </c>
      <c r="TJ74">
        <v>25</v>
      </c>
      <c r="TK74">
        <v>718</v>
      </c>
      <c r="TL74">
        <v>0</v>
      </c>
      <c r="TM74">
        <v>16</v>
      </c>
      <c r="TN74">
        <v>2072</v>
      </c>
      <c r="TO74">
        <v>0</v>
      </c>
      <c r="TP74">
        <v>765</v>
      </c>
      <c r="TQ74">
        <v>1166</v>
      </c>
      <c r="TR74">
        <v>394</v>
      </c>
      <c r="TS74">
        <v>553</v>
      </c>
      <c r="TT74">
        <v>204</v>
      </c>
      <c r="TU74">
        <v>1</v>
      </c>
      <c r="TV74">
        <v>709</v>
      </c>
      <c r="TW74">
        <v>657</v>
      </c>
      <c r="TX74">
        <v>3424</v>
      </c>
      <c r="TY74">
        <v>0</v>
      </c>
      <c r="TZ74">
        <v>2223</v>
      </c>
      <c r="UA74">
        <v>2406</v>
      </c>
      <c r="UB74">
        <v>1426</v>
      </c>
      <c r="UC74">
        <v>12</v>
      </c>
      <c r="UD74">
        <v>1213</v>
      </c>
      <c r="UE74">
        <v>2090</v>
      </c>
      <c r="UF74">
        <v>832</v>
      </c>
      <c r="UG74">
        <v>587</v>
      </c>
      <c r="UH74">
        <v>0</v>
      </c>
      <c r="UI74">
        <v>2277</v>
      </c>
      <c r="UJ74">
        <v>1304</v>
      </c>
      <c r="UK74">
        <v>610</v>
      </c>
      <c r="UL74">
        <v>2032</v>
      </c>
      <c r="UM74">
        <v>3</v>
      </c>
      <c r="UN74">
        <v>2</v>
      </c>
      <c r="UO74">
        <v>0</v>
      </c>
      <c r="UP74">
        <v>1669</v>
      </c>
      <c r="UQ74">
        <v>0</v>
      </c>
      <c r="UR74">
        <v>2910</v>
      </c>
      <c r="US74">
        <v>2209</v>
      </c>
      <c r="UT74">
        <v>602</v>
      </c>
      <c r="UU74">
        <v>1783</v>
      </c>
      <c r="UV74">
        <v>1160</v>
      </c>
      <c r="UW74">
        <v>0</v>
      </c>
      <c r="UX74">
        <v>3386</v>
      </c>
      <c r="UY74">
        <v>2174</v>
      </c>
      <c r="UZ74">
        <v>2</v>
      </c>
      <c r="VA74">
        <v>2955</v>
      </c>
      <c r="VB74">
        <v>142</v>
      </c>
      <c r="VC74">
        <v>0</v>
      </c>
      <c r="VD74">
        <v>154</v>
      </c>
      <c r="VE74">
        <v>1381</v>
      </c>
      <c r="VF74">
        <v>2935</v>
      </c>
      <c r="VG74">
        <v>561</v>
      </c>
      <c r="VH74">
        <v>1318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105</v>
      </c>
      <c r="VO74">
        <v>3116</v>
      </c>
      <c r="VP74">
        <v>1479</v>
      </c>
      <c r="VQ74">
        <v>629</v>
      </c>
      <c r="VR74">
        <v>597</v>
      </c>
      <c r="VS74">
        <v>618</v>
      </c>
      <c r="VT74">
        <v>0</v>
      </c>
      <c r="VU74">
        <v>538</v>
      </c>
      <c r="VV74">
        <v>55</v>
      </c>
      <c r="VW74">
        <v>26</v>
      </c>
      <c r="VX74">
        <v>46</v>
      </c>
      <c r="VY74">
        <v>2757</v>
      </c>
      <c r="VZ74">
        <v>2029</v>
      </c>
      <c r="WA74">
        <v>4</v>
      </c>
      <c r="WB74">
        <v>0</v>
      </c>
      <c r="WC74">
        <v>14</v>
      </c>
      <c r="WD74">
        <v>277</v>
      </c>
      <c r="WE74">
        <v>760</v>
      </c>
      <c r="WF74">
        <v>1850</v>
      </c>
      <c r="WG74">
        <v>431</v>
      </c>
      <c r="WH74">
        <v>0</v>
      </c>
      <c r="WI74">
        <v>908</v>
      </c>
      <c r="WJ74">
        <v>177</v>
      </c>
      <c r="WK74">
        <v>1691</v>
      </c>
      <c r="WL74">
        <v>5</v>
      </c>
      <c r="WM74">
        <v>481</v>
      </c>
      <c r="WN74">
        <v>1653</v>
      </c>
      <c r="WO74">
        <v>2021</v>
      </c>
      <c r="WP74">
        <v>946</v>
      </c>
      <c r="WQ74">
        <v>1256</v>
      </c>
      <c r="WR74">
        <v>3</v>
      </c>
      <c r="WS74">
        <v>1871</v>
      </c>
      <c r="WT74">
        <v>0</v>
      </c>
      <c r="WU74">
        <v>85</v>
      </c>
      <c r="WV74">
        <v>0</v>
      </c>
      <c r="WW74">
        <v>436</v>
      </c>
      <c r="WX74">
        <v>118</v>
      </c>
      <c r="WY74">
        <v>27</v>
      </c>
      <c r="WZ74">
        <v>204</v>
      </c>
      <c r="XA74">
        <v>440</v>
      </c>
      <c r="XB74">
        <v>0</v>
      </c>
      <c r="XC74">
        <v>224</v>
      </c>
      <c r="XD74">
        <v>362</v>
      </c>
      <c r="XE74">
        <v>1200</v>
      </c>
      <c r="XF74">
        <v>36</v>
      </c>
      <c r="XG74">
        <v>1208</v>
      </c>
      <c r="XH74">
        <v>2650</v>
      </c>
      <c r="XI74">
        <v>75</v>
      </c>
      <c r="XJ74">
        <v>113</v>
      </c>
      <c r="XK74">
        <v>1412</v>
      </c>
      <c r="XL74">
        <v>687</v>
      </c>
      <c r="XM74">
        <v>2785</v>
      </c>
      <c r="XN74">
        <v>1642</v>
      </c>
      <c r="XO74">
        <v>184</v>
      </c>
      <c r="XP74">
        <v>150</v>
      </c>
      <c r="XQ74">
        <v>23</v>
      </c>
      <c r="XR74">
        <v>582</v>
      </c>
      <c r="XS74">
        <v>950</v>
      </c>
      <c r="XT74">
        <v>3639</v>
      </c>
      <c r="XU74">
        <v>7</v>
      </c>
      <c r="XV74">
        <v>9</v>
      </c>
      <c r="XW74">
        <v>14</v>
      </c>
      <c r="XX74">
        <v>644</v>
      </c>
      <c r="XY74">
        <v>653</v>
      </c>
      <c r="XZ74">
        <v>494</v>
      </c>
      <c r="YA74">
        <v>203</v>
      </c>
      <c r="YB74">
        <v>780</v>
      </c>
      <c r="YC74">
        <v>2324</v>
      </c>
      <c r="YD74">
        <v>0</v>
      </c>
      <c r="YE74">
        <v>934</v>
      </c>
      <c r="YF74">
        <v>56</v>
      </c>
      <c r="YG74">
        <v>3596</v>
      </c>
      <c r="YH74">
        <v>44</v>
      </c>
      <c r="YI74">
        <v>0</v>
      </c>
      <c r="YJ74">
        <v>2130</v>
      </c>
      <c r="YK74">
        <v>2212</v>
      </c>
      <c r="YL74">
        <v>1536</v>
      </c>
      <c r="YM74">
        <v>3452</v>
      </c>
      <c r="YN74">
        <v>0</v>
      </c>
      <c r="YO74">
        <v>0</v>
      </c>
      <c r="YP74">
        <v>38</v>
      </c>
      <c r="YQ74">
        <v>2694</v>
      </c>
      <c r="YR74">
        <v>1253</v>
      </c>
      <c r="YS74">
        <v>988</v>
      </c>
      <c r="YT74">
        <v>0</v>
      </c>
      <c r="YU74">
        <v>1541</v>
      </c>
      <c r="YV74">
        <v>2815</v>
      </c>
      <c r="YW74">
        <v>1</v>
      </c>
      <c r="YX74">
        <v>62</v>
      </c>
      <c r="YY74">
        <v>93</v>
      </c>
      <c r="YZ74">
        <v>809</v>
      </c>
      <c r="ZA74">
        <v>1904</v>
      </c>
      <c r="ZB74">
        <v>72</v>
      </c>
      <c r="ZC74">
        <v>1376</v>
      </c>
      <c r="ZD74">
        <v>2176</v>
      </c>
      <c r="ZE74">
        <v>2495</v>
      </c>
      <c r="ZF74">
        <v>140</v>
      </c>
      <c r="ZG74">
        <v>843</v>
      </c>
      <c r="ZH74">
        <v>393</v>
      </c>
      <c r="ZI74">
        <v>433</v>
      </c>
      <c r="ZJ74">
        <v>327</v>
      </c>
      <c r="ZK74">
        <v>1</v>
      </c>
      <c r="ZL74">
        <v>410</v>
      </c>
      <c r="ZM74">
        <v>564</v>
      </c>
      <c r="ZN74">
        <v>509</v>
      </c>
      <c r="ZO74">
        <v>166</v>
      </c>
      <c r="ZP74">
        <v>0</v>
      </c>
      <c r="ZQ74">
        <v>0</v>
      </c>
      <c r="ZR74">
        <v>0</v>
      </c>
      <c r="ZS74">
        <v>35</v>
      </c>
      <c r="ZT74">
        <v>0</v>
      </c>
      <c r="ZU74">
        <v>0</v>
      </c>
      <c r="ZV74">
        <v>1089</v>
      </c>
      <c r="ZW74">
        <v>0</v>
      </c>
      <c r="ZX74">
        <v>307</v>
      </c>
      <c r="ZY74">
        <v>748</v>
      </c>
      <c r="ZZ74">
        <v>368</v>
      </c>
      <c r="AAA74">
        <v>2064</v>
      </c>
      <c r="AAB74">
        <v>876</v>
      </c>
      <c r="AAC74">
        <v>468</v>
      </c>
      <c r="AAD74">
        <v>2253</v>
      </c>
      <c r="AAE74">
        <v>520</v>
      </c>
      <c r="AAF74">
        <v>277</v>
      </c>
      <c r="AAG74">
        <v>341</v>
      </c>
      <c r="AAH74">
        <v>2</v>
      </c>
      <c r="AAI74">
        <v>150</v>
      </c>
      <c r="AAJ74">
        <v>243</v>
      </c>
      <c r="AAK74">
        <v>0</v>
      </c>
      <c r="AAL74">
        <v>0</v>
      </c>
      <c r="AAM74">
        <v>705</v>
      </c>
      <c r="AAN74">
        <v>1528</v>
      </c>
      <c r="AAO74">
        <v>424</v>
      </c>
      <c r="AAP74">
        <v>0</v>
      </c>
      <c r="AAQ74">
        <v>687</v>
      </c>
      <c r="AAR74">
        <v>650</v>
      </c>
      <c r="AAS74">
        <v>0</v>
      </c>
      <c r="AAT74">
        <v>149</v>
      </c>
      <c r="AAU74">
        <v>99</v>
      </c>
      <c r="AAV74">
        <v>215</v>
      </c>
      <c r="AAW74">
        <v>904</v>
      </c>
      <c r="AAX74">
        <v>7</v>
      </c>
      <c r="AAY74">
        <v>22</v>
      </c>
      <c r="AAZ74">
        <v>0</v>
      </c>
      <c r="ABA74">
        <v>2706</v>
      </c>
      <c r="ABB74">
        <v>269</v>
      </c>
      <c r="ABC74">
        <v>2913</v>
      </c>
      <c r="ABD74">
        <v>1</v>
      </c>
      <c r="ABE74">
        <v>762</v>
      </c>
      <c r="ABF74">
        <v>0</v>
      </c>
      <c r="ABG74">
        <v>1918</v>
      </c>
      <c r="ABH74">
        <v>1708</v>
      </c>
      <c r="ABI74">
        <v>0</v>
      </c>
      <c r="ABJ74">
        <v>695</v>
      </c>
      <c r="ABK74">
        <v>1777</v>
      </c>
      <c r="ABL74">
        <v>20</v>
      </c>
      <c r="ABM74">
        <v>1833</v>
      </c>
      <c r="ABN74">
        <v>0</v>
      </c>
      <c r="ABO74">
        <v>0</v>
      </c>
      <c r="ABP74">
        <v>222</v>
      </c>
      <c r="ABQ74">
        <v>2</v>
      </c>
      <c r="ABR74">
        <v>974</v>
      </c>
      <c r="ABS74">
        <v>2621</v>
      </c>
      <c r="ABT74">
        <v>0</v>
      </c>
      <c r="ABU74">
        <v>0</v>
      </c>
      <c r="ABV74">
        <v>1</v>
      </c>
      <c r="ABW74">
        <v>9</v>
      </c>
      <c r="ABX74">
        <v>105</v>
      </c>
      <c r="ABY74">
        <v>0</v>
      </c>
      <c r="ABZ74">
        <v>3272</v>
      </c>
      <c r="ACA74">
        <v>2144</v>
      </c>
      <c r="ACB74">
        <v>152</v>
      </c>
      <c r="ACC74">
        <v>2164</v>
      </c>
      <c r="ACD74">
        <v>0</v>
      </c>
      <c r="ACE74">
        <v>146</v>
      </c>
      <c r="ACF74">
        <v>0</v>
      </c>
      <c r="ACG74">
        <v>0</v>
      </c>
      <c r="ACH74">
        <v>8</v>
      </c>
      <c r="ACI74">
        <v>18</v>
      </c>
      <c r="ACJ74">
        <v>7</v>
      </c>
      <c r="ACK74">
        <v>2158</v>
      </c>
      <c r="ACL74">
        <v>1963</v>
      </c>
      <c r="ACM74">
        <v>19</v>
      </c>
      <c r="ACN74">
        <v>616</v>
      </c>
      <c r="ACO74">
        <v>1830</v>
      </c>
    </row>
    <row r="75" spans="1:769" x14ac:dyDescent="0.25">
      <c r="A75" t="s">
        <v>79</v>
      </c>
      <c r="B75">
        <v>5.6667000000000002E-2</v>
      </c>
      <c r="C75">
        <v>0</v>
      </c>
      <c r="D75">
        <v>6.22</v>
      </c>
      <c r="E75">
        <v>0</v>
      </c>
      <c r="F75">
        <v>4.483333</v>
      </c>
      <c r="G75">
        <v>5.6766670000000001</v>
      </c>
      <c r="H75">
        <v>2.556667</v>
      </c>
      <c r="I75">
        <v>0.92833299999999996</v>
      </c>
      <c r="J75">
        <v>0.111667</v>
      </c>
      <c r="K75">
        <v>0.93333299999999997</v>
      </c>
      <c r="L75">
        <v>0.19500000000000001</v>
      </c>
      <c r="M75">
        <v>3.7933330000000001</v>
      </c>
      <c r="N75">
        <v>0</v>
      </c>
      <c r="O75">
        <v>3.7833329999999998</v>
      </c>
      <c r="P75">
        <v>1.538333</v>
      </c>
      <c r="Q75">
        <v>5.8333000000000003E-2</v>
      </c>
      <c r="R75">
        <v>0.37166700000000003</v>
      </c>
      <c r="S75">
        <v>0.193333</v>
      </c>
      <c r="T75">
        <v>0.42499999999999999</v>
      </c>
      <c r="U75">
        <v>3.7183329999999999</v>
      </c>
      <c r="V75">
        <v>1.121667</v>
      </c>
      <c r="W75">
        <v>5.1666999999999998E-2</v>
      </c>
      <c r="X75">
        <v>2.15</v>
      </c>
      <c r="Y75">
        <v>1.016667</v>
      </c>
      <c r="Z75">
        <v>7.0000000000000007E-2</v>
      </c>
      <c r="AA75">
        <v>3.31</v>
      </c>
      <c r="AB75">
        <v>2.3733330000000001</v>
      </c>
      <c r="AC75">
        <v>2.5216669999999999</v>
      </c>
      <c r="AD75">
        <v>0.01</v>
      </c>
      <c r="AE75">
        <v>2.9183330000000001</v>
      </c>
      <c r="AF75">
        <v>0.64333300000000004</v>
      </c>
      <c r="AG75">
        <v>1.75</v>
      </c>
      <c r="AH75">
        <v>0.79666700000000001</v>
      </c>
      <c r="AI75">
        <v>2.0466669999999998</v>
      </c>
      <c r="AJ75">
        <v>4.2566670000000002</v>
      </c>
      <c r="AK75">
        <v>2.2400000000000002</v>
      </c>
      <c r="AL75">
        <v>2.943333</v>
      </c>
      <c r="AM75">
        <v>0.526667</v>
      </c>
      <c r="AN75">
        <v>3.02</v>
      </c>
      <c r="AO75">
        <v>4.5833329999999997</v>
      </c>
      <c r="AP75">
        <v>1.9816670000000001</v>
      </c>
      <c r="AQ75">
        <v>1.0733330000000001</v>
      </c>
      <c r="AR75">
        <v>3.798333</v>
      </c>
      <c r="AS75">
        <v>2.003333</v>
      </c>
      <c r="AT75">
        <v>0.51333300000000004</v>
      </c>
      <c r="AU75">
        <v>1.0916669999999999</v>
      </c>
      <c r="AV75">
        <v>0.42166700000000001</v>
      </c>
      <c r="AW75">
        <v>2.4066670000000001</v>
      </c>
      <c r="AX75">
        <v>3.7566670000000002</v>
      </c>
      <c r="AY75">
        <v>0.57999999999999996</v>
      </c>
      <c r="AZ75">
        <v>2.1</v>
      </c>
      <c r="BA75">
        <v>3.9616669999999998</v>
      </c>
      <c r="BB75">
        <v>0.78</v>
      </c>
      <c r="BC75">
        <v>3.6666999999999998E-2</v>
      </c>
      <c r="BD75">
        <v>1.681667</v>
      </c>
      <c r="BE75">
        <v>6.233333</v>
      </c>
      <c r="BF75">
        <v>3.3416670000000002</v>
      </c>
      <c r="BG75">
        <v>0.97499999999999998</v>
      </c>
      <c r="BH75">
        <v>0.69666700000000004</v>
      </c>
      <c r="BI75">
        <v>1.993333</v>
      </c>
      <c r="BJ75">
        <v>3.7149999999999999</v>
      </c>
      <c r="BK75">
        <v>2.14</v>
      </c>
      <c r="BL75">
        <v>0.68500000000000005</v>
      </c>
      <c r="BM75">
        <v>3.8149999999999999</v>
      </c>
      <c r="BN75">
        <v>0.20499999999999999</v>
      </c>
      <c r="BO75">
        <v>0</v>
      </c>
      <c r="BP75">
        <v>1.36</v>
      </c>
      <c r="BQ75">
        <v>2.85</v>
      </c>
      <c r="BR75">
        <v>0</v>
      </c>
      <c r="BS75">
        <v>3.14</v>
      </c>
      <c r="BT75">
        <v>0.95499999999999996</v>
      </c>
      <c r="BU75">
        <v>0</v>
      </c>
      <c r="BV75">
        <v>0.63666699999999998</v>
      </c>
      <c r="BW75">
        <v>2.9449999999999998</v>
      </c>
      <c r="BX75">
        <v>5.6667000000000002E-2</v>
      </c>
      <c r="BY75">
        <v>0.20499999999999999</v>
      </c>
      <c r="BZ75">
        <v>1.875</v>
      </c>
      <c r="CA75">
        <v>0.59</v>
      </c>
      <c r="CB75">
        <v>3.5000000000000003E-2</v>
      </c>
      <c r="CC75">
        <v>1.0416669999999999</v>
      </c>
      <c r="CD75">
        <v>0.54833299999999996</v>
      </c>
      <c r="CE75">
        <v>0.901667</v>
      </c>
      <c r="CF75">
        <v>0.65333300000000005</v>
      </c>
      <c r="CG75">
        <v>2.3149999999999999</v>
      </c>
      <c r="CH75">
        <v>0</v>
      </c>
      <c r="CI75">
        <v>1.38</v>
      </c>
      <c r="CJ75">
        <v>3.6316670000000002</v>
      </c>
      <c r="CK75">
        <v>9.8333000000000004E-2</v>
      </c>
      <c r="CL75">
        <v>2.851667</v>
      </c>
      <c r="CM75">
        <v>1.566667</v>
      </c>
      <c r="CN75">
        <v>0.43166700000000002</v>
      </c>
      <c r="CO75">
        <v>2.3666670000000001</v>
      </c>
      <c r="CP75">
        <v>4.4333330000000002</v>
      </c>
      <c r="CQ75">
        <v>1.4033329999999999</v>
      </c>
      <c r="CR75">
        <v>2.5499999999999998</v>
      </c>
      <c r="CS75">
        <v>1.8466670000000001</v>
      </c>
      <c r="CT75">
        <v>0</v>
      </c>
      <c r="CU75">
        <v>3.9350000000000001</v>
      </c>
      <c r="CV75">
        <v>3.2816670000000001</v>
      </c>
      <c r="CW75">
        <v>1.56</v>
      </c>
      <c r="CX75">
        <v>9.0150000000000006</v>
      </c>
      <c r="CY75">
        <v>1.05</v>
      </c>
      <c r="CZ75">
        <v>2.96</v>
      </c>
      <c r="DA75">
        <v>9.1666999999999998E-2</v>
      </c>
      <c r="DB75">
        <v>2.2166670000000002</v>
      </c>
      <c r="DC75">
        <v>2.93</v>
      </c>
      <c r="DD75">
        <v>2.2200000000000002</v>
      </c>
      <c r="DE75">
        <v>1.17</v>
      </c>
      <c r="DF75">
        <v>2.9950000000000001</v>
      </c>
      <c r="DG75">
        <v>1.203333</v>
      </c>
      <c r="DH75">
        <v>0.89</v>
      </c>
      <c r="DI75">
        <v>4.3499999999999996</v>
      </c>
      <c r="DJ75">
        <v>1.0049999999999999</v>
      </c>
      <c r="DK75">
        <v>0.15</v>
      </c>
      <c r="DL75">
        <v>6.36</v>
      </c>
      <c r="DM75">
        <v>2.7183329999999999</v>
      </c>
      <c r="DN75">
        <v>1.0549999999999999</v>
      </c>
      <c r="DO75">
        <v>2.8466670000000001</v>
      </c>
      <c r="DP75">
        <v>1.326667</v>
      </c>
      <c r="DQ75">
        <v>4.1966669999999997</v>
      </c>
      <c r="DR75">
        <v>4.9533329999999998</v>
      </c>
      <c r="DS75">
        <v>5.8083330000000002</v>
      </c>
      <c r="DT75">
        <v>0.30333300000000002</v>
      </c>
      <c r="DU75">
        <v>3.5716670000000001</v>
      </c>
      <c r="DV75">
        <v>9.1666999999999998E-2</v>
      </c>
      <c r="DW75">
        <v>0.03</v>
      </c>
      <c r="DX75">
        <v>2.7316669999999998</v>
      </c>
      <c r="DY75">
        <v>1.45</v>
      </c>
      <c r="DZ75">
        <v>1.78</v>
      </c>
      <c r="EA75">
        <v>5.5216669999999999</v>
      </c>
      <c r="EB75">
        <v>0</v>
      </c>
      <c r="EC75">
        <v>0.84166700000000005</v>
      </c>
      <c r="ED75">
        <v>0</v>
      </c>
      <c r="EE75">
        <v>1.0633330000000001</v>
      </c>
      <c r="EF75">
        <v>1.7316670000000001</v>
      </c>
      <c r="EG75">
        <v>5.9550000000000001</v>
      </c>
      <c r="EH75">
        <v>0.55166700000000002</v>
      </c>
      <c r="EI75">
        <v>3.7450000000000001</v>
      </c>
      <c r="EJ75">
        <v>0.35499999999999998</v>
      </c>
      <c r="EK75">
        <v>0.29833300000000001</v>
      </c>
      <c r="EL75">
        <v>1.786667</v>
      </c>
      <c r="EM75">
        <v>2.6166670000000001</v>
      </c>
      <c r="EN75">
        <v>0.35</v>
      </c>
      <c r="EO75">
        <v>0</v>
      </c>
      <c r="EP75">
        <v>1.5716669999999999</v>
      </c>
      <c r="EQ75">
        <v>1.825</v>
      </c>
      <c r="ER75">
        <v>1.165</v>
      </c>
      <c r="ES75">
        <v>0.41499999999999998</v>
      </c>
      <c r="ET75">
        <v>0.38833299999999998</v>
      </c>
      <c r="EU75">
        <v>2.1566670000000001</v>
      </c>
      <c r="EV75">
        <v>3.333E-3</v>
      </c>
      <c r="EW75">
        <v>0.33666699999999999</v>
      </c>
      <c r="EX75">
        <v>1.17</v>
      </c>
      <c r="EY75">
        <v>0.193333</v>
      </c>
      <c r="EZ75">
        <v>0.53666700000000001</v>
      </c>
      <c r="FA75">
        <v>1.75</v>
      </c>
      <c r="FB75">
        <v>1.6670000000000001E-3</v>
      </c>
      <c r="FC75">
        <v>0.51500000000000001</v>
      </c>
      <c r="FD75">
        <v>3.6666999999999998E-2</v>
      </c>
      <c r="FE75">
        <v>1.3332999999999999E-2</v>
      </c>
      <c r="FF75">
        <v>2.1166670000000001</v>
      </c>
      <c r="FG75">
        <v>2.6333329999999999</v>
      </c>
      <c r="FH75">
        <v>3.0516670000000001</v>
      </c>
      <c r="FI75">
        <v>0.31166700000000003</v>
      </c>
      <c r="FJ75">
        <v>2.003333</v>
      </c>
      <c r="FK75">
        <v>1.6883330000000001</v>
      </c>
      <c r="FL75">
        <v>2.2799999999999998</v>
      </c>
      <c r="FM75">
        <v>0.45333299999999999</v>
      </c>
      <c r="FN75">
        <v>0</v>
      </c>
      <c r="FO75">
        <v>4.3333000000000003E-2</v>
      </c>
      <c r="FP75">
        <v>1.875</v>
      </c>
      <c r="FQ75">
        <v>0.44333299999999998</v>
      </c>
      <c r="FR75">
        <v>1.078333</v>
      </c>
      <c r="FS75">
        <v>1.97</v>
      </c>
      <c r="FT75">
        <v>0.54833299999999996</v>
      </c>
      <c r="FU75">
        <v>0.83</v>
      </c>
      <c r="FV75">
        <v>2.4033329999999999</v>
      </c>
      <c r="FW75">
        <v>1.145</v>
      </c>
      <c r="FX75">
        <v>1.58</v>
      </c>
      <c r="FY75">
        <v>1.913333</v>
      </c>
      <c r="FZ75">
        <v>3.44</v>
      </c>
      <c r="GA75">
        <v>1.246667</v>
      </c>
      <c r="GB75">
        <v>0.49333300000000002</v>
      </c>
      <c r="GC75">
        <v>1.8866670000000001</v>
      </c>
      <c r="GD75">
        <v>4.1166669999999996</v>
      </c>
      <c r="GE75">
        <v>3.7650000000000001</v>
      </c>
      <c r="GF75">
        <v>0.58166700000000005</v>
      </c>
      <c r="GG75">
        <v>0.72666699999999995</v>
      </c>
      <c r="GH75">
        <v>1.441667</v>
      </c>
      <c r="GI75">
        <v>8.8332999999999995E-2</v>
      </c>
      <c r="GJ75">
        <v>1.193333</v>
      </c>
      <c r="GK75">
        <v>1.308333</v>
      </c>
      <c r="GL75">
        <v>0.1</v>
      </c>
      <c r="GM75">
        <v>2.8333000000000001E-2</v>
      </c>
      <c r="GN75">
        <v>0.42333300000000001</v>
      </c>
      <c r="GO75">
        <v>1.8332999999999999E-2</v>
      </c>
      <c r="GP75">
        <v>2.9333330000000002</v>
      </c>
      <c r="GQ75">
        <v>4.0183330000000002</v>
      </c>
      <c r="GR75">
        <v>1.4366669999999999</v>
      </c>
      <c r="GS75">
        <v>0.14666699999999999</v>
      </c>
      <c r="GT75">
        <v>2.1466669999999999</v>
      </c>
      <c r="GU75">
        <v>8.3330000000000001E-3</v>
      </c>
      <c r="GV75">
        <v>0.60833300000000001</v>
      </c>
      <c r="GW75">
        <v>9.3332999999999999E-2</v>
      </c>
      <c r="GX75">
        <v>1.3333330000000001</v>
      </c>
      <c r="GY75">
        <v>0.82</v>
      </c>
      <c r="GZ75">
        <v>2.835</v>
      </c>
      <c r="HA75">
        <v>1.1166670000000001</v>
      </c>
      <c r="HB75">
        <v>2.3633329999999999</v>
      </c>
      <c r="HC75">
        <v>1.0283329999999999</v>
      </c>
      <c r="HD75">
        <v>1.4750000000000001</v>
      </c>
      <c r="HE75">
        <v>0.49</v>
      </c>
      <c r="HF75">
        <v>0.108333</v>
      </c>
      <c r="HG75">
        <v>3.355</v>
      </c>
      <c r="HH75">
        <v>4.2616670000000001</v>
      </c>
      <c r="HI75">
        <v>0.60333300000000001</v>
      </c>
      <c r="HJ75">
        <v>3.5750000000000002</v>
      </c>
      <c r="HK75">
        <v>1.273333</v>
      </c>
      <c r="HL75">
        <v>1.236667</v>
      </c>
      <c r="HM75">
        <v>0.14833299999999999</v>
      </c>
      <c r="HN75">
        <v>0.47499999999999998</v>
      </c>
      <c r="HO75">
        <v>4.3550000000000004</v>
      </c>
      <c r="HP75">
        <v>0.28999999999999998</v>
      </c>
      <c r="HQ75">
        <v>0.8</v>
      </c>
      <c r="HR75">
        <v>0.745</v>
      </c>
      <c r="HS75">
        <v>0.11</v>
      </c>
      <c r="HT75">
        <v>3.4449999999999998</v>
      </c>
      <c r="HU75">
        <v>2.0416669999999999</v>
      </c>
      <c r="HV75">
        <v>0</v>
      </c>
      <c r="HW75">
        <v>6.8333000000000005E-2</v>
      </c>
      <c r="HX75">
        <v>2.3450000000000002</v>
      </c>
      <c r="HY75">
        <v>4.9666670000000002</v>
      </c>
      <c r="HZ75">
        <v>1.336667</v>
      </c>
      <c r="IA75">
        <v>0.19</v>
      </c>
      <c r="IB75">
        <v>0</v>
      </c>
      <c r="IC75">
        <v>0</v>
      </c>
      <c r="ID75">
        <v>7.6666999999999999E-2</v>
      </c>
      <c r="IE75">
        <v>3.6066669999999998</v>
      </c>
      <c r="IF75">
        <v>0.74666699999999997</v>
      </c>
      <c r="IG75">
        <v>0</v>
      </c>
      <c r="IH75">
        <v>1.58</v>
      </c>
      <c r="II75">
        <v>3.3333000000000002E-2</v>
      </c>
      <c r="IJ75">
        <v>4.2033329999999998</v>
      </c>
      <c r="IK75">
        <v>5.0000000000000001E-3</v>
      </c>
      <c r="IL75">
        <v>3.333E-3</v>
      </c>
      <c r="IM75">
        <v>7.3332999999999995E-2</v>
      </c>
      <c r="IN75">
        <v>4.226667</v>
      </c>
      <c r="IO75">
        <v>4.5633330000000001</v>
      </c>
      <c r="IP75">
        <v>4.6916669999999998</v>
      </c>
      <c r="IQ75">
        <v>3.6666999999999998E-2</v>
      </c>
      <c r="IR75">
        <v>6.1</v>
      </c>
      <c r="IS75">
        <v>4.9166670000000003</v>
      </c>
      <c r="IT75">
        <v>0.90333300000000005</v>
      </c>
      <c r="IU75">
        <v>0.255</v>
      </c>
      <c r="IV75">
        <v>0.906667</v>
      </c>
      <c r="IW75">
        <v>0.403333</v>
      </c>
      <c r="IX75">
        <v>1.29</v>
      </c>
      <c r="IY75">
        <v>4.5933330000000003</v>
      </c>
      <c r="IZ75">
        <v>1.401667</v>
      </c>
      <c r="JA75">
        <v>1.5816669999999999</v>
      </c>
      <c r="JB75">
        <v>0.21</v>
      </c>
      <c r="JC75">
        <v>0.87333300000000003</v>
      </c>
      <c r="JD75">
        <v>4.2016669999999996</v>
      </c>
      <c r="JE75">
        <v>0.38</v>
      </c>
      <c r="JF75">
        <v>0.21333299999999999</v>
      </c>
      <c r="JG75">
        <v>5.5216669999999999</v>
      </c>
      <c r="JH75">
        <v>0.47</v>
      </c>
      <c r="JI75">
        <v>7.6666999999999999E-2</v>
      </c>
      <c r="JJ75">
        <v>0</v>
      </c>
      <c r="JK75">
        <v>0.44500000000000001</v>
      </c>
      <c r="JL75">
        <v>5.1716670000000002</v>
      </c>
      <c r="JM75">
        <v>2.5216669999999999</v>
      </c>
      <c r="JN75">
        <v>2.3883329999999998</v>
      </c>
      <c r="JO75">
        <v>5.0000000000000001E-3</v>
      </c>
      <c r="JP75">
        <v>1.048333</v>
      </c>
      <c r="JQ75">
        <v>0.02</v>
      </c>
      <c r="JR75">
        <v>1.5149999999999999</v>
      </c>
      <c r="JS75">
        <v>0</v>
      </c>
      <c r="JT75">
        <v>0</v>
      </c>
      <c r="JU75">
        <v>1.8766670000000001</v>
      </c>
      <c r="JV75">
        <v>0</v>
      </c>
      <c r="JW75">
        <v>0.47833300000000001</v>
      </c>
      <c r="JX75">
        <v>0</v>
      </c>
      <c r="JY75">
        <v>0.43666700000000003</v>
      </c>
      <c r="JZ75">
        <v>0</v>
      </c>
      <c r="KA75">
        <v>0</v>
      </c>
      <c r="KB75">
        <v>1.6670000000000001E-3</v>
      </c>
      <c r="KC75">
        <v>0.23499999999999999</v>
      </c>
      <c r="KD75">
        <v>3.48</v>
      </c>
      <c r="KE75">
        <v>0.31666699999999998</v>
      </c>
      <c r="KF75">
        <v>2.0266670000000002</v>
      </c>
      <c r="KG75">
        <v>2.7316669999999998</v>
      </c>
      <c r="KH75">
        <v>2.1666999999999999E-2</v>
      </c>
      <c r="KI75">
        <v>0.81166700000000003</v>
      </c>
      <c r="KJ75">
        <v>0.14333299999999999</v>
      </c>
      <c r="KK75">
        <v>3.3466670000000001</v>
      </c>
      <c r="KL75">
        <v>0</v>
      </c>
      <c r="KM75">
        <v>1.0549999999999999</v>
      </c>
      <c r="KN75">
        <v>1.3466670000000001</v>
      </c>
      <c r="KO75">
        <v>5.5E-2</v>
      </c>
      <c r="KP75">
        <v>0.77333300000000005</v>
      </c>
      <c r="KQ75">
        <v>0.62166699999999997</v>
      </c>
      <c r="KR75">
        <v>0.89333300000000004</v>
      </c>
      <c r="KS75">
        <v>1.8733329999999999</v>
      </c>
      <c r="KT75">
        <v>1.9683330000000001</v>
      </c>
      <c r="KU75">
        <v>0.01</v>
      </c>
      <c r="KV75">
        <v>0.16666700000000001</v>
      </c>
      <c r="KW75">
        <v>4.3733329999999997</v>
      </c>
      <c r="KX75">
        <v>0.23333300000000001</v>
      </c>
      <c r="KY75">
        <v>2.128333</v>
      </c>
      <c r="KZ75">
        <v>0.12</v>
      </c>
      <c r="LA75">
        <v>1.911667</v>
      </c>
      <c r="LB75">
        <v>0.495</v>
      </c>
      <c r="LC75">
        <v>2.3450000000000002</v>
      </c>
      <c r="LD75">
        <v>0</v>
      </c>
      <c r="LE75">
        <v>0.85499999999999998</v>
      </c>
      <c r="LF75">
        <v>0.54666700000000001</v>
      </c>
      <c r="LG75">
        <v>1.9666669999999999</v>
      </c>
      <c r="LH75">
        <v>0.85166699999999995</v>
      </c>
      <c r="LI75">
        <v>1.5283329999999999</v>
      </c>
      <c r="LJ75">
        <v>1.405</v>
      </c>
      <c r="LK75">
        <v>3.36</v>
      </c>
      <c r="LL75">
        <v>2.5299999999999998</v>
      </c>
      <c r="LM75">
        <v>2.4983330000000001</v>
      </c>
      <c r="LN75">
        <v>0.35333300000000001</v>
      </c>
      <c r="LO75">
        <v>2.4016670000000002</v>
      </c>
      <c r="LP75">
        <v>1.6683330000000001</v>
      </c>
      <c r="LQ75">
        <v>2.2650000000000001</v>
      </c>
      <c r="LR75">
        <v>1.6670000000000001E-3</v>
      </c>
      <c r="LS75">
        <v>0.84166700000000005</v>
      </c>
      <c r="LT75">
        <v>1.61</v>
      </c>
      <c r="LU75">
        <v>0.93333299999999997</v>
      </c>
      <c r="LV75">
        <v>3.576667</v>
      </c>
      <c r="LW75">
        <v>4.4999999999999998E-2</v>
      </c>
      <c r="LX75">
        <v>1.1783330000000001</v>
      </c>
      <c r="LY75">
        <v>2.351667</v>
      </c>
      <c r="LZ75">
        <v>9.8333000000000004E-2</v>
      </c>
      <c r="MA75">
        <v>1.5433330000000001</v>
      </c>
      <c r="MB75">
        <v>2.056667</v>
      </c>
      <c r="MC75">
        <v>0.37666699999999997</v>
      </c>
      <c r="MD75">
        <v>1.355</v>
      </c>
      <c r="ME75">
        <v>2.378333</v>
      </c>
      <c r="MF75">
        <v>3.6749999999999998</v>
      </c>
      <c r="MG75">
        <v>0.13833300000000001</v>
      </c>
      <c r="MH75">
        <v>2.1666999999999999E-2</v>
      </c>
      <c r="MI75">
        <v>4.6316670000000002</v>
      </c>
      <c r="MJ75">
        <v>1.3149999999999999</v>
      </c>
      <c r="MK75">
        <v>2.71</v>
      </c>
      <c r="ML75">
        <v>6.6670000000000002E-3</v>
      </c>
      <c r="MM75">
        <v>2.3316669999999999</v>
      </c>
      <c r="MN75">
        <v>2.29</v>
      </c>
      <c r="MO75">
        <v>3.5150000000000001</v>
      </c>
      <c r="MP75">
        <v>4.5816670000000004</v>
      </c>
      <c r="MQ75">
        <v>0.60833300000000001</v>
      </c>
      <c r="MR75">
        <v>1.31</v>
      </c>
      <c r="MS75">
        <v>0.17666699999999999</v>
      </c>
      <c r="MT75">
        <v>3.983333</v>
      </c>
      <c r="MU75">
        <v>1.608333</v>
      </c>
      <c r="MV75">
        <v>3.64</v>
      </c>
      <c r="MW75">
        <v>2.94</v>
      </c>
      <c r="MX75">
        <v>1.6670000000000001E-3</v>
      </c>
      <c r="MY75">
        <v>3.333E-3</v>
      </c>
      <c r="MZ75">
        <v>2.088333</v>
      </c>
      <c r="NA75">
        <v>1.905</v>
      </c>
      <c r="NB75">
        <v>0.188333</v>
      </c>
      <c r="NC75">
        <v>0.73333300000000001</v>
      </c>
      <c r="ND75">
        <v>3.5716670000000001</v>
      </c>
      <c r="NE75">
        <v>1.0733330000000001</v>
      </c>
      <c r="NF75">
        <v>0.81</v>
      </c>
      <c r="NG75">
        <v>0.97166699999999995</v>
      </c>
      <c r="NH75">
        <v>1.0933330000000001</v>
      </c>
      <c r="NI75">
        <v>2.898333</v>
      </c>
      <c r="NJ75">
        <v>3.391667</v>
      </c>
      <c r="NK75">
        <v>0.435</v>
      </c>
      <c r="NL75">
        <v>4.66</v>
      </c>
      <c r="NM75">
        <v>1.5916669999999999</v>
      </c>
      <c r="NN75">
        <v>0.505</v>
      </c>
      <c r="NO75">
        <v>2.9266670000000001</v>
      </c>
      <c r="NP75">
        <v>4.431667</v>
      </c>
      <c r="NQ75">
        <v>0.03</v>
      </c>
      <c r="NR75">
        <v>2.0783330000000002</v>
      </c>
      <c r="NS75">
        <v>1.635</v>
      </c>
      <c r="NT75">
        <v>1.3316669999999999</v>
      </c>
      <c r="NU75">
        <v>1.4466669999999999</v>
      </c>
      <c r="NV75">
        <v>2.6549999999999998</v>
      </c>
      <c r="NW75">
        <v>1.5</v>
      </c>
      <c r="NX75">
        <v>1.0083329999999999</v>
      </c>
      <c r="NY75">
        <v>0</v>
      </c>
      <c r="NZ75">
        <v>1.8332999999999999E-2</v>
      </c>
      <c r="OA75">
        <v>0.42666700000000002</v>
      </c>
      <c r="OB75">
        <v>2.7483330000000001</v>
      </c>
      <c r="OC75">
        <v>2.0249999999999999</v>
      </c>
      <c r="OD75">
        <v>0.8</v>
      </c>
      <c r="OE75">
        <v>0.94666700000000004</v>
      </c>
      <c r="OF75">
        <v>0.25666699999999998</v>
      </c>
      <c r="OG75">
        <v>4.1583329999999998</v>
      </c>
      <c r="OH75">
        <v>6.5449999999999999</v>
      </c>
      <c r="OI75">
        <v>0</v>
      </c>
      <c r="OJ75">
        <v>4.3833330000000004</v>
      </c>
      <c r="OK75">
        <v>4.3899999999999997</v>
      </c>
      <c r="OL75">
        <v>2.2516669999999999</v>
      </c>
      <c r="OM75">
        <v>0.66</v>
      </c>
      <c r="ON75">
        <v>2.5333329999999998</v>
      </c>
      <c r="OO75">
        <v>0</v>
      </c>
      <c r="OP75">
        <v>2.898333</v>
      </c>
      <c r="OQ75">
        <v>0</v>
      </c>
      <c r="OR75">
        <v>2.3333E-2</v>
      </c>
      <c r="OS75">
        <v>1.4999999999999999E-2</v>
      </c>
      <c r="OT75">
        <v>0</v>
      </c>
      <c r="OU75">
        <v>0</v>
      </c>
      <c r="OV75">
        <v>0</v>
      </c>
      <c r="OW75">
        <v>0</v>
      </c>
      <c r="OX75">
        <v>0.21</v>
      </c>
      <c r="OY75">
        <v>1.6670000000000001E-3</v>
      </c>
      <c r="OZ75">
        <v>0</v>
      </c>
      <c r="PA75">
        <v>0</v>
      </c>
      <c r="PB75">
        <v>3.2316669999999998</v>
      </c>
      <c r="PC75">
        <v>3.7183329999999999</v>
      </c>
      <c r="PD75">
        <v>6.6667000000000004E-2</v>
      </c>
      <c r="PE75">
        <v>1.5416669999999999</v>
      </c>
      <c r="PF75">
        <v>0.68500000000000005</v>
      </c>
      <c r="PG75">
        <v>1.6883330000000001</v>
      </c>
      <c r="PH75">
        <v>1.5183329999999999</v>
      </c>
      <c r="PI75">
        <v>0.531667</v>
      </c>
      <c r="PJ75">
        <v>0.49333300000000002</v>
      </c>
      <c r="PK75">
        <v>2.7416670000000001</v>
      </c>
      <c r="PL75">
        <v>8.8332999999999995E-2</v>
      </c>
      <c r="PM75">
        <v>1.5649999999999999</v>
      </c>
      <c r="PN75">
        <v>0</v>
      </c>
      <c r="PO75">
        <v>0.03</v>
      </c>
      <c r="PP75">
        <v>0.48499999999999999</v>
      </c>
      <c r="PQ75">
        <v>1.8633329999999999</v>
      </c>
      <c r="PR75">
        <v>0.46333299999999999</v>
      </c>
      <c r="PS75">
        <v>3.5066670000000002</v>
      </c>
      <c r="PT75">
        <v>0.36</v>
      </c>
      <c r="PU75">
        <v>2.4166669999999999</v>
      </c>
      <c r="PV75">
        <v>4.056667</v>
      </c>
      <c r="PW75">
        <v>2.875</v>
      </c>
      <c r="PX75">
        <v>3.088333</v>
      </c>
      <c r="PY75">
        <v>0.97166699999999995</v>
      </c>
      <c r="PZ75">
        <v>3.8083330000000002</v>
      </c>
      <c r="QA75">
        <v>0.38333299999999998</v>
      </c>
      <c r="QB75">
        <v>0.843333</v>
      </c>
      <c r="QC75">
        <v>0.48666700000000002</v>
      </c>
      <c r="QD75">
        <v>1.236667</v>
      </c>
      <c r="QE75">
        <v>0.73166699999999996</v>
      </c>
      <c r="QF75">
        <v>0.68666700000000003</v>
      </c>
      <c r="QG75">
        <v>3.076667</v>
      </c>
      <c r="QH75">
        <v>1.4999999999999999E-2</v>
      </c>
      <c r="QI75">
        <v>0</v>
      </c>
      <c r="QJ75">
        <v>2.273333</v>
      </c>
      <c r="QK75">
        <v>1.8566670000000001</v>
      </c>
      <c r="QL75">
        <v>0.33333299999999999</v>
      </c>
      <c r="QM75">
        <v>0.973333</v>
      </c>
      <c r="QN75">
        <v>0</v>
      </c>
      <c r="QO75">
        <v>0.36</v>
      </c>
      <c r="QP75">
        <v>0.86333300000000002</v>
      </c>
      <c r="QQ75">
        <v>0.01</v>
      </c>
      <c r="QR75">
        <v>0.02</v>
      </c>
      <c r="QS75">
        <v>1.361667</v>
      </c>
      <c r="QT75">
        <v>0</v>
      </c>
      <c r="QU75">
        <v>0</v>
      </c>
      <c r="QV75">
        <v>2.996667</v>
      </c>
      <c r="QW75">
        <v>3.5833330000000001</v>
      </c>
      <c r="QX75">
        <v>0.11833299999999999</v>
      </c>
      <c r="QY75">
        <v>0.40500000000000003</v>
      </c>
      <c r="QZ75">
        <v>2.6666669999999999</v>
      </c>
      <c r="RA75">
        <v>3.4216669999999998</v>
      </c>
      <c r="RB75">
        <v>4.5433329999999996</v>
      </c>
      <c r="RC75">
        <v>0.81499999999999995</v>
      </c>
      <c r="RD75">
        <v>0.64333300000000004</v>
      </c>
      <c r="RE75">
        <v>2.648333</v>
      </c>
      <c r="RF75">
        <v>1.57</v>
      </c>
      <c r="RG75">
        <v>1.836667</v>
      </c>
      <c r="RH75">
        <v>0.67666700000000002</v>
      </c>
      <c r="RI75">
        <v>0.435</v>
      </c>
      <c r="RJ75">
        <v>4.068333</v>
      </c>
      <c r="RK75">
        <v>1.038333</v>
      </c>
      <c r="RL75">
        <v>0.70166700000000004</v>
      </c>
      <c r="RM75">
        <v>4.023333</v>
      </c>
      <c r="RN75">
        <v>0.16166700000000001</v>
      </c>
      <c r="RO75">
        <v>3.0816669999999999</v>
      </c>
      <c r="RP75">
        <v>3.5000000000000003E-2</v>
      </c>
      <c r="RQ75">
        <v>1.923333</v>
      </c>
      <c r="RR75">
        <v>0.89333300000000004</v>
      </c>
      <c r="RS75">
        <v>0.32333299999999998</v>
      </c>
      <c r="RT75">
        <v>2.9933329999999998</v>
      </c>
      <c r="RU75">
        <v>0.33</v>
      </c>
      <c r="RV75">
        <v>3.1633330000000002</v>
      </c>
      <c r="RW75">
        <v>1.22</v>
      </c>
      <c r="RX75">
        <v>0.151667</v>
      </c>
      <c r="RY75">
        <v>3.7383329999999999</v>
      </c>
      <c r="RZ75">
        <v>1.67</v>
      </c>
      <c r="SA75">
        <v>0.375</v>
      </c>
      <c r="SB75">
        <v>0.193333</v>
      </c>
      <c r="SC75">
        <v>0.67500000000000004</v>
      </c>
      <c r="SD75">
        <v>2.2383329999999999</v>
      </c>
      <c r="SE75">
        <v>4.4800000000000004</v>
      </c>
      <c r="SF75">
        <v>1.786667</v>
      </c>
      <c r="SG75">
        <v>2.83</v>
      </c>
      <c r="SH75">
        <v>1.645</v>
      </c>
      <c r="SI75">
        <v>4.625</v>
      </c>
      <c r="SJ75">
        <v>0.26</v>
      </c>
      <c r="SK75">
        <v>0</v>
      </c>
      <c r="SL75">
        <v>0.25</v>
      </c>
      <c r="SM75">
        <v>0.27333299999999999</v>
      </c>
      <c r="SN75">
        <v>3.6749999999999998</v>
      </c>
      <c r="SO75">
        <v>6.6670000000000002E-3</v>
      </c>
      <c r="SP75">
        <v>0.99166699999999997</v>
      </c>
      <c r="SQ75">
        <v>0.21</v>
      </c>
      <c r="SR75">
        <v>2.3433329999999999</v>
      </c>
      <c r="SS75">
        <v>3.4783330000000001</v>
      </c>
      <c r="ST75">
        <v>0.79500000000000004</v>
      </c>
      <c r="SU75">
        <v>4.181667</v>
      </c>
      <c r="SV75">
        <v>0.21333299999999999</v>
      </c>
      <c r="SW75">
        <v>4.108333</v>
      </c>
      <c r="SX75">
        <v>3.333E-3</v>
      </c>
      <c r="SY75">
        <v>1.2066669999999999</v>
      </c>
      <c r="SZ75">
        <v>1.1499999999999999</v>
      </c>
      <c r="TA75">
        <v>5.1633329999999997</v>
      </c>
      <c r="TB75">
        <v>1.03</v>
      </c>
      <c r="TC75">
        <v>4.24</v>
      </c>
      <c r="TD75">
        <v>4.3949999999999996</v>
      </c>
      <c r="TE75">
        <v>2.2599999999999998</v>
      </c>
      <c r="TF75">
        <v>1.2849999999999999</v>
      </c>
      <c r="TG75">
        <v>0.36</v>
      </c>
      <c r="TH75">
        <v>1.9183330000000001</v>
      </c>
      <c r="TI75">
        <v>1.0549999999999999</v>
      </c>
      <c r="TJ75">
        <v>4.1667000000000003E-2</v>
      </c>
      <c r="TK75">
        <v>1.1966669999999999</v>
      </c>
      <c r="TL75">
        <v>0</v>
      </c>
      <c r="TM75">
        <v>2.6667E-2</v>
      </c>
      <c r="TN75">
        <v>3.4533330000000002</v>
      </c>
      <c r="TO75">
        <v>0</v>
      </c>
      <c r="TP75">
        <v>1.2749999999999999</v>
      </c>
      <c r="TQ75">
        <v>1.943333</v>
      </c>
      <c r="TR75">
        <v>0.656667</v>
      </c>
      <c r="TS75">
        <v>0.92166700000000001</v>
      </c>
      <c r="TT75">
        <v>0.34</v>
      </c>
      <c r="TU75">
        <v>1.6670000000000001E-3</v>
      </c>
      <c r="TV75">
        <v>1.181667</v>
      </c>
      <c r="TW75">
        <v>1.095</v>
      </c>
      <c r="TX75">
        <v>5.7066670000000004</v>
      </c>
      <c r="TY75">
        <v>0</v>
      </c>
      <c r="TZ75">
        <v>3.7050000000000001</v>
      </c>
      <c r="UA75">
        <v>4.01</v>
      </c>
      <c r="UB75">
        <v>2.3766669999999999</v>
      </c>
      <c r="UC75">
        <v>0.02</v>
      </c>
      <c r="UD75">
        <v>2.0216669999999999</v>
      </c>
      <c r="UE75">
        <v>3.483333</v>
      </c>
      <c r="UF75">
        <v>1.3866670000000001</v>
      </c>
      <c r="UG75">
        <v>0.97833300000000001</v>
      </c>
      <c r="UH75">
        <v>0</v>
      </c>
      <c r="UI75">
        <v>3.7949999999999999</v>
      </c>
      <c r="UJ75">
        <v>2.173333</v>
      </c>
      <c r="UK75">
        <v>1.016667</v>
      </c>
      <c r="UL75">
        <v>3.3866670000000001</v>
      </c>
      <c r="UM75">
        <v>5.0000000000000001E-3</v>
      </c>
      <c r="UN75">
        <v>3.333E-3</v>
      </c>
      <c r="UO75">
        <v>0</v>
      </c>
      <c r="UP75">
        <v>2.7816670000000001</v>
      </c>
      <c r="UQ75">
        <v>0</v>
      </c>
      <c r="UR75">
        <v>4.8499999999999996</v>
      </c>
      <c r="US75">
        <v>3.681667</v>
      </c>
      <c r="UT75">
        <v>1.003333</v>
      </c>
      <c r="UU75">
        <v>2.9716670000000001</v>
      </c>
      <c r="UV75">
        <v>1.933333</v>
      </c>
      <c r="UW75">
        <v>0</v>
      </c>
      <c r="UX75">
        <v>5.6433330000000002</v>
      </c>
      <c r="UY75">
        <v>3.6233330000000001</v>
      </c>
      <c r="UZ75">
        <v>3.333E-3</v>
      </c>
      <c r="VA75">
        <v>4.9249999999999998</v>
      </c>
      <c r="VB75">
        <v>0.23666699999999999</v>
      </c>
      <c r="VC75">
        <v>0</v>
      </c>
      <c r="VD75">
        <v>0.25666699999999998</v>
      </c>
      <c r="VE75">
        <v>2.3016670000000001</v>
      </c>
      <c r="VF75">
        <v>4.891667</v>
      </c>
      <c r="VG75">
        <v>0.93500000000000005</v>
      </c>
      <c r="VH75">
        <v>2.1966670000000001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0.17499999999999999</v>
      </c>
      <c r="VO75">
        <v>5.193333</v>
      </c>
      <c r="VP75">
        <v>2.4649999999999999</v>
      </c>
      <c r="VQ75">
        <v>1.048333</v>
      </c>
      <c r="VR75">
        <v>0.995</v>
      </c>
      <c r="VS75">
        <v>1.03</v>
      </c>
      <c r="VT75">
        <v>0</v>
      </c>
      <c r="VU75">
        <v>0.89666699999999999</v>
      </c>
      <c r="VV75">
        <v>9.1666999999999998E-2</v>
      </c>
      <c r="VW75">
        <v>4.3333000000000003E-2</v>
      </c>
      <c r="VX75">
        <v>7.6666999999999999E-2</v>
      </c>
      <c r="VY75">
        <v>4.5949999999999998</v>
      </c>
      <c r="VZ75">
        <v>3.3816670000000002</v>
      </c>
      <c r="WA75">
        <v>6.6670000000000002E-3</v>
      </c>
      <c r="WB75">
        <v>0</v>
      </c>
      <c r="WC75">
        <v>2.3333E-2</v>
      </c>
      <c r="WD75">
        <v>0.46166699999999999</v>
      </c>
      <c r="WE75">
        <v>1.266667</v>
      </c>
      <c r="WF75">
        <v>3.0833330000000001</v>
      </c>
      <c r="WG75">
        <v>0.718333</v>
      </c>
      <c r="WH75">
        <v>0</v>
      </c>
      <c r="WI75">
        <v>1.513333</v>
      </c>
      <c r="WJ75">
        <v>0.29499999999999998</v>
      </c>
      <c r="WK75">
        <v>2.818333</v>
      </c>
      <c r="WL75">
        <v>8.3330000000000001E-3</v>
      </c>
      <c r="WM75">
        <v>0.80166700000000002</v>
      </c>
      <c r="WN75">
        <v>2.7549999999999999</v>
      </c>
      <c r="WO75">
        <v>3.3683329999999998</v>
      </c>
      <c r="WP75">
        <v>1.576667</v>
      </c>
      <c r="WQ75">
        <v>2.0933329999999999</v>
      </c>
      <c r="WR75">
        <v>5.0000000000000001E-3</v>
      </c>
      <c r="WS75">
        <v>3.1183329999999998</v>
      </c>
      <c r="WT75">
        <v>0</v>
      </c>
      <c r="WU75">
        <v>0.14166699999999999</v>
      </c>
      <c r="WV75">
        <v>0</v>
      </c>
      <c r="WW75">
        <v>0.72666699999999995</v>
      </c>
      <c r="WX75">
        <v>0.19666700000000001</v>
      </c>
      <c r="WY75">
        <v>4.4999999999999998E-2</v>
      </c>
      <c r="WZ75">
        <v>0.34</v>
      </c>
      <c r="XA75">
        <v>0.73333300000000001</v>
      </c>
      <c r="XB75">
        <v>0</v>
      </c>
      <c r="XC75">
        <v>0.37333300000000003</v>
      </c>
      <c r="XD75">
        <v>0.60333300000000001</v>
      </c>
      <c r="XE75">
        <v>2</v>
      </c>
      <c r="XF75">
        <v>0.06</v>
      </c>
      <c r="XG75">
        <v>2.0133329999999998</v>
      </c>
      <c r="XH75">
        <v>4.4166670000000003</v>
      </c>
      <c r="XI75">
        <v>0.125</v>
      </c>
      <c r="XJ75">
        <v>0.188333</v>
      </c>
      <c r="XK75">
        <v>2.3533330000000001</v>
      </c>
      <c r="XL75">
        <v>1.145</v>
      </c>
      <c r="XM75">
        <v>4.641667</v>
      </c>
      <c r="XN75">
        <v>2.7366670000000002</v>
      </c>
      <c r="XO75">
        <v>0.30666700000000002</v>
      </c>
      <c r="XP75">
        <v>0.25</v>
      </c>
      <c r="XQ75">
        <v>3.8332999999999999E-2</v>
      </c>
      <c r="XR75">
        <v>0.97</v>
      </c>
      <c r="XS75">
        <v>1.5833330000000001</v>
      </c>
      <c r="XT75">
        <v>6.0650000000000004</v>
      </c>
      <c r="XU75">
        <v>1.1667E-2</v>
      </c>
      <c r="XV75">
        <v>1.4999999999999999E-2</v>
      </c>
      <c r="XW75">
        <v>2.3333E-2</v>
      </c>
      <c r="XX75">
        <v>1.0733330000000001</v>
      </c>
      <c r="XY75">
        <v>1.088333</v>
      </c>
      <c r="XZ75">
        <v>0.82333299999999998</v>
      </c>
      <c r="YA75">
        <v>0.33833299999999999</v>
      </c>
      <c r="YB75">
        <v>1.3</v>
      </c>
      <c r="YC75">
        <v>3.8733330000000001</v>
      </c>
      <c r="YD75">
        <v>0</v>
      </c>
      <c r="YE75">
        <v>1.556667</v>
      </c>
      <c r="YF75">
        <v>9.3332999999999999E-2</v>
      </c>
      <c r="YG75">
        <v>5.9933329999999998</v>
      </c>
      <c r="YH75">
        <v>7.3332999999999995E-2</v>
      </c>
      <c r="YI75">
        <v>0</v>
      </c>
      <c r="YJ75">
        <v>3.55</v>
      </c>
      <c r="YK75">
        <v>3.6866669999999999</v>
      </c>
      <c r="YL75">
        <v>2.56</v>
      </c>
      <c r="YM75">
        <v>5.7533329999999996</v>
      </c>
      <c r="YN75">
        <v>0</v>
      </c>
      <c r="YO75">
        <v>0</v>
      </c>
      <c r="YP75">
        <v>6.3333E-2</v>
      </c>
      <c r="YQ75">
        <v>4.49</v>
      </c>
      <c r="YR75">
        <v>2.088333</v>
      </c>
      <c r="YS75">
        <v>1.6466670000000001</v>
      </c>
      <c r="YT75">
        <v>0</v>
      </c>
      <c r="YU75">
        <v>2.568333</v>
      </c>
      <c r="YV75">
        <v>4.6916669999999998</v>
      </c>
      <c r="YW75">
        <v>1.6670000000000001E-3</v>
      </c>
      <c r="YX75">
        <v>0.10333299999999999</v>
      </c>
      <c r="YY75">
        <v>0.155</v>
      </c>
      <c r="YZ75">
        <v>1.348333</v>
      </c>
      <c r="ZA75">
        <v>3.173333</v>
      </c>
      <c r="ZB75">
        <v>0.12</v>
      </c>
      <c r="ZC75">
        <v>2.2933330000000001</v>
      </c>
      <c r="ZD75">
        <v>3.6266669999999999</v>
      </c>
      <c r="ZE75">
        <v>4.1583329999999998</v>
      </c>
      <c r="ZF75">
        <v>0.23333300000000001</v>
      </c>
      <c r="ZG75">
        <v>1.405</v>
      </c>
      <c r="ZH75">
        <v>0.65500000000000003</v>
      </c>
      <c r="ZI75">
        <v>0.72166699999999995</v>
      </c>
      <c r="ZJ75">
        <v>0.54500000000000004</v>
      </c>
      <c r="ZK75">
        <v>1.6670000000000001E-3</v>
      </c>
      <c r="ZL75">
        <v>0.68333299999999997</v>
      </c>
      <c r="ZM75">
        <v>0.94</v>
      </c>
      <c r="ZN75">
        <v>0.848333</v>
      </c>
      <c r="ZO75">
        <v>0.276667</v>
      </c>
      <c r="ZP75">
        <v>0</v>
      </c>
      <c r="ZQ75">
        <v>0</v>
      </c>
      <c r="ZR75">
        <v>0</v>
      </c>
      <c r="ZS75">
        <v>5.8333000000000003E-2</v>
      </c>
      <c r="ZT75">
        <v>0</v>
      </c>
      <c r="ZU75">
        <v>0</v>
      </c>
      <c r="ZV75">
        <v>1.8149999999999999</v>
      </c>
      <c r="ZW75">
        <v>0</v>
      </c>
      <c r="ZX75">
        <v>0.51166699999999998</v>
      </c>
      <c r="ZY75">
        <v>1.246667</v>
      </c>
      <c r="ZZ75">
        <v>0.61333300000000002</v>
      </c>
      <c r="AAA75">
        <v>3.44</v>
      </c>
      <c r="AAB75">
        <v>1.46</v>
      </c>
      <c r="AAC75">
        <v>0.78</v>
      </c>
      <c r="AAD75">
        <v>3.7549999999999999</v>
      </c>
      <c r="AAE75">
        <v>0.86666699999999997</v>
      </c>
      <c r="AAF75">
        <v>0.46166699999999999</v>
      </c>
      <c r="AAG75">
        <v>0.56833299999999998</v>
      </c>
      <c r="AAH75">
        <v>3.333E-3</v>
      </c>
      <c r="AAI75">
        <v>0.25</v>
      </c>
      <c r="AAJ75">
        <v>0.40500000000000003</v>
      </c>
      <c r="AAK75">
        <v>0</v>
      </c>
      <c r="AAL75">
        <v>0</v>
      </c>
      <c r="AAM75">
        <v>1.175</v>
      </c>
      <c r="AAN75">
        <v>2.5466669999999998</v>
      </c>
      <c r="AAO75">
        <v>0.70666700000000005</v>
      </c>
      <c r="AAP75">
        <v>0</v>
      </c>
      <c r="AAQ75">
        <v>1.145</v>
      </c>
      <c r="AAR75">
        <v>1.0833330000000001</v>
      </c>
      <c r="AAS75">
        <v>0</v>
      </c>
      <c r="AAT75">
        <v>0.248333</v>
      </c>
      <c r="AAU75">
        <v>0.16500000000000001</v>
      </c>
      <c r="AAV75">
        <v>0.35833300000000001</v>
      </c>
      <c r="AAW75">
        <v>1.506667</v>
      </c>
      <c r="AAX75">
        <v>1.1667E-2</v>
      </c>
      <c r="AAY75">
        <v>3.6666999999999998E-2</v>
      </c>
      <c r="AAZ75">
        <v>0</v>
      </c>
      <c r="ABA75">
        <v>4.51</v>
      </c>
      <c r="ABB75">
        <v>0.44833299999999998</v>
      </c>
      <c r="ABC75">
        <v>4.8550000000000004</v>
      </c>
      <c r="ABD75">
        <v>1.6670000000000001E-3</v>
      </c>
      <c r="ABE75">
        <v>1.27</v>
      </c>
      <c r="ABF75">
        <v>0</v>
      </c>
      <c r="ABG75">
        <v>3.1966670000000001</v>
      </c>
      <c r="ABH75">
        <v>2.8466670000000001</v>
      </c>
      <c r="ABI75">
        <v>0</v>
      </c>
      <c r="ABJ75">
        <v>1.1583330000000001</v>
      </c>
      <c r="ABK75">
        <v>2.9616669999999998</v>
      </c>
      <c r="ABL75">
        <v>3.3333000000000002E-2</v>
      </c>
      <c r="ABM75">
        <v>3.0550000000000002</v>
      </c>
      <c r="ABN75">
        <v>0</v>
      </c>
      <c r="ABO75">
        <v>0</v>
      </c>
      <c r="ABP75">
        <v>0.37</v>
      </c>
      <c r="ABQ75">
        <v>3.333E-3</v>
      </c>
      <c r="ABR75">
        <v>1.6233329999999999</v>
      </c>
      <c r="ABS75">
        <v>4.3683329999999998</v>
      </c>
      <c r="ABT75">
        <v>0</v>
      </c>
      <c r="ABU75">
        <v>0</v>
      </c>
      <c r="ABV75">
        <v>1.6670000000000001E-3</v>
      </c>
      <c r="ABW75">
        <v>1.4999999999999999E-2</v>
      </c>
      <c r="ABX75">
        <v>0.17499999999999999</v>
      </c>
      <c r="ABY75">
        <v>0</v>
      </c>
      <c r="ABZ75">
        <v>5.4533329999999998</v>
      </c>
      <c r="ACA75">
        <v>3.5733329999999999</v>
      </c>
      <c r="ACB75">
        <v>0.25333299999999997</v>
      </c>
      <c r="ACC75">
        <v>3.6066669999999998</v>
      </c>
      <c r="ACD75">
        <v>0</v>
      </c>
      <c r="ACE75">
        <v>0.24333299999999999</v>
      </c>
      <c r="ACF75">
        <v>0</v>
      </c>
      <c r="ACG75">
        <v>0</v>
      </c>
      <c r="ACH75">
        <v>1.3332999999999999E-2</v>
      </c>
      <c r="ACI75">
        <v>0.03</v>
      </c>
      <c r="ACJ75">
        <v>1.1667E-2</v>
      </c>
      <c r="ACK75">
        <v>3.5966670000000001</v>
      </c>
      <c r="ACL75">
        <v>3.2716669999999999</v>
      </c>
      <c r="ACM75">
        <v>3.1667000000000001E-2</v>
      </c>
      <c r="ACN75">
        <v>1.026667</v>
      </c>
      <c r="ACO75">
        <v>3.05</v>
      </c>
    </row>
    <row r="76" spans="1:769" x14ac:dyDescent="0.25">
      <c r="A76" t="s">
        <v>890</v>
      </c>
      <c r="B76" t="s">
        <v>114</v>
      </c>
      <c r="C76" t="s">
        <v>114</v>
      </c>
      <c r="D76">
        <v>5.083259</v>
      </c>
      <c r="E76" t="s">
        <v>114</v>
      </c>
      <c r="F76">
        <v>4.3192259999999996</v>
      </c>
      <c r="G76">
        <v>4.8457299999999996</v>
      </c>
      <c r="H76">
        <v>3.1897639999999998</v>
      </c>
      <c r="I76">
        <v>1.9508369999999999</v>
      </c>
      <c r="J76">
        <v>0.96272100000000005</v>
      </c>
      <c r="K76">
        <v>1.9874179999999999</v>
      </c>
      <c r="L76">
        <v>1.0199069999999999</v>
      </c>
      <c r="M76">
        <v>4.035323</v>
      </c>
      <c r="N76" t="s">
        <v>114</v>
      </c>
      <c r="O76">
        <v>4.0797549999999996</v>
      </c>
      <c r="P76">
        <v>2.552054</v>
      </c>
      <c r="Q76" t="s">
        <v>114</v>
      </c>
      <c r="R76">
        <v>1.27136</v>
      </c>
      <c r="S76">
        <v>1.3703240000000001</v>
      </c>
      <c r="T76">
        <v>1.47464</v>
      </c>
      <c r="U76">
        <v>3.5061849999999999</v>
      </c>
      <c r="V76">
        <v>2.3340360000000002</v>
      </c>
      <c r="W76" t="s">
        <v>114</v>
      </c>
      <c r="X76">
        <v>2.6024590000000001</v>
      </c>
      <c r="Y76">
        <v>1.425527</v>
      </c>
      <c r="Z76" t="s">
        <v>114</v>
      </c>
      <c r="AA76">
        <v>3.3079489999999998</v>
      </c>
      <c r="AB76">
        <v>2.762559</v>
      </c>
      <c r="AC76">
        <v>2.8243659999999999</v>
      </c>
      <c r="AD76" t="s">
        <v>114</v>
      </c>
      <c r="AE76">
        <v>3.0904720000000001</v>
      </c>
      <c r="AF76">
        <v>1.4774449999999999</v>
      </c>
      <c r="AG76">
        <v>2.3312710000000001</v>
      </c>
      <c r="AH76">
        <v>1.7480340000000001</v>
      </c>
      <c r="AI76">
        <v>2.9823149999999998</v>
      </c>
      <c r="AJ76">
        <v>4.371575</v>
      </c>
      <c r="AK76">
        <v>2.668142</v>
      </c>
      <c r="AL76">
        <v>3.6519840000000001</v>
      </c>
      <c r="AM76">
        <v>1.7640899999999999</v>
      </c>
      <c r="AN76">
        <v>3.013614</v>
      </c>
      <c r="AO76">
        <v>4.506729</v>
      </c>
      <c r="AP76">
        <v>2.9679139999999999</v>
      </c>
      <c r="AQ76">
        <v>2.0738599999999998</v>
      </c>
      <c r="AR76">
        <v>4.1858680000000001</v>
      </c>
      <c r="AS76">
        <v>2.986564</v>
      </c>
      <c r="AT76">
        <v>1.299925</v>
      </c>
      <c r="AU76">
        <v>2.1115469999999998</v>
      </c>
      <c r="AV76">
        <v>1.4407540000000001</v>
      </c>
      <c r="AW76">
        <v>3.2935249999999998</v>
      </c>
      <c r="AX76">
        <v>4.026618</v>
      </c>
      <c r="AY76">
        <v>1.5294449999999999</v>
      </c>
      <c r="AZ76">
        <v>2.9654699999999998</v>
      </c>
      <c r="BA76">
        <v>4.1632870000000004</v>
      </c>
      <c r="BB76">
        <v>1.7175290000000001</v>
      </c>
      <c r="BC76" t="s">
        <v>114</v>
      </c>
      <c r="BD76">
        <v>2.7649309999999998</v>
      </c>
      <c r="BE76">
        <v>5.2476659999999997</v>
      </c>
      <c r="BF76">
        <v>3.8126699999999998</v>
      </c>
      <c r="BG76">
        <v>2.2245940000000002</v>
      </c>
      <c r="BH76">
        <v>1.9504220000000001</v>
      </c>
      <c r="BI76">
        <v>2.8931360000000002</v>
      </c>
      <c r="BJ76">
        <v>4.0175979999999996</v>
      </c>
      <c r="BK76">
        <v>3.003692</v>
      </c>
      <c r="BL76">
        <v>1.555796</v>
      </c>
      <c r="BM76">
        <v>4.0685289999999998</v>
      </c>
      <c r="BN76">
        <v>1.2920419999999999</v>
      </c>
      <c r="BO76" t="s">
        <v>114</v>
      </c>
      <c r="BP76">
        <v>3.863572</v>
      </c>
      <c r="BQ76">
        <v>4.8389360000000003</v>
      </c>
      <c r="BR76" t="s">
        <v>114</v>
      </c>
      <c r="BS76">
        <v>4.9354649999999998</v>
      </c>
      <c r="BT76">
        <v>3.2898079999999998</v>
      </c>
      <c r="BU76" t="s">
        <v>114</v>
      </c>
      <c r="BV76">
        <v>2.2248610000000002</v>
      </c>
      <c r="BW76">
        <v>4.7611939999999997</v>
      </c>
      <c r="BX76" t="s">
        <v>114</v>
      </c>
      <c r="BY76">
        <v>1.2216469999999999</v>
      </c>
      <c r="BZ76">
        <v>3.8002609999999999</v>
      </c>
      <c r="CA76">
        <v>2.1094780000000002</v>
      </c>
      <c r="CB76" t="s">
        <v>114</v>
      </c>
      <c r="CC76">
        <v>3.1013609999999998</v>
      </c>
      <c r="CD76">
        <v>1.992912</v>
      </c>
      <c r="CE76">
        <v>2.9584790000000001</v>
      </c>
      <c r="CF76">
        <v>2.606617</v>
      </c>
      <c r="CG76">
        <v>3.964089</v>
      </c>
      <c r="CH76" t="s">
        <v>114</v>
      </c>
      <c r="CI76">
        <v>3.05166</v>
      </c>
      <c r="CJ76">
        <v>4.9267050000000001</v>
      </c>
      <c r="CK76" t="s">
        <v>114</v>
      </c>
      <c r="CL76">
        <v>4.3935259999999996</v>
      </c>
      <c r="CM76">
        <v>3.2006790000000001</v>
      </c>
      <c r="CN76">
        <v>1.6377470000000001</v>
      </c>
      <c r="CO76">
        <v>3.9325700000000001</v>
      </c>
      <c r="CP76">
        <v>5.4062080000000003</v>
      </c>
      <c r="CQ76">
        <v>2.990999</v>
      </c>
      <c r="CR76">
        <v>4.0666779999999996</v>
      </c>
      <c r="CS76">
        <v>3.4399090000000001</v>
      </c>
      <c r="CT76" t="s">
        <v>114</v>
      </c>
      <c r="CU76">
        <v>3.977859</v>
      </c>
      <c r="CV76">
        <v>5.3461480000000003</v>
      </c>
      <c r="CW76">
        <v>3.6190329999999999</v>
      </c>
      <c r="CX76">
        <v>0.86186700000000005</v>
      </c>
      <c r="CY76">
        <v>3.074357</v>
      </c>
      <c r="CZ76">
        <v>5.0990690000000001</v>
      </c>
      <c r="DA76" t="s">
        <v>114</v>
      </c>
      <c r="DB76">
        <v>4.4745929999999996</v>
      </c>
      <c r="DC76">
        <v>5.0625900000000001</v>
      </c>
      <c r="DD76">
        <v>4.4461259999999996</v>
      </c>
      <c r="DE76">
        <v>3.1218629999999998</v>
      </c>
      <c r="DF76">
        <v>5.1567889999999998</v>
      </c>
      <c r="DG76">
        <v>3.1782699999999999</v>
      </c>
      <c r="DH76">
        <v>2.7280289999999998</v>
      </c>
      <c r="DI76">
        <v>6.145448</v>
      </c>
      <c r="DJ76">
        <v>2.3614359999999999</v>
      </c>
      <c r="DK76">
        <v>1.9926269999999999</v>
      </c>
      <c r="DL76">
        <v>5.8899530000000002</v>
      </c>
      <c r="DM76">
        <v>3.8826499999999999</v>
      </c>
      <c r="DN76">
        <v>2.3910469999999999</v>
      </c>
      <c r="DO76">
        <v>4.0409839999999999</v>
      </c>
      <c r="DP76">
        <v>2.6938369999999998</v>
      </c>
      <c r="DQ76">
        <v>4.9960740000000001</v>
      </c>
      <c r="DR76">
        <v>5.2502950000000004</v>
      </c>
      <c r="DS76">
        <v>5.6742419999999996</v>
      </c>
      <c r="DT76">
        <v>1.4167160000000001</v>
      </c>
      <c r="DU76">
        <v>4.6137300000000003</v>
      </c>
      <c r="DV76" t="s">
        <v>114</v>
      </c>
      <c r="DW76" t="s">
        <v>114</v>
      </c>
      <c r="DX76">
        <v>4.0195179999999997</v>
      </c>
      <c r="DY76">
        <v>2.884833</v>
      </c>
      <c r="DZ76">
        <v>2.5952649999999999</v>
      </c>
      <c r="EA76">
        <v>4.6479400000000002</v>
      </c>
      <c r="EB76" t="s">
        <v>114</v>
      </c>
      <c r="EC76">
        <v>1.358881</v>
      </c>
      <c r="ED76" t="s">
        <v>114</v>
      </c>
      <c r="EE76">
        <v>1.919781</v>
      </c>
      <c r="EF76">
        <v>2.5183399999999998</v>
      </c>
      <c r="EG76">
        <v>3.0987939999999998</v>
      </c>
      <c r="EH76">
        <v>1.4157420000000001</v>
      </c>
      <c r="EI76">
        <v>3.8169140000000001</v>
      </c>
      <c r="EJ76">
        <v>2.1297359999999999</v>
      </c>
      <c r="EK76">
        <v>1.6349590000000001</v>
      </c>
      <c r="EL76">
        <v>2.563634</v>
      </c>
      <c r="EM76">
        <v>3.1725180000000002</v>
      </c>
      <c r="EN76">
        <v>1.8287629999999999</v>
      </c>
      <c r="EO76" t="s">
        <v>114</v>
      </c>
      <c r="EP76">
        <v>3.7491240000000001</v>
      </c>
      <c r="EQ76">
        <v>4.0824230000000004</v>
      </c>
      <c r="ER76">
        <v>3.2229580000000002</v>
      </c>
      <c r="ES76">
        <v>2.20479</v>
      </c>
      <c r="ET76">
        <v>1.6379509999999999</v>
      </c>
      <c r="EU76">
        <v>4.4087050000000003</v>
      </c>
      <c r="EV76" t="s">
        <v>114</v>
      </c>
      <c r="EW76">
        <v>1.6702619999999999</v>
      </c>
      <c r="EX76">
        <v>3.2068819999999998</v>
      </c>
      <c r="EY76">
        <v>1.4515659999999999</v>
      </c>
      <c r="EZ76">
        <v>2.143392</v>
      </c>
      <c r="FA76">
        <v>3.9370500000000002</v>
      </c>
      <c r="FB76" t="s">
        <v>114</v>
      </c>
      <c r="FC76">
        <v>2.0797150000000002</v>
      </c>
      <c r="FD76" t="s">
        <v>114</v>
      </c>
      <c r="FE76" t="s">
        <v>114</v>
      </c>
      <c r="FF76">
        <v>5.3521859999999997</v>
      </c>
      <c r="FG76">
        <v>5.9011139999999997</v>
      </c>
      <c r="FH76">
        <v>6.3929460000000002</v>
      </c>
      <c r="FI76">
        <v>1.8602700000000001</v>
      </c>
      <c r="FJ76">
        <v>5.6751040000000001</v>
      </c>
      <c r="FK76">
        <v>4.7228019999999997</v>
      </c>
      <c r="FL76">
        <v>5.5868960000000003</v>
      </c>
      <c r="FM76">
        <v>2.4215979999999999</v>
      </c>
      <c r="FN76" t="s">
        <v>114</v>
      </c>
      <c r="FO76" t="s">
        <v>114</v>
      </c>
      <c r="FP76">
        <v>5.0416540000000003</v>
      </c>
      <c r="FQ76">
        <v>3.0320710000000002</v>
      </c>
      <c r="FR76">
        <v>3.7233130000000001</v>
      </c>
      <c r="FS76">
        <v>5.1575059999999997</v>
      </c>
      <c r="FT76">
        <v>2.5580560000000001</v>
      </c>
      <c r="FU76">
        <v>3.235563</v>
      </c>
      <c r="FV76">
        <v>3.6172279999999999</v>
      </c>
      <c r="FW76">
        <v>2.5100129999999998</v>
      </c>
      <c r="FX76">
        <v>2.9314360000000002</v>
      </c>
      <c r="FY76">
        <v>3.3336229999999998</v>
      </c>
      <c r="FZ76">
        <v>4.3173139999999997</v>
      </c>
      <c r="GA76">
        <v>2.5442830000000001</v>
      </c>
      <c r="GB76">
        <v>1.6441680000000001</v>
      </c>
      <c r="GC76">
        <v>3.0123160000000002</v>
      </c>
      <c r="GD76">
        <v>4.801164</v>
      </c>
      <c r="GE76">
        <v>4.5335679999999998</v>
      </c>
      <c r="GF76">
        <v>1.721581</v>
      </c>
      <c r="GG76">
        <v>1.854859</v>
      </c>
      <c r="GH76">
        <v>2.7583739999999999</v>
      </c>
      <c r="GI76" t="s">
        <v>114</v>
      </c>
      <c r="GJ76">
        <v>2.5731320000000002</v>
      </c>
      <c r="GK76">
        <v>2.617664</v>
      </c>
      <c r="GL76">
        <v>2.1449050000000001</v>
      </c>
      <c r="GM76" t="s">
        <v>114</v>
      </c>
      <c r="GN76">
        <v>3.2593239999999999</v>
      </c>
      <c r="GO76" t="s">
        <v>114</v>
      </c>
      <c r="GP76">
        <v>4.5093800000000002</v>
      </c>
      <c r="GQ76">
        <v>5.365558</v>
      </c>
      <c r="GR76">
        <v>3.133947</v>
      </c>
      <c r="GS76">
        <v>1.757938</v>
      </c>
      <c r="GT76">
        <v>3.9151310000000001</v>
      </c>
      <c r="GU76" t="s">
        <v>114</v>
      </c>
      <c r="GV76">
        <v>1.960712</v>
      </c>
      <c r="GW76" t="s">
        <v>114</v>
      </c>
      <c r="GX76">
        <v>2.9895350000000001</v>
      </c>
      <c r="GY76">
        <v>2.2269760000000001</v>
      </c>
      <c r="GZ76">
        <v>4.510014</v>
      </c>
      <c r="HA76">
        <v>2.6611859999999998</v>
      </c>
      <c r="HB76">
        <v>3.4549289999999999</v>
      </c>
      <c r="HC76">
        <v>2.3299970000000001</v>
      </c>
      <c r="HD76">
        <v>2.6332</v>
      </c>
      <c r="HE76">
        <v>1.2449539999999999</v>
      </c>
      <c r="HF76">
        <v>1.0896189999999999</v>
      </c>
      <c r="HG76">
        <v>4.030227</v>
      </c>
      <c r="HH76">
        <v>4.4765779999999999</v>
      </c>
      <c r="HI76">
        <v>2.9911129999999999</v>
      </c>
      <c r="HJ76">
        <v>4.1711090000000004</v>
      </c>
      <c r="HK76">
        <v>2.5133670000000001</v>
      </c>
      <c r="HL76">
        <v>2.1998509999999998</v>
      </c>
      <c r="HM76">
        <v>1.361761</v>
      </c>
      <c r="HN76">
        <v>1.80636</v>
      </c>
      <c r="HO76">
        <v>4.0880150000000004</v>
      </c>
      <c r="HP76">
        <v>1.3444970000000001</v>
      </c>
      <c r="HQ76">
        <v>1.8049539999999999</v>
      </c>
      <c r="HR76">
        <v>1.747385</v>
      </c>
      <c r="HS76">
        <v>1.574827</v>
      </c>
      <c r="HT76">
        <v>4.107494</v>
      </c>
      <c r="HU76">
        <v>3.4115859999999998</v>
      </c>
      <c r="HV76" t="s">
        <v>114</v>
      </c>
      <c r="HW76" t="s">
        <v>114</v>
      </c>
      <c r="HX76">
        <v>3.3635090000000001</v>
      </c>
      <c r="HY76">
        <v>4.7974180000000004</v>
      </c>
      <c r="HZ76">
        <v>2.546011</v>
      </c>
      <c r="IA76">
        <v>1.42727</v>
      </c>
      <c r="IB76" t="s">
        <v>114</v>
      </c>
      <c r="IC76" t="s">
        <v>114</v>
      </c>
      <c r="ID76" t="s">
        <v>114</v>
      </c>
      <c r="IE76">
        <v>4.2193649999999998</v>
      </c>
      <c r="IF76">
        <v>2.0506660000000001</v>
      </c>
      <c r="IG76" t="s">
        <v>114</v>
      </c>
      <c r="IH76">
        <v>2.5721590000000001</v>
      </c>
      <c r="II76" t="s">
        <v>114</v>
      </c>
      <c r="IJ76">
        <v>4.3918670000000004</v>
      </c>
      <c r="IK76" t="s">
        <v>114</v>
      </c>
      <c r="IL76" t="s">
        <v>114</v>
      </c>
      <c r="IM76" t="s">
        <v>114</v>
      </c>
      <c r="IN76">
        <v>4.4097090000000003</v>
      </c>
      <c r="IO76">
        <v>4.5856310000000002</v>
      </c>
      <c r="IP76">
        <v>4.5398310000000004</v>
      </c>
      <c r="IQ76" t="s">
        <v>114</v>
      </c>
      <c r="IR76">
        <v>5.1909689999999999</v>
      </c>
      <c r="IS76">
        <v>2.803769</v>
      </c>
      <c r="IT76">
        <v>1.8890720000000001</v>
      </c>
      <c r="IU76">
        <v>1.5915079999999999</v>
      </c>
      <c r="IV76">
        <v>1.883642</v>
      </c>
      <c r="IW76">
        <v>1.596859</v>
      </c>
      <c r="IX76">
        <v>2.998691</v>
      </c>
      <c r="IY76">
        <v>4.1171449999999998</v>
      </c>
      <c r="IZ76">
        <v>2.22926</v>
      </c>
      <c r="JA76">
        <v>2.4019949999999999</v>
      </c>
      <c r="JB76">
        <v>0.98831599999999997</v>
      </c>
      <c r="JC76">
        <v>1.644358</v>
      </c>
      <c r="JD76">
        <v>4.0861390000000002</v>
      </c>
      <c r="JE76">
        <v>1.819491</v>
      </c>
      <c r="JF76">
        <v>1.0690029999999999</v>
      </c>
      <c r="JG76">
        <v>4.5453150000000004</v>
      </c>
      <c r="JH76">
        <v>1.4047339999999999</v>
      </c>
      <c r="JI76" t="s">
        <v>114</v>
      </c>
      <c r="JJ76" t="s">
        <v>114</v>
      </c>
      <c r="JK76">
        <v>1.537622</v>
      </c>
      <c r="JL76">
        <v>4.602017</v>
      </c>
      <c r="JM76">
        <v>3.1596259999999998</v>
      </c>
      <c r="JN76">
        <v>2.882911</v>
      </c>
      <c r="JO76" t="s">
        <v>114</v>
      </c>
      <c r="JP76">
        <v>1.9202250000000001</v>
      </c>
      <c r="JQ76" t="s">
        <v>114</v>
      </c>
      <c r="JR76">
        <v>2.4875780000000001</v>
      </c>
      <c r="JS76" t="s">
        <v>114</v>
      </c>
      <c r="JT76" t="s">
        <v>114</v>
      </c>
      <c r="JU76">
        <v>2.5138560000000001</v>
      </c>
      <c r="JV76" t="s">
        <v>114</v>
      </c>
      <c r="JW76">
        <v>1.684086</v>
      </c>
      <c r="JX76" t="s">
        <v>114</v>
      </c>
      <c r="JY76">
        <v>1.3263849999999999</v>
      </c>
      <c r="JZ76" t="s">
        <v>114</v>
      </c>
      <c r="KA76" t="s">
        <v>114</v>
      </c>
      <c r="KB76" t="s">
        <v>114</v>
      </c>
      <c r="KC76">
        <v>1.049587</v>
      </c>
      <c r="KD76">
        <v>4.7775610000000004</v>
      </c>
      <c r="KE76">
        <v>2.296567</v>
      </c>
      <c r="KF76">
        <v>3.6249169999999999</v>
      </c>
      <c r="KG76">
        <v>4.2429069999999998</v>
      </c>
      <c r="KH76" t="s">
        <v>114</v>
      </c>
      <c r="KI76">
        <v>2.2033900000000002</v>
      </c>
      <c r="KJ76">
        <v>1.1170549999999999</v>
      </c>
      <c r="KK76">
        <v>4.7013780000000001</v>
      </c>
      <c r="KL76" t="s">
        <v>114</v>
      </c>
      <c r="KM76">
        <v>2.5311409999999999</v>
      </c>
      <c r="KN76">
        <v>2.8907150000000001</v>
      </c>
      <c r="KO76" t="s">
        <v>114</v>
      </c>
      <c r="KP76">
        <v>2.1210230000000001</v>
      </c>
      <c r="KQ76">
        <v>2.0545390000000001</v>
      </c>
      <c r="KR76">
        <v>2.294562</v>
      </c>
      <c r="KS76">
        <v>3.419216</v>
      </c>
      <c r="KT76">
        <v>3.430974</v>
      </c>
      <c r="KU76" t="s">
        <v>114</v>
      </c>
      <c r="KV76">
        <v>2.1955330000000002</v>
      </c>
      <c r="KW76">
        <v>5.1777119999999996</v>
      </c>
      <c r="KX76">
        <v>1.622295</v>
      </c>
      <c r="KY76">
        <v>3.5656639999999999</v>
      </c>
      <c r="KZ76">
        <v>1.586381</v>
      </c>
      <c r="LA76">
        <v>3.3837459999999999</v>
      </c>
      <c r="LB76">
        <v>2.4314049999999998</v>
      </c>
      <c r="LC76">
        <v>3.735938</v>
      </c>
      <c r="LD76" t="s">
        <v>114</v>
      </c>
      <c r="LE76">
        <v>2.4142960000000002</v>
      </c>
      <c r="LF76">
        <v>2.0379350000000001</v>
      </c>
      <c r="LG76">
        <v>3.430863</v>
      </c>
      <c r="LH76">
        <v>2.1496200000000001</v>
      </c>
      <c r="LI76">
        <v>2.9763199999999999</v>
      </c>
      <c r="LJ76">
        <v>3.4712649999999998</v>
      </c>
      <c r="LK76">
        <v>4.0357240000000001</v>
      </c>
      <c r="LL76">
        <v>3.9368349999999999</v>
      </c>
      <c r="LM76">
        <v>4.5741110000000003</v>
      </c>
      <c r="LN76">
        <v>1.580684</v>
      </c>
      <c r="LO76">
        <v>4.4992479999999997</v>
      </c>
      <c r="LP76">
        <v>3.0897169999999998</v>
      </c>
      <c r="LQ76">
        <v>4.3588050000000003</v>
      </c>
      <c r="LR76" t="s">
        <v>114</v>
      </c>
      <c r="LS76">
        <v>3.3470780000000002</v>
      </c>
      <c r="LT76">
        <v>3.6609759999999998</v>
      </c>
      <c r="LU76">
        <v>2.736866</v>
      </c>
      <c r="LV76">
        <v>5.5357339999999997</v>
      </c>
      <c r="LW76" t="s">
        <v>114</v>
      </c>
      <c r="LX76">
        <v>3.1064600000000002</v>
      </c>
      <c r="LY76">
        <v>4.462637</v>
      </c>
      <c r="LZ76" t="s">
        <v>114</v>
      </c>
      <c r="MA76">
        <v>3.5342159999999998</v>
      </c>
      <c r="MB76">
        <v>4.1058750000000002</v>
      </c>
      <c r="MC76">
        <v>2.2267579999999998</v>
      </c>
      <c r="MD76">
        <v>3.3452009999999999</v>
      </c>
      <c r="ME76">
        <v>4.5095400000000003</v>
      </c>
      <c r="MF76">
        <v>5.6107139999999998</v>
      </c>
      <c r="MG76">
        <v>1.262635</v>
      </c>
      <c r="MH76" t="s">
        <v>114</v>
      </c>
      <c r="MI76">
        <v>6.210661</v>
      </c>
      <c r="MJ76">
        <v>3.2555670000000001</v>
      </c>
      <c r="MK76">
        <v>4.7761889999999996</v>
      </c>
      <c r="ML76" t="s">
        <v>114</v>
      </c>
      <c r="MM76">
        <v>4.4359229999999998</v>
      </c>
      <c r="MN76">
        <v>4.4131349999999996</v>
      </c>
      <c r="MO76">
        <v>5.4855840000000002</v>
      </c>
      <c r="MP76">
        <v>4.7275710000000002</v>
      </c>
      <c r="MQ76">
        <v>1.6164000000000001</v>
      </c>
      <c r="MR76">
        <v>2.4167610000000002</v>
      </c>
      <c r="MS76">
        <v>1.397975</v>
      </c>
      <c r="MT76">
        <v>4.4072389999999997</v>
      </c>
      <c r="MU76">
        <v>2.6927880000000002</v>
      </c>
      <c r="MV76">
        <v>4.1953750000000003</v>
      </c>
      <c r="MW76">
        <v>3.7379099999999998</v>
      </c>
      <c r="MX76" t="s">
        <v>114</v>
      </c>
      <c r="MY76" t="s">
        <v>114</v>
      </c>
      <c r="MZ76">
        <v>3.1075719999999998</v>
      </c>
      <c r="NA76">
        <v>2.890501</v>
      </c>
      <c r="NB76">
        <v>1.2651870000000001</v>
      </c>
      <c r="NC76">
        <v>2.0422570000000002</v>
      </c>
      <c r="ND76">
        <v>4.1336979999999999</v>
      </c>
      <c r="NE76">
        <v>2.135589</v>
      </c>
      <c r="NF76">
        <v>1.440753</v>
      </c>
      <c r="NG76">
        <v>1.5455669999999999</v>
      </c>
      <c r="NH76">
        <v>2.4394260000000001</v>
      </c>
      <c r="NI76">
        <v>1.9764520000000001</v>
      </c>
      <c r="NJ76">
        <v>3.2527740000000001</v>
      </c>
      <c r="NK76">
        <v>1.3031379999999999</v>
      </c>
      <c r="NL76">
        <v>3.8012000000000001</v>
      </c>
      <c r="NM76">
        <v>2.1631469999999999</v>
      </c>
      <c r="NN76">
        <v>1.514472</v>
      </c>
      <c r="NO76">
        <v>3.0145369999999998</v>
      </c>
      <c r="NP76">
        <v>3.7372429999999999</v>
      </c>
      <c r="NQ76" t="s">
        <v>114</v>
      </c>
      <c r="NR76">
        <v>2.6480980000000001</v>
      </c>
      <c r="NS76">
        <v>2.1713450000000001</v>
      </c>
      <c r="NT76">
        <v>2.0201030000000002</v>
      </c>
      <c r="NU76">
        <v>1.9269799999999999</v>
      </c>
      <c r="NV76">
        <v>2.8839000000000001</v>
      </c>
      <c r="NW76">
        <v>2.0970490000000002</v>
      </c>
      <c r="NX76">
        <v>1.7312069999999999</v>
      </c>
      <c r="NY76" t="s">
        <v>114</v>
      </c>
      <c r="NZ76" t="s">
        <v>114</v>
      </c>
      <c r="OA76">
        <v>1.1285130000000001</v>
      </c>
      <c r="OB76">
        <v>2.942742</v>
      </c>
      <c r="OC76">
        <v>2.5162969999999998</v>
      </c>
      <c r="OD76">
        <v>1.3914089999999999</v>
      </c>
      <c r="OE76">
        <v>1.8141910000000001</v>
      </c>
      <c r="OF76">
        <v>1.0900730000000001</v>
      </c>
      <c r="OG76">
        <v>3.6822140000000001</v>
      </c>
      <c r="OH76">
        <v>4.6383210000000004</v>
      </c>
      <c r="OI76" t="s">
        <v>114</v>
      </c>
      <c r="OJ76">
        <v>3.7879640000000001</v>
      </c>
      <c r="OK76">
        <v>3.7780170000000002</v>
      </c>
      <c r="OL76">
        <v>3.092193</v>
      </c>
      <c r="OM76">
        <v>2.1378979999999999</v>
      </c>
      <c r="ON76">
        <v>3.4382139999999999</v>
      </c>
      <c r="OO76" t="s">
        <v>114</v>
      </c>
      <c r="OP76">
        <v>3.4561609999999998</v>
      </c>
      <c r="OQ76" t="s">
        <v>114</v>
      </c>
      <c r="OR76" t="s">
        <v>114</v>
      </c>
      <c r="OS76" t="s">
        <v>114</v>
      </c>
      <c r="OT76" t="s">
        <v>114</v>
      </c>
      <c r="OU76" t="s">
        <v>114</v>
      </c>
      <c r="OV76" t="s">
        <v>114</v>
      </c>
      <c r="OW76" t="s">
        <v>114</v>
      </c>
      <c r="OX76">
        <v>1.1636550000000001</v>
      </c>
      <c r="OY76" t="s">
        <v>114</v>
      </c>
      <c r="OZ76" t="s">
        <v>114</v>
      </c>
      <c r="PA76" t="s">
        <v>114</v>
      </c>
      <c r="PB76">
        <v>3.98915</v>
      </c>
      <c r="PC76">
        <v>4.3040130000000003</v>
      </c>
      <c r="PD76" t="s">
        <v>114</v>
      </c>
      <c r="PE76">
        <v>2.7218580000000001</v>
      </c>
      <c r="PF76">
        <v>1.8669880000000001</v>
      </c>
      <c r="PG76">
        <v>2.9135409999999999</v>
      </c>
      <c r="PH76">
        <v>2.710788</v>
      </c>
      <c r="PI76">
        <v>1.9598690000000001</v>
      </c>
      <c r="PJ76">
        <v>2.2459609999999999</v>
      </c>
      <c r="PK76">
        <v>3.6222219999999998</v>
      </c>
      <c r="PL76" t="s">
        <v>114</v>
      </c>
      <c r="PM76">
        <v>2.688609</v>
      </c>
      <c r="PN76" t="s">
        <v>114</v>
      </c>
      <c r="PO76" t="s">
        <v>114</v>
      </c>
      <c r="PP76">
        <v>1.736642</v>
      </c>
      <c r="PQ76">
        <v>3.0213429999999999</v>
      </c>
      <c r="PR76">
        <v>1.6537489999999999</v>
      </c>
      <c r="PS76">
        <v>4.8071799999999998</v>
      </c>
      <c r="PT76">
        <v>1.675073</v>
      </c>
      <c r="PU76">
        <v>3.9263940000000002</v>
      </c>
      <c r="PV76">
        <v>5.2192179999999997</v>
      </c>
      <c r="PW76">
        <v>4.318676</v>
      </c>
      <c r="PX76">
        <v>4.4501520000000001</v>
      </c>
      <c r="PY76">
        <v>2.4694400000000001</v>
      </c>
      <c r="PZ76">
        <v>5.0199959999999999</v>
      </c>
      <c r="QA76">
        <v>2.345593</v>
      </c>
      <c r="QB76">
        <v>2.2703159999999998</v>
      </c>
      <c r="QC76">
        <v>2.0327890000000002</v>
      </c>
      <c r="QD76">
        <v>2.8011710000000001</v>
      </c>
      <c r="QE76">
        <v>2.0576759999999998</v>
      </c>
      <c r="QF76">
        <v>2.5107270000000002</v>
      </c>
      <c r="QG76">
        <v>4.4825540000000004</v>
      </c>
      <c r="QH76" t="s">
        <v>114</v>
      </c>
      <c r="QI76" t="s">
        <v>114</v>
      </c>
      <c r="QJ76">
        <v>3.5678380000000001</v>
      </c>
      <c r="QK76">
        <v>3.1494599999999999</v>
      </c>
      <c r="QL76">
        <v>1.158215</v>
      </c>
      <c r="QM76">
        <v>2.1883979999999998</v>
      </c>
      <c r="QN76" t="s">
        <v>114</v>
      </c>
      <c r="QO76">
        <v>1.6687240000000001</v>
      </c>
      <c r="QP76">
        <v>2.0368599999999999</v>
      </c>
      <c r="QQ76" t="s">
        <v>114</v>
      </c>
      <c r="QR76" t="s">
        <v>114</v>
      </c>
      <c r="QS76">
        <v>2.4180220000000001</v>
      </c>
      <c r="QT76" t="s">
        <v>114</v>
      </c>
      <c r="QU76" t="s">
        <v>114</v>
      </c>
      <c r="QV76">
        <v>3.4071609999999999</v>
      </c>
      <c r="QW76">
        <v>3.7971460000000001</v>
      </c>
      <c r="QX76">
        <v>1.6542829999999999</v>
      </c>
      <c r="QY76">
        <v>2.2116910000000001</v>
      </c>
      <c r="QZ76">
        <v>3.9581819999999999</v>
      </c>
      <c r="RA76">
        <v>4.5144729999999997</v>
      </c>
      <c r="RB76">
        <v>5.231039</v>
      </c>
      <c r="RC76">
        <v>2.0587149999999999</v>
      </c>
      <c r="RD76">
        <v>1.769242</v>
      </c>
      <c r="RE76">
        <v>3.9651049999999999</v>
      </c>
      <c r="RF76">
        <v>2.9655990000000001</v>
      </c>
      <c r="RG76">
        <v>3.2897409999999998</v>
      </c>
      <c r="RH76">
        <v>1.82602</v>
      </c>
      <c r="RI76">
        <v>2.1648770000000002</v>
      </c>
      <c r="RJ76">
        <v>4.9507339999999997</v>
      </c>
      <c r="RK76">
        <v>2.5791710000000001</v>
      </c>
      <c r="RL76">
        <v>2.6806830000000001</v>
      </c>
      <c r="RM76">
        <v>4.8936900000000003</v>
      </c>
      <c r="RN76">
        <v>1.28</v>
      </c>
      <c r="RO76">
        <v>4.2747640000000002</v>
      </c>
      <c r="RP76" t="s">
        <v>114</v>
      </c>
      <c r="RQ76">
        <v>3.307709</v>
      </c>
      <c r="RR76">
        <v>2.1438480000000002</v>
      </c>
      <c r="RS76">
        <v>1.832406</v>
      </c>
      <c r="RT76">
        <v>4.2114609999999999</v>
      </c>
      <c r="RU76">
        <v>1.6009930000000001</v>
      </c>
      <c r="RV76">
        <v>4.2963519999999997</v>
      </c>
      <c r="RW76">
        <v>3.410876</v>
      </c>
      <c r="RX76">
        <v>1.046564</v>
      </c>
      <c r="RY76">
        <v>4.6210529999999999</v>
      </c>
      <c r="RZ76">
        <v>3.1019760000000001</v>
      </c>
      <c r="SA76">
        <v>1.5556270000000001</v>
      </c>
      <c r="SB76">
        <v>1.4949030000000001</v>
      </c>
      <c r="SC76">
        <v>2.3766660000000002</v>
      </c>
      <c r="SD76">
        <v>2.7263510000000002</v>
      </c>
      <c r="SE76">
        <v>3.6564619999999999</v>
      </c>
      <c r="SF76">
        <v>2.3249749999999998</v>
      </c>
      <c r="SG76">
        <v>3.1068280000000001</v>
      </c>
      <c r="SH76">
        <v>2.1765629999999998</v>
      </c>
      <c r="SI76">
        <v>3.959276</v>
      </c>
      <c r="SJ76">
        <v>1.2276480000000001</v>
      </c>
      <c r="SK76" t="s">
        <v>114</v>
      </c>
      <c r="SL76">
        <v>0.92154999999999998</v>
      </c>
      <c r="SM76">
        <v>1.125432</v>
      </c>
      <c r="SN76">
        <v>3.5445890000000002</v>
      </c>
      <c r="SO76" t="s">
        <v>114</v>
      </c>
      <c r="SP76">
        <v>1.748515</v>
      </c>
      <c r="SQ76">
        <v>0.98811099999999996</v>
      </c>
      <c r="SR76">
        <v>2.7723629999999999</v>
      </c>
      <c r="SS76">
        <v>3.1132520000000001</v>
      </c>
      <c r="ST76">
        <v>1.768454</v>
      </c>
      <c r="SU76">
        <v>4.5517370000000001</v>
      </c>
      <c r="SV76">
        <v>1.207276</v>
      </c>
      <c r="SW76">
        <v>4.4335420000000001</v>
      </c>
      <c r="SX76" t="s">
        <v>114</v>
      </c>
      <c r="SY76">
        <v>2.4397509999999998</v>
      </c>
      <c r="SZ76">
        <v>2.3425630000000002</v>
      </c>
      <c r="TA76">
        <v>4.976216</v>
      </c>
      <c r="TB76">
        <v>2.2218909999999998</v>
      </c>
      <c r="TC76">
        <v>4.6590590000000001</v>
      </c>
      <c r="TD76">
        <v>4.6710560000000001</v>
      </c>
      <c r="TE76">
        <v>3.334266</v>
      </c>
      <c r="TF76">
        <v>2.5077780000000001</v>
      </c>
      <c r="TG76">
        <v>2.105782</v>
      </c>
      <c r="TH76">
        <v>3.172682</v>
      </c>
      <c r="TI76">
        <v>2.3691499999999999</v>
      </c>
      <c r="TJ76" t="s">
        <v>114</v>
      </c>
      <c r="TK76">
        <v>2.21617</v>
      </c>
      <c r="TL76" t="s">
        <v>114</v>
      </c>
      <c r="TM76" t="s">
        <v>114</v>
      </c>
      <c r="TN76">
        <v>3.8005059999999999</v>
      </c>
      <c r="TO76" t="s">
        <v>114</v>
      </c>
      <c r="TP76">
        <v>2.1098750000000002</v>
      </c>
      <c r="TQ76">
        <v>2.7348750000000002</v>
      </c>
      <c r="TR76">
        <v>1.5903400000000001</v>
      </c>
      <c r="TS76">
        <v>1.734559</v>
      </c>
      <c r="TT76">
        <v>1.10541</v>
      </c>
      <c r="TU76" t="s">
        <v>114</v>
      </c>
      <c r="TV76">
        <v>2.1936909999999998</v>
      </c>
      <c r="TW76">
        <v>1.817366</v>
      </c>
      <c r="TX76">
        <v>4.622223</v>
      </c>
      <c r="TY76" t="s">
        <v>114</v>
      </c>
      <c r="TZ76">
        <v>4.9739190000000004</v>
      </c>
      <c r="UA76">
        <v>5.2330120000000004</v>
      </c>
      <c r="UB76">
        <v>4.0142040000000003</v>
      </c>
      <c r="UC76" t="s">
        <v>114</v>
      </c>
      <c r="UD76">
        <v>3.6345149999999999</v>
      </c>
      <c r="UE76">
        <v>4.8184480000000001</v>
      </c>
      <c r="UF76">
        <v>3.0896620000000001</v>
      </c>
      <c r="UG76">
        <v>2.5355270000000001</v>
      </c>
      <c r="UH76" t="s">
        <v>114</v>
      </c>
      <c r="UI76">
        <v>5.0269700000000004</v>
      </c>
      <c r="UJ76">
        <v>3.7632210000000001</v>
      </c>
      <c r="UK76">
        <v>2.4686360000000001</v>
      </c>
      <c r="UL76">
        <v>4.765339</v>
      </c>
      <c r="UM76" t="s">
        <v>114</v>
      </c>
      <c r="UN76" t="s">
        <v>114</v>
      </c>
      <c r="UO76" t="s">
        <v>114</v>
      </c>
      <c r="UP76">
        <v>4.0916090000000001</v>
      </c>
      <c r="UQ76" t="s">
        <v>114</v>
      </c>
      <c r="UR76">
        <v>5.3536809999999999</v>
      </c>
      <c r="US76">
        <v>4.7308430000000001</v>
      </c>
      <c r="UT76">
        <v>2.5710549999999999</v>
      </c>
      <c r="UU76">
        <v>4.3037020000000004</v>
      </c>
      <c r="UV76">
        <v>3.3757429999999999</v>
      </c>
      <c r="UW76" t="s">
        <v>114</v>
      </c>
      <c r="UX76">
        <v>5.7705260000000003</v>
      </c>
      <c r="UY76">
        <v>4.7326810000000004</v>
      </c>
      <c r="UZ76" t="s">
        <v>114</v>
      </c>
      <c r="VA76">
        <v>5.4967430000000004</v>
      </c>
      <c r="VB76">
        <v>1.482971</v>
      </c>
      <c r="VC76" t="s">
        <v>114</v>
      </c>
      <c r="VD76">
        <v>1.4711799999999999</v>
      </c>
      <c r="VE76">
        <v>3.7498330000000002</v>
      </c>
      <c r="VF76">
        <v>5.2156279999999997</v>
      </c>
      <c r="VG76">
        <v>2.1835909999999998</v>
      </c>
      <c r="VH76">
        <v>3.8241670000000001</v>
      </c>
      <c r="VI76" t="s">
        <v>114</v>
      </c>
      <c r="VJ76" t="s">
        <v>114</v>
      </c>
      <c r="VK76" t="s">
        <v>114</v>
      </c>
      <c r="VL76" t="s">
        <v>114</v>
      </c>
      <c r="VM76" t="s">
        <v>114</v>
      </c>
      <c r="VN76">
        <v>1.134425</v>
      </c>
      <c r="VO76">
        <v>5.349602</v>
      </c>
      <c r="VP76">
        <v>3.6358769999999998</v>
      </c>
      <c r="VQ76">
        <v>2.7604899999999999</v>
      </c>
      <c r="VR76">
        <v>2.3462149999999999</v>
      </c>
      <c r="VS76">
        <v>2.4087390000000002</v>
      </c>
      <c r="VT76" t="s">
        <v>114</v>
      </c>
      <c r="VU76">
        <v>2.2076020000000001</v>
      </c>
      <c r="VV76" t="s">
        <v>114</v>
      </c>
      <c r="VW76" t="s">
        <v>114</v>
      </c>
      <c r="VX76" t="s">
        <v>114</v>
      </c>
      <c r="VY76">
        <v>4.8201970000000003</v>
      </c>
      <c r="VZ76">
        <v>4.1633329999999997</v>
      </c>
      <c r="WA76" t="s">
        <v>114</v>
      </c>
      <c r="WB76" t="s">
        <v>114</v>
      </c>
      <c r="WC76" t="s">
        <v>114</v>
      </c>
      <c r="WD76">
        <v>1.7474670000000001</v>
      </c>
      <c r="WE76">
        <v>2.4040849999999998</v>
      </c>
      <c r="WF76">
        <v>2.9178380000000002</v>
      </c>
      <c r="WG76">
        <v>2.2047569999999999</v>
      </c>
      <c r="WH76" t="s">
        <v>114</v>
      </c>
      <c r="WI76">
        <v>2.6960679999999999</v>
      </c>
      <c r="WJ76">
        <v>1.618101</v>
      </c>
      <c r="WK76">
        <v>3.7422759999999999</v>
      </c>
      <c r="WL76" t="s">
        <v>114</v>
      </c>
      <c r="WM76">
        <v>2.1080930000000002</v>
      </c>
      <c r="WN76">
        <v>4.0242360000000001</v>
      </c>
      <c r="WO76">
        <v>1.5046090000000001</v>
      </c>
      <c r="WP76">
        <v>3.1016469999999998</v>
      </c>
      <c r="WQ76">
        <v>3.703236</v>
      </c>
      <c r="WR76" t="s">
        <v>114</v>
      </c>
      <c r="WS76">
        <v>4.2317850000000004</v>
      </c>
      <c r="WT76" t="s">
        <v>114</v>
      </c>
      <c r="WU76">
        <v>1.0025820000000001</v>
      </c>
      <c r="WV76" t="s">
        <v>114</v>
      </c>
      <c r="WW76">
        <v>2.0033289999999999</v>
      </c>
      <c r="WX76">
        <v>1.4823519999999999</v>
      </c>
      <c r="WY76" t="s">
        <v>114</v>
      </c>
      <c r="WZ76">
        <v>1.2436769999999999</v>
      </c>
      <c r="XA76">
        <v>1.8823220000000001</v>
      </c>
      <c r="XB76" t="s">
        <v>114</v>
      </c>
      <c r="XC76">
        <v>1.5707439999999999</v>
      </c>
      <c r="XD76">
        <v>1.2811870000000001</v>
      </c>
      <c r="XE76">
        <v>2.635948</v>
      </c>
      <c r="XF76" t="s">
        <v>114</v>
      </c>
      <c r="XG76">
        <v>2.6353930000000001</v>
      </c>
      <c r="XH76">
        <v>4.0433729999999999</v>
      </c>
      <c r="XI76">
        <v>1.056111</v>
      </c>
      <c r="XJ76">
        <v>1.477258</v>
      </c>
      <c r="XK76">
        <v>2.8873470000000001</v>
      </c>
      <c r="XL76">
        <v>1.898485</v>
      </c>
      <c r="XM76">
        <v>4.0951019999999998</v>
      </c>
      <c r="XN76">
        <v>3.0860159999999999</v>
      </c>
      <c r="XO76">
        <v>1.1470659999999999</v>
      </c>
      <c r="XP76">
        <v>0.88497300000000001</v>
      </c>
      <c r="XQ76" t="s">
        <v>114</v>
      </c>
      <c r="XR76">
        <v>2.15326</v>
      </c>
      <c r="XS76">
        <v>2.6831830000000001</v>
      </c>
      <c r="XT76">
        <v>5.349901</v>
      </c>
      <c r="XU76" t="s">
        <v>114</v>
      </c>
      <c r="XV76" t="s">
        <v>114</v>
      </c>
      <c r="XW76" t="s">
        <v>114</v>
      </c>
      <c r="XX76">
        <v>2.3423989999999999</v>
      </c>
      <c r="XY76">
        <v>2.4392610000000001</v>
      </c>
      <c r="XZ76">
        <v>1.885267</v>
      </c>
      <c r="YA76">
        <v>1.5277700000000001</v>
      </c>
      <c r="YB76">
        <v>2.4021460000000001</v>
      </c>
      <c r="YC76">
        <v>4.2784709999999997</v>
      </c>
      <c r="YD76" t="s">
        <v>114</v>
      </c>
      <c r="YE76">
        <v>2.59267</v>
      </c>
      <c r="YF76" t="s">
        <v>114</v>
      </c>
      <c r="YG76">
        <v>5.3054540000000001</v>
      </c>
      <c r="YH76" t="s">
        <v>114</v>
      </c>
      <c r="YI76" t="s">
        <v>114</v>
      </c>
      <c r="YJ76">
        <v>4.3029719999999996</v>
      </c>
      <c r="YK76">
        <v>4.3406500000000001</v>
      </c>
      <c r="YL76">
        <v>3.5758049999999999</v>
      </c>
      <c r="YM76">
        <v>2.7625220000000001</v>
      </c>
      <c r="YN76" t="s">
        <v>114</v>
      </c>
      <c r="YO76" t="s">
        <v>114</v>
      </c>
      <c r="YP76" t="s">
        <v>114</v>
      </c>
      <c r="YQ76">
        <v>3.635818</v>
      </c>
      <c r="YR76">
        <v>3.239833</v>
      </c>
      <c r="YS76">
        <v>2.9544540000000001</v>
      </c>
      <c r="YT76" t="s">
        <v>114</v>
      </c>
      <c r="YU76">
        <v>3.6513490000000002</v>
      </c>
      <c r="YV76">
        <v>4.8945559999999997</v>
      </c>
      <c r="YW76" t="s">
        <v>114</v>
      </c>
      <c r="YX76">
        <v>1.1006359999999999</v>
      </c>
      <c r="YY76">
        <v>1.2541640000000001</v>
      </c>
      <c r="YZ76">
        <v>2.1862650000000001</v>
      </c>
      <c r="ZA76">
        <v>3.5026449999999998</v>
      </c>
      <c r="ZB76">
        <v>1.825169</v>
      </c>
      <c r="ZC76">
        <v>2.9271579999999999</v>
      </c>
      <c r="ZD76">
        <v>3.7739630000000002</v>
      </c>
      <c r="ZE76">
        <v>4.0417920000000001</v>
      </c>
      <c r="ZF76">
        <v>1.121575</v>
      </c>
      <c r="ZG76">
        <v>2.237819</v>
      </c>
      <c r="ZH76">
        <v>1.8163499999999999</v>
      </c>
      <c r="ZI76">
        <v>1.624131</v>
      </c>
      <c r="ZJ76">
        <v>1.8062929999999999</v>
      </c>
      <c r="ZK76" t="s">
        <v>114</v>
      </c>
      <c r="ZL76">
        <v>2.024969</v>
      </c>
      <c r="ZM76">
        <v>1.8454459999999999</v>
      </c>
      <c r="ZN76">
        <v>1.8503430000000001</v>
      </c>
      <c r="ZO76">
        <v>1.677643</v>
      </c>
      <c r="ZP76" t="s">
        <v>114</v>
      </c>
      <c r="ZQ76" t="s">
        <v>114</v>
      </c>
      <c r="ZR76" t="s">
        <v>114</v>
      </c>
      <c r="ZS76" t="s">
        <v>114</v>
      </c>
      <c r="ZT76" t="s">
        <v>114</v>
      </c>
      <c r="ZU76" t="s">
        <v>114</v>
      </c>
      <c r="ZV76">
        <v>3.0145089999999999</v>
      </c>
      <c r="ZW76" t="s">
        <v>114</v>
      </c>
      <c r="ZX76">
        <v>1.525299</v>
      </c>
      <c r="ZY76">
        <v>2.2418870000000002</v>
      </c>
      <c r="ZZ76">
        <v>3.8620480000000001</v>
      </c>
      <c r="AAA76">
        <v>2.956458</v>
      </c>
      <c r="AAB76">
        <v>1.9707699999999999</v>
      </c>
      <c r="AAC76">
        <v>1.699743</v>
      </c>
      <c r="AAD76">
        <v>3.9755240000000001</v>
      </c>
      <c r="AAE76">
        <v>1.8151790000000001</v>
      </c>
      <c r="AAF76">
        <v>1.437411</v>
      </c>
      <c r="AAG76">
        <v>1.707703</v>
      </c>
      <c r="AAH76" t="s">
        <v>114</v>
      </c>
      <c r="AAI76">
        <v>1.616822</v>
      </c>
      <c r="AAJ76">
        <v>1.3114110000000001</v>
      </c>
      <c r="AAK76" t="s">
        <v>114</v>
      </c>
      <c r="AAL76" t="s">
        <v>114</v>
      </c>
      <c r="AAM76">
        <v>2.2664879999999998</v>
      </c>
      <c r="AAN76">
        <v>3.269625</v>
      </c>
      <c r="AAO76">
        <v>1.7049270000000001</v>
      </c>
      <c r="AAP76" t="s">
        <v>114</v>
      </c>
      <c r="AAQ76">
        <v>2.194353</v>
      </c>
      <c r="AAR76">
        <v>2.168482</v>
      </c>
      <c r="AAS76" t="s">
        <v>114</v>
      </c>
      <c r="AAT76">
        <v>1.1670849999999999</v>
      </c>
      <c r="AAU76">
        <v>1.4103950000000001</v>
      </c>
      <c r="AAV76">
        <v>1.2290840000000001</v>
      </c>
      <c r="AAW76">
        <v>2.5832229999999998</v>
      </c>
      <c r="AAX76" t="s">
        <v>114</v>
      </c>
      <c r="AAY76" t="s">
        <v>114</v>
      </c>
      <c r="AAZ76" t="s">
        <v>114</v>
      </c>
      <c r="ABA76">
        <v>4.6454839999999997</v>
      </c>
      <c r="ABB76">
        <v>2.3847049999999999</v>
      </c>
      <c r="ABC76">
        <v>4.8955469999999996</v>
      </c>
      <c r="ABD76" t="s">
        <v>114</v>
      </c>
      <c r="ABE76">
        <v>2.5503550000000001</v>
      </c>
      <c r="ABF76" t="s">
        <v>114</v>
      </c>
      <c r="ABG76">
        <v>3.9649459999999999</v>
      </c>
      <c r="ABH76">
        <v>3.7223480000000002</v>
      </c>
      <c r="ABI76" t="s">
        <v>114</v>
      </c>
      <c r="ABJ76">
        <v>1.857925</v>
      </c>
      <c r="ABK76">
        <v>3.4010220000000002</v>
      </c>
      <c r="ABL76" t="s">
        <v>114</v>
      </c>
      <c r="ABM76">
        <v>3.37805</v>
      </c>
      <c r="ABN76" t="s">
        <v>114</v>
      </c>
      <c r="ABO76" t="s">
        <v>114</v>
      </c>
      <c r="ABP76">
        <v>1.1238109999999999</v>
      </c>
      <c r="ABQ76" t="s">
        <v>114</v>
      </c>
      <c r="ABR76">
        <v>2.269774</v>
      </c>
      <c r="ABS76">
        <v>3.9070589999999998</v>
      </c>
      <c r="ABT76" t="s">
        <v>114</v>
      </c>
      <c r="ABU76" t="s">
        <v>114</v>
      </c>
      <c r="ABV76" t="s">
        <v>114</v>
      </c>
      <c r="ABW76" t="s">
        <v>114</v>
      </c>
      <c r="ABX76">
        <v>1.307534</v>
      </c>
      <c r="ABY76" t="s">
        <v>114</v>
      </c>
      <c r="ABZ76">
        <v>4.053553</v>
      </c>
      <c r="ACA76">
        <v>3.0247039999999998</v>
      </c>
      <c r="ACB76">
        <v>0.85599700000000001</v>
      </c>
      <c r="ACC76">
        <v>2.5845669999999998</v>
      </c>
      <c r="ACD76" t="s">
        <v>114</v>
      </c>
      <c r="ACE76">
        <v>0.98389499999999996</v>
      </c>
      <c r="ACF76" t="s">
        <v>114</v>
      </c>
      <c r="ACG76" t="s">
        <v>114</v>
      </c>
      <c r="ACH76" t="s">
        <v>114</v>
      </c>
      <c r="ACI76" t="s">
        <v>114</v>
      </c>
      <c r="ACJ76" t="s">
        <v>114</v>
      </c>
      <c r="ACK76">
        <v>3.212796</v>
      </c>
      <c r="ACL76">
        <v>3.067294</v>
      </c>
      <c r="ACM76" t="s">
        <v>114</v>
      </c>
      <c r="ACN76">
        <v>1.641534</v>
      </c>
      <c r="ACO76">
        <v>2.9306070000000002</v>
      </c>
    </row>
    <row r="77" spans="1:769" x14ac:dyDescent="0.25">
      <c r="A77" t="s">
        <v>83</v>
      </c>
    </row>
    <row r="78" spans="1:769" x14ac:dyDescent="0.25">
      <c r="A78" t="s">
        <v>84</v>
      </c>
      <c r="B78">
        <v>0</v>
      </c>
      <c r="C78">
        <v>0</v>
      </c>
      <c r="D78">
        <v>151</v>
      </c>
      <c r="E78">
        <v>0</v>
      </c>
      <c r="F78">
        <v>137</v>
      </c>
      <c r="G78">
        <v>143</v>
      </c>
      <c r="H78">
        <v>65</v>
      </c>
      <c r="I78">
        <v>26</v>
      </c>
      <c r="J78">
        <v>0</v>
      </c>
      <c r="K78">
        <v>32</v>
      </c>
      <c r="L78">
        <v>0</v>
      </c>
      <c r="M78">
        <v>119</v>
      </c>
      <c r="N78">
        <v>0</v>
      </c>
      <c r="O78">
        <v>115</v>
      </c>
      <c r="P78">
        <v>64</v>
      </c>
      <c r="Q78">
        <v>0</v>
      </c>
      <c r="R78">
        <v>7</v>
      </c>
      <c r="S78">
        <v>5</v>
      </c>
      <c r="T78">
        <v>19</v>
      </c>
      <c r="U78">
        <v>128</v>
      </c>
      <c r="V78">
        <v>36</v>
      </c>
      <c r="W78">
        <v>0</v>
      </c>
      <c r="X78">
        <v>89</v>
      </c>
      <c r="Y78">
        <v>14</v>
      </c>
      <c r="Z78">
        <v>0</v>
      </c>
      <c r="AA78">
        <v>135</v>
      </c>
      <c r="AB78">
        <v>104</v>
      </c>
      <c r="AC78">
        <v>109</v>
      </c>
      <c r="AD78">
        <v>0</v>
      </c>
      <c r="AE78">
        <v>139</v>
      </c>
      <c r="AF78">
        <v>9</v>
      </c>
      <c r="AG78">
        <v>59</v>
      </c>
      <c r="AH78">
        <v>26</v>
      </c>
      <c r="AI78">
        <v>100</v>
      </c>
      <c r="AJ78">
        <v>136</v>
      </c>
      <c r="AK78">
        <v>32</v>
      </c>
      <c r="AL78">
        <v>130</v>
      </c>
      <c r="AM78">
        <v>26</v>
      </c>
      <c r="AN78">
        <v>81</v>
      </c>
      <c r="AO78">
        <v>135</v>
      </c>
      <c r="AP78">
        <v>73</v>
      </c>
      <c r="AQ78">
        <v>25</v>
      </c>
      <c r="AR78">
        <v>137</v>
      </c>
      <c r="AS78">
        <v>115</v>
      </c>
      <c r="AT78">
        <v>1</v>
      </c>
      <c r="AU78">
        <v>37</v>
      </c>
      <c r="AV78">
        <v>2</v>
      </c>
      <c r="AW78">
        <v>123</v>
      </c>
      <c r="AX78">
        <v>131</v>
      </c>
      <c r="AY78">
        <v>13</v>
      </c>
      <c r="AZ78">
        <v>103</v>
      </c>
      <c r="BA78">
        <v>119</v>
      </c>
      <c r="BB78">
        <v>11</v>
      </c>
      <c r="BC78">
        <v>0</v>
      </c>
      <c r="BD78">
        <v>58</v>
      </c>
      <c r="BE78">
        <v>138</v>
      </c>
      <c r="BF78">
        <v>120</v>
      </c>
      <c r="BG78">
        <v>48</v>
      </c>
      <c r="BH78">
        <v>24</v>
      </c>
      <c r="BI78">
        <v>78</v>
      </c>
      <c r="BJ78">
        <v>124</v>
      </c>
      <c r="BK78">
        <v>90</v>
      </c>
      <c r="BL78">
        <v>8</v>
      </c>
      <c r="BM78">
        <v>128</v>
      </c>
      <c r="BN78">
        <v>3</v>
      </c>
      <c r="BO78">
        <v>0</v>
      </c>
      <c r="BP78">
        <v>46</v>
      </c>
      <c r="BQ78">
        <v>67</v>
      </c>
      <c r="BR78">
        <v>0</v>
      </c>
      <c r="BS78">
        <v>73</v>
      </c>
      <c r="BT78">
        <v>41</v>
      </c>
      <c r="BU78">
        <v>0</v>
      </c>
      <c r="BV78">
        <v>37</v>
      </c>
      <c r="BW78">
        <v>66</v>
      </c>
      <c r="BX78">
        <v>1</v>
      </c>
      <c r="BY78">
        <v>3</v>
      </c>
      <c r="BZ78">
        <v>54</v>
      </c>
      <c r="CA78">
        <v>8</v>
      </c>
      <c r="CB78">
        <v>1</v>
      </c>
      <c r="CC78">
        <v>43</v>
      </c>
      <c r="CD78">
        <v>27</v>
      </c>
      <c r="CE78">
        <v>42</v>
      </c>
      <c r="CF78">
        <v>27</v>
      </c>
      <c r="CG78">
        <v>64</v>
      </c>
      <c r="CH78">
        <v>0</v>
      </c>
      <c r="CI78">
        <v>53</v>
      </c>
      <c r="CJ78">
        <v>86</v>
      </c>
      <c r="CK78">
        <v>3</v>
      </c>
      <c r="CL78">
        <v>78</v>
      </c>
      <c r="CM78">
        <v>56</v>
      </c>
      <c r="CN78">
        <v>10</v>
      </c>
      <c r="CO78">
        <v>63</v>
      </c>
      <c r="CP78">
        <v>85</v>
      </c>
      <c r="CQ78">
        <v>44</v>
      </c>
      <c r="CR78">
        <v>68</v>
      </c>
      <c r="CS78">
        <v>51</v>
      </c>
      <c r="CT78">
        <v>0</v>
      </c>
      <c r="CU78">
        <v>63</v>
      </c>
      <c r="CV78">
        <v>66</v>
      </c>
      <c r="CW78">
        <v>51</v>
      </c>
      <c r="CX78">
        <v>64</v>
      </c>
      <c r="CY78">
        <v>42</v>
      </c>
      <c r="CZ78">
        <v>64</v>
      </c>
      <c r="DA78">
        <v>2</v>
      </c>
      <c r="DB78">
        <v>61</v>
      </c>
      <c r="DC78">
        <v>64</v>
      </c>
      <c r="DD78">
        <v>62</v>
      </c>
      <c r="DE78">
        <v>40</v>
      </c>
      <c r="DF78">
        <v>65</v>
      </c>
      <c r="DG78">
        <v>52</v>
      </c>
      <c r="DH78">
        <v>59</v>
      </c>
      <c r="DI78">
        <v>66</v>
      </c>
      <c r="DJ78">
        <v>56</v>
      </c>
      <c r="DK78">
        <v>4</v>
      </c>
      <c r="DL78">
        <v>106</v>
      </c>
      <c r="DM78">
        <v>89</v>
      </c>
      <c r="DN78">
        <v>25</v>
      </c>
      <c r="DO78">
        <v>79</v>
      </c>
      <c r="DP78">
        <v>65</v>
      </c>
      <c r="DQ78">
        <v>95</v>
      </c>
      <c r="DR78">
        <v>103</v>
      </c>
      <c r="DS78">
        <v>141</v>
      </c>
      <c r="DT78">
        <v>3</v>
      </c>
      <c r="DU78">
        <v>92</v>
      </c>
      <c r="DV78">
        <v>0</v>
      </c>
      <c r="DW78">
        <v>0</v>
      </c>
      <c r="DX78">
        <v>88</v>
      </c>
      <c r="DY78">
        <v>70</v>
      </c>
      <c r="DZ78">
        <v>69</v>
      </c>
      <c r="EA78">
        <v>155</v>
      </c>
      <c r="EB78">
        <v>0</v>
      </c>
      <c r="EC78">
        <v>4</v>
      </c>
      <c r="ED78">
        <v>0</v>
      </c>
      <c r="EE78">
        <v>42</v>
      </c>
      <c r="EF78">
        <v>73</v>
      </c>
      <c r="EG78">
        <v>140</v>
      </c>
      <c r="EH78">
        <v>3</v>
      </c>
      <c r="EI78">
        <v>136</v>
      </c>
      <c r="EJ78">
        <v>10</v>
      </c>
      <c r="EK78">
        <v>9</v>
      </c>
      <c r="EL78">
        <v>56</v>
      </c>
      <c r="EM78">
        <v>115</v>
      </c>
      <c r="EN78">
        <v>7</v>
      </c>
      <c r="EO78">
        <v>0</v>
      </c>
      <c r="EP78">
        <v>59</v>
      </c>
      <c r="EQ78">
        <v>57</v>
      </c>
      <c r="ER78">
        <v>55</v>
      </c>
      <c r="ES78">
        <v>22</v>
      </c>
      <c r="ET78">
        <v>9</v>
      </c>
      <c r="EU78">
        <v>65</v>
      </c>
      <c r="EV78">
        <v>0</v>
      </c>
      <c r="EW78">
        <v>18</v>
      </c>
      <c r="EX78">
        <v>41</v>
      </c>
      <c r="EY78">
        <v>4</v>
      </c>
      <c r="EZ78">
        <v>12</v>
      </c>
      <c r="FA78">
        <v>70</v>
      </c>
      <c r="FB78">
        <v>0</v>
      </c>
      <c r="FC78">
        <v>22</v>
      </c>
      <c r="FD78">
        <v>0</v>
      </c>
      <c r="FE78">
        <v>0</v>
      </c>
      <c r="FF78">
        <v>47</v>
      </c>
      <c r="FG78">
        <v>51</v>
      </c>
      <c r="FH78">
        <v>55</v>
      </c>
      <c r="FI78">
        <v>5</v>
      </c>
      <c r="FJ78">
        <v>41</v>
      </c>
      <c r="FK78">
        <v>46</v>
      </c>
      <c r="FL78">
        <v>52</v>
      </c>
      <c r="FM78">
        <v>39</v>
      </c>
      <c r="FN78">
        <v>0</v>
      </c>
      <c r="FO78">
        <v>0</v>
      </c>
      <c r="FP78">
        <v>53</v>
      </c>
      <c r="FQ78">
        <v>21</v>
      </c>
      <c r="FR78">
        <v>54</v>
      </c>
      <c r="FS78">
        <v>56</v>
      </c>
      <c r="FT78">
        <v>20</v>
      </c>
      <c r="FU78">
        <v>40</v>
      </c>
      <c r="FV78">
        <v>76</v>
      </c>
      <c r="FW78">
        <v>51</v>
      </c>
      <c r="FX78">
        <v>65</v>
      </c>
      <c r="FY78">
        <v>52</v>
      </c>
      <c r="FZ78">
        <v>95</v>
      </c>
      <c r="GA78">
        <v>51</v>
      </c>
      <c r="GB78">
        <v>15</v>
      </c>
      <c r="GC78">
        <v>60</v>
      </c>
      <c r="GD78">
        <v>110</v>
      </c>
      <c r="GE78">
        <v>107</v>
      </c>
      <c r="GF78">
        <v>21</v>
      </c>
      <c r="GG78">
        <v>11</v>
      </c>
      <c r="GH78">
        <v>78</v>
      </c>
      <c r="GI78">
        <v>0</v>
      </c>
      <c r="GJ78">
        <v>41</v>
      </c>
      <c r="GK78">
        <v>44</v>
      </c>
      <c r="GL78">
        <v>1</v>
      </c>
      <c r="GM78">
        <v>0</v>
      </c>
      <c r="GN78">
        <v>27</v>
      </c>
      <c r="GO78">
        <v>0</v>
      </c>
      <c r="GP78">
        <v>83</v>
      </c>
      <c r="GQ78">
        <v>82</v>
      </c>
      <c r="GR78">
        <v>41</v>
      </c>
      <c r="GS78">
        <v>4</v>
      </c>
      <c r="GT78">
        <v>52</v>
      </c>
      <c r="GU78">
        <v>0</v>
      </c>
      <c r="GV78">
        <v>27</v>
      </c>
      <c r="GW78">
        <v>0</v>
      </c>
      <c r="GX78">
        <v>58</v>
      </c>
      <c r="GY78">
        <v>36</v>
      </c>
      <c r="GZ78">
        <v>86</v>
      </c>
      <c r="HA78">
        <v>39</v>
      </c>
      <c r="HB78">
        <v>72</v>
      </c>
      <c r="HC78">
        <v>35</v>
      </c>
      <c r="HD78">
        <v>58</v>
      </c>
      <c r="HE78">
        <v>4</v>
      </c>
      <c r="HF78">
        <v>0</v>
      </c>
      <c r="HG78">
        <v>89</v>
      </c>
      <c r="HH78">
        <v>85</v>
      </c>
      <c r="HI78">
        <v>36</v>
      </c>
      <c r="HJ78">
        <v>86</v>
      </c>
      <c r="HK78">
        <v>38</v>
      </c>
      <c r="HL78">
        <v>39</v>
      </c>
      <c r="HM78">
        <v>2</v>
      </c>
      <c r="HN78">
        <v>31</v>
      </c>
      <c r="HO78">
        <v>90</v>
      </c>
      <c r="HP78">
        <v>1</v>
      </c>
      <c r="HQ78">
        <v>36</v>
      </c>
      <c r="HR78">
        <v>13</v>
      </c>
      <c r="HS78">
        <v>2</v>
      </c>
      <c r="HT78">
        <v>108</v>
      </c>
      <c r="HU78">
        <v>80</v>
      </c>
      <c r="HV78">
        <v>0</v>
      </c>
      <c r="HW78">
        <v>0</v>
      </c>
      <c r="HX78">
        <v>105</v>
      </c>
      <c r="HY78">
        <v>119</v>
      </c>
      <c r="HZ78">
        <v>64</v>
      </c>
      <c r="IA78">
        <v>5</v>
      </c>
      <c r="IB78">
        <v>0</v>
      </c>
      <c r="IC78">
        <v>0</v>
      </c>
      <c r="ID78">
        <v>0</v>
      </c>
      <c r="IE78">
        <v>113</v>
      </c>
      <c r="IF78">
        <v>43</v>
      </c>
      <c r="IG78">
        <v>0</v>
      </c>
      <c r="IH78">
        <v>62</v>
      </c>
      <c r="II78">
        <v>0</v>
      </c>
      <c r="IJ78">
        <v>130</v>
      </c>
      <c r="IK78">
        <v>0</v>
      </c>
      <c r="IL78">
        <v>0</v>
      </c>
      <c r="IM78">
        <v>0</v>
      </c>
      <c r="IN78">
        <v>133</v>
      </c>
      <c r="IO78">
        <v>129</v>
      </c>
      <c r="IP78">
        <v>134</v>
      </c>
      <c r="IQ78">
        <v>0</v>
      </c>
      <c r="IR78">
        <v>135</v>
      </c>
      <c r="IS78">
        <v>133</v>
      </c>
      <c r="IT78">
        <v>26</v>
      </c>
      <c r="IU78">
        <v>7</v>
      </c>
      <c r="IV78">
        <v>24</v>
      </c>
      <c r="IW78">
        <v>6</v>
      </c>
      <c r="IX78">
        <v>46</v>
      </c>
      <c r="IY78">
        <v>148</v>
      </c>
      <c r="IZ78">
        <v>49</v>
      </c>
      <c r="JA78">
        <v>61</v>
      </c>
      <c r="JB78">
        <v>1</v>
      </c>
      <c r="JC78">
        <v>13</v>
      </c>
      <c r="JD78">
        <v>124</v>
      </c>
      <c r="JE78">
        <v>3</v>
      </c>
      <c r="JF78">
        <v>1</v>
      </c>
      <c r="JG78">
        <v>141</v>
      </c>
      <c r="JH78">
        <v>8</v>
      </c>
      <c r="JI78">
        <v>1</v>
      </c>
      <c r="JJ78">
        <v>0</v>
      </c>
      <c r="JK78">
        <v>9</v>
      </c>
      <c r="JL78">
        <v>140</v>
      </c>
      <c r="JM78">
        <v>118</v>
      </c>
      <c r="JN78">
        <v>88</v>
      </c>
      <c r="JO78">
        <v>0</v>
      </c>
      <c r="JP78">
        <v>8</v>
      </c>
      <c r="JQ78">
        <v>0</v>
      </c>
      <c r="JR78">
        <v>60</v>
      </c>
      <c r="JS78">
        <v>0</v>
      </c>
      <c r="JT78">
        <v>0</v>
      </c>
      <c r="JU78">
        <v>43</v>
      </c>
      <c r="JV78">
        <v>0</v>
      </c>
      <c r="JW78">
        <v>10</v>
      </c>
      <c r="JX78">
        <v>0</v>
      </c>
      <c r="JY78">
        <v>5</v>
      </c>
      <c r="JZ78">
        <v>0</v>
      </c>
      <c r="KA78">
        <v>0</v>
      </c>
      <c r="KB78">
        <v>0</v>
      </c>
      <c r="KC78">
        <v>0</v>
      </c>
      <c r="KD78">
        <v>87</v>
      </c>
      <c r="KE78">
        <v>22</v>
      </c>
      <c r="KF78">
        <v>74</v>
      </c>
      <c r="KG78">
        <v>87</v>
      </c>
      <c r="KH78">
        <v>0</v>
      </c>
      <c r="KI78">
        <v>29</v>
      </c>
      <c r="KJ78">
        <v>1</v>
      </c>
      <c r="KK78">
        <v>89</v>
      </c>
      <c r="KL78">
        <v>0</v>
      </c>
      <c r="KM78">
        <v>44</v>
      </c>
      <c r="KN78">
        <v>45</v>
      </c>
      <c r="KO78">
        <v>0</v>
      </c>
      <c r="KP78">
        <v>13</v>
      </c>
      <c r="KQ78">
        <v>14</v>
      </c>
      <c r="KR78">
        <v>30</v>
      </c>
      <c r="KS78">
        <v>61</v>
      </c>
      <c r="KT78">
        <v>60</v>
      </c>
      <c r="KU78">
        <v>0</v>
      </c>
      <c r="KV78">
        <v>8</v>
      </c>
      <c r="KW78">
        <v>106</v>
      </c>
      <c r="KX78">
        <v>10</v>
      </c>
      <c r="KY78">
        <v>49</v>
      </c>
      <c r="KZ78">
        <v>3</v>
      </c>
      <c r="LA78">
        <v>66</v>
      </c>
      <c r="LB78">
        <v>20</v>
      </c>
      <c r="LC78">
        <v>71</v>
      </c>
      <c r="LD78">
        <v>0</v>
      </c>
      <c r="LE78">
        <v>31</v>
      </c>
      <c r="LF78">
        <v>22</v>
      </c>
      <c r="LG78">
        <v>81</v>
      </c>
      <c r="LH78">
        <v>27</v>
      </c>
      <c r="LI78">
        <v>63</v>
      </c>
      <c r="LJ78">
        <v>41</v>
      </c>
      <c r="LK78">
        <v>71</v>
      </c>
      <c r="LL78">
        <v>69</v>
      </c>
      <c r="LM78">
        <v>71</v>
      </c>
      <c r="LN78">
        <v>4</v>
      </c>
      <c r="LO78">
        <v>63</v>
      </c>
      <c r="LP78">
        <v>38</v>
      </c>
      <c r="LQ78">
        <v>69</v>
      </c>
      <c r="LR78">
        <v>0</v>
      </c>
      <c r="LS78">
        <v>26</v>
      </c>
      <c r="LT78">
        <v>47</v>
      </c>
      <c r="LU78">
        <v>44</v>
      </c>
      <c r="LV78">
        <v>72</v>
      </c>
      <c r="LW78">
        <v>0</v>
      </c>
      <c r="LX78">
        <v>48</v>
      </c>
      <c r="LY78">
        <v>73</v>
      </c>
      <c r="LZ78">
        <v>0</v>
      </c>
      <c r="MA78">
        <v>58</v>
      </c>
      <c r="MB78">
        <v>66</v>
      </c>
      <c r="MC78">
        <v>24</v>
      </c>
      <c r="MD78">
        <v>53</v>
      </c>
      <c r="ME78">
        <v>73</v>
      </c>
      <c r="MF78">
        <v>74</v>
      </c>
      <c r="MG78">
        <v>2</v>
      </c>
      <c r="MH78">
        <v>0</v>
      </c>
      <c r="MI78">
        <v>74</v>
      </c>
      <c r="MJ78">
        <v>46</v>
      </c>
      <c r="MK78">
        <v>74</v>
      </c>
      <c r="ML78">
        <v>0</v>
      </c>
      <c r="MM78">
        <v>71</v>
      </c>
      <c r="MN78">
        <v>73</v>
      </c>
      <c r="MO78">
        <v>74</v>
      </c>
      <c r="MP78">
        <v>116</v>
      </c>
      <c r="MQ78">
        <v>7</v>
      </c>
      <c r="MR78">
        <v>52</v>
      </c>
      <c r="MS78">
        <v>1</v>
      </c>
      <c r="MT78">
        <v>99</v>
      </c>
      <c r="MU78">
        <v>74</v>
      </c>
      <c r="MV78">
        <v>109</v>
      </c>
      <c r="MW78">
        <v>91</v>
      </c>
      <c r="MX78">
        <v>0</v>
      </c>
      <c r="MY78">
        <v>0</v>
      </c>
      <c r="MZ78">
        <v>67</v>
      </c>
      <c r="NA78">
        <v>52</v>
      </c>
      <c r="NB78">
        <v>1</v>
      </c>
      <c r="NC78">
        <v>30</v>
      </c>
      <c r="ND78">
        <v>116</v>
      </c>
      <c r="NE78">
        <v>37</v>
      </c>
      <c r="NF78">
        <v>1</v>
      </c>
      <c r="NG78">
        <v>11</v>
      </c>
      <c r="NH78">
        <v>53</v>
      </c>
      <c r="NI78">
        <v>79</v>
      </c>
      <c r="NJ78">
        <v>111</v>
      </c>
      <c r="NK78">
        <v>3</v>
      </c>
      <c r="NL78">
        <v>128</v>
      </c>
      <c r="NM78">
        <v>49</v>
      </c>
      <c r="NN78">
        <v>6</v>
      </c>
      <c r="NO78">
        <v>99</v>
      </c>
      <c r="NP78">
        <v>132</v>
      </c>
      <c r="NQ78">
        <v>0</v>
      </c>
      <c r="NR78">
        <v>76</v>
      </c>
      <c r="NS78">
        <v>52</v>
      </c>
      <c r="NT78">
        <v>51</v>
      </c>
      <c r="NU78">
        <v>25</v>
      </c>
      <c r="NV78">
        <v>132</v>
      </c>
      <c r="NW78">
        <v>47</v>
      </c>
      <c r="NX78">
        <v>30</v>
      </c>
      <c r="NY78">
        <v>0</v>
      </c>
      <c r="NZ78">
        <v>0</v>
      </c>
      <c r="OA78">
        <v>5</v>
      </c>
      <c r="OB78">
        <v>151</v>
      </c>
      <c r="OC78">
        <v>73</v>
      </c>
      <c r="OD78">
        <v>3</v>
      </c>
      <c r="OE78">
        <v>26</v>
      </c>
      <c r="OF78">
        <v>0</v>
      </c>
      <c r="OG78">
        <v>153</v>
      </c>
      <c r="OH78">
        <v>177</v>
      </c>
      <c r="OI78">
        <v>0</v>
      </c>
      <c r="OJ78">
        <v>140</v>
      </c>
      <c r="OK78">
        <v>149</v>
      </c>
      <c r="OL78">
        <v>81</v>
      </c>
      <c r="OM78">
        <v>21</v>
      </c>
      <c r="ON78">
        <v>85</v>
      </c>
      <c r="OO78">
        <v>0</v>
      </c>
      <c r="OP78">
        <v>101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2</v>
      </c>
      <c r="OY78">
        <v>0</v>
      </c>
      <c r="OZ78">
        <v>0</v>
      </c>
      <c r="PA78">
        <v>0</v>
      </c>
      <c r="PB78">
        <v>86</v>
      </c>
      <c r="PC78">
        <v>93</v>
      </c>
      <c r="PD78">
        <v>0</v>
      </c>
      <c r="PE78">
        <v>51</v>
      </c>
      <c r="PF78">
        <v>14</v>
      </c>
      <c r="PG78">
        <v>46</v>
      </c>
      <c r="PH78">
        <v>46</v>
      </c>
      <c r="PI78">
        <v>11</v>
      </c>
      <c r="PJ78">
        <v>18</v>
      </c>
      <c r="PK78">
        <v>42</v>
      </c>
      <c r="PL78">
        <v>0</v>
      </c>
      <c r="PM78">
        <v>39</v>
      </c>
      <c r="PN78">
        <v>0</v>
      </c>
      <c r="PO78">
        <v>0</v>
      </c>
      <c r="PP78">
        <v>11</v>
      </c>
      <c r="PQ78">
        <v>49</v>
      </c>
      <c r="PR78">
        <v>19</v>
      </c>
      <c r="PS78">
        <v>85</v>
      </c>
      <c r="PT78">
        <v>10</v>
      </c>
      <c r="PU78">
        <v>82</v>
      </c>
      <c r="PV78">
        <v>95</v>
      </c>
      <c r="PW78">
        <v>87</v>
      </c>
      <c r="PX78">
        <v>83</v>
      </c>
      <c r="PY78">
        <v>40</v>
      </c>
      <c r="PZ78">
        <v>97</v>
      </c>
      <c r="QA78">
        <v>14</v>
      </c>
      <c r="QB78">
        <v>36</v>
      </c>
      <c r="QC78">
        <v>10</v>
      </c>
      <c r="QD78">
        <v>55</v>
      </c>
      <c r="QE78">
        <v>41</v>
      </c>
      <c r="QF78">
        <v>10</v>
      </c>
      <c r="QG78">
        <v>91</v>
      </c>
      <c r="QH78">
        <v>0</v>
      </c>
      <c r="QI78">
        <v>0</v>
      </c>
      <c r="QJ78">
        <v>99</v>
      </c>
      <c r="QK78">
        <v>57</v>
      </c>
      <c r="QL78">
        <v>0</v>
      </c>
      <c r="QM78">
        <v>24</v>
      </c>
      <c r="QN78">
        <v>0</v>
      </c>
      <c r="QO78">
        <v>13</v>
      </c>
      <c r="QP78">
        <v>6</v>
      </c>
      <c r="QQ78">
        <v>0</v>
      </c>
      <c r="QR78">
        <v>0</v>
      </c>
      <c r="QS78">
        <v>44</v>
      </c>
      <c r="QT78">
        <v>0</v>
      </c>
      <c r="QU78">
        <v>0</v>
      </c>
      <c r="QV78">
        <v>96</v>
      </c>
      <c r="QW78">
        <v>102</v>
      </c>
      <c r="QX78">
        <v>3</v>
      </c>
      <c r="QY78">
        <v>23</v>
      </c>
      <c r="QZ78">
        <v>85</v>
      </c>
      <c r="RA78">
        <v>87</v>
      </c>
      <c r="RB78">
        <v>95</v>
      </c>
      <c r="RC78">
        <v>20</v>
      </c>
      <c r="RD78">
        <v>10</v>
      </c>
      <c r="RE78">
        <v>87</v>
      </c>
      <c r="RF78">
        <v>47</v>
      </c>
      <c r="RG78">
        <v>78</v>
      </c>
      <c r="RH78">
        <v>15</v>
      </c>
      <c r="RI78">
        <v>23</v>
      </c>
      <c r="RJ78">
        <v>88</v>
      </c>
      <c r="RK78">
        <v>36</v>
      </c>
      <c r="RL78">
        <v>35</v>
      </c>
      <c r="RM78">
        <v>95</v>
      </c>
      <c r="RN78">
        <v>5</v>
      </c>
      <c r="RO78">
        <v>73</v>
      </c>
      <c r="RP78">
        <v>0</v>
      </c>
      <c r="RQ78">
        <v>53</v>
      </c>
      <c r="RR78">
        <v>38</v>
      </c>
      <c r="RS78">
        <v>14</v>
      </c>
      <c r="RT78">
        <v>78</v>
      </c>
      <c r="RU78">
        <v>16</v>
      </c>
      <c r="RV78">
        <v>78</v>
      </c>
      <c r="RW78">
        <v>46</v>
      </c>
      <c r="RX78">
        <v>3</v>
      </c>
      <c r="RY78">
        <v>91</v>
      </c>
      <c r="RZ78">
        <v>69</v>
      </c>
      <c r="SA78">
        <v>9</v>
      </c>
      <c r="SB78">
        <v>6</v>
      </c>
      <c r="SC78">
        <v>41</v>
      </c>
      <c r="SD78">
        <v>76</v>
      </c>
      <c r="SE78">
        <v>132</v>
      </c>
      <c r="SF78">
        <v>59</v>
      </c>
      <c r="SG78">
        <v>103</v>
      </c>
      <c r="SH78">
        <v>3</v>
      </c>
      <c r="SI78">
        <v>127</v>
      </c>
      <c r="SJ78">
        <v>2</v>
      </c>
      <c r="SK78">
        <v>0</v>
      </c>
      <c r="SL78">
        <v>0</v>
      </c>
      <c r="SM78">
        <v>1</v>
      </c>
      <c r="SN78">
        <v>108</v>
      </c>
      <c r="SO78">
        <v>0</v>
      </c>
      <c r="SP78">
        <v>12</v>
      </c>
      <c r="SQ78">
        <v>1</v>
      </c>
      <c r="SR78">
        <v>76</v>
      </c>
      <c r="SS78">
        <v>95</v>
      </c>
      <c r="ST78">
        <v>14</v>
      </c>
      <c r="SU78">
        <v>110</v>
      </c>
      <c r="SV78">
        <v>0</v>
      </c>
      <c r="SW78">
        <v>110</v>
      </c>
      <c r="SX78">
        <v>0</v>
      </c>
      <c r="SY78">
        <v>73</v>
      </c>
      <c r="SZ78">
        <v>63</v>
      </c>
      <c r="TA78">
        <v>114</v>
      </c>
      <c r="TB78">
        <v>59</v>
      </c>
      <c r="TC78">
        <v>114</v>
      </c>
      <c r="TD78">
        <v>115</v>
      </c>
      <c r="TE78">
        <v>94</v>
      </c>
      <c r="TF78">
        <v>64</v>
      </c>
      <c r="TG78">
        <v>19</v>
      </c>
      <c r="TH78">
        <v>85</v>
      </c>
      <c r="TI78">
        <v>51</v>
      </c>
      <c r="TJ78">
        <v>0</v>
      </c>
      <c r="TK78">
        <v>50</v>
      </c>
      <c r="TL78">
        <v>0</v>
      </c>
      <c r="TM78">
        <v>0</v>
      </c>
      <c r="TN78">
        <v>102</v>
      </c>
      <c r="TO78">
        <v>0</v>
      </c>
      <c r="TP78">
        <v>40</v>
      </c>
      <c r="TQ78">
        <v>87</v>
      </c>
      <c r="TR78">
        <v>18</v>
      </c>
      <c r="TS78">
        <v>10</v>
      </c>
      <c r="TT78">
        <v>1</v>
      </c>
      <c r="TU78">
        <v>0</v>
      </c>
      <c r="TV78">
        <v>45</v>
      </c>
      <c r="TW78">
        <v>7</v>
      </c>
      <c r="TX78">
        <v>150</v>
      </c>
      <c r="TY78">
        <v>0</v>
      </c>
      <c r="TZ78">
        <v>71</v>
      </c>
      <c r="UA78">
        <v>82</v>
      </c>
      <c r="UB78">
        <v>59</v>
      </c>
      <c r="UC78">
        <v>0</v>
      </c>
      <c r="UD78">
        <v>63</v>
      </c>
      <c r="UE78">
        <v>68</v>
      </c>
      <c r="UF78">
        <v>45</v>
      </c>
      <c r="UG78">
        <v>34</v>
      </c>
      <c r="UH78">
        <v>0</v>
      </c>
      <c r="UI78">
        <v>67</v>
      </c>
      <c r="UJ78">
        <v>67</v>
      </c>
      <c r="UK78">
        <v>38</v>
      </c>
      <c r="UL78">
        <v>84</v>
      </c>
      <c r="UM78">
        <v>0</v>
      </c>
      <c r="UN78">
        <v>0</v>
      </c>
      <c r="UO78">
        <v>0</v>
      </c>
      <c r="UP78">
        <v>69</v>
      </c>
      <c r="UQ78">
        <v>0</v>
      </c>
      <c r="UR78">
        <v>94</v>
      </c>
      <c r="US78">
        <v>92</v>
      </c>
      <c r="UT78">
        <v>42</v>
      </c>
      <c r="UU78">
        <v>79</v>
      </c>
      <c r="UV78">
        <v>59</v>
      </c>
      <c r="UW78">
        <v>0</v>
      </c>
      <c r="UX78">
        <v>93</v>
      </c>
      <c r="UY78">
        <v>84</v>
      </c>
      <c r="UZ78">
        <v>0</v>
      </c>
      <c r="VA78">
        <v>94</v>
      </c>
      <c r="VB78">
        <v>5</v>
      </c>
      <c r="VC78">
        <v>0</v>
      </c>
      <c r="VD78">
        <v>5</v>
      </c>
      <c r="VE78">
        <v>86</v>
      </c>
      <c r="VF78">
        <v>112</v>
      </c>
      <c r="VG78">
        <v>35</v>
      </c>
      <c r="VH78">
        <v>37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2</v>
      </c>
      <c r="VO78">
        <v>103</v>
      </c>
      <c r="VP78">
        <v>57</v>
      </c>
      <c r="VQ78">
        <v>40</v>
      </c>
      <c r="VR78">
        <v>27</v>
      </c>
      <c r="VS78">
        <v>21</v>
      </c>
      <c r="VT78">
        <v>0</v>
      </c>
      <c r="VU78">
        <v>31</v>
      </c>
      <c r="VV78">
        <v>0</v>
      </c>
      <c r="VW78">
        <v>0</v>
      </c>
      <c r="VX78">
        <v>0</v>
      </c>
      <c r="VY78">
        <v>94</v>
      </c>
      <c r="VZ78">
        <v>106</v>
      </c>
      <c r="WA78">
        <v>0</v>
      </c>
      <c r="WB78">
        <v>0</v>
      </c>
      <c r="WC78">
        <v>0</v>
      </c>
      <c r="WD78">
        <v>10</v>
      </c>
      <c r="WE78">
        <v>34</v>
      </c>
      <c r="WF78">
        <v>72</v>
      </c>
      <c r="WG78">
        <v>26</v>
      </c>
      <c r="WH78">
        <v>0</v>
      </c>
      <c r="WI78">
        <v>60</v>
      </c>
      <c r="WJ78">
        <v>11</v>
      </c>
      <c r="WK78">
        <v>93</v>
      </c>
      <c r="WL78">
        <v>0</v>
      </c>
      <c r="WM78">
        <v>40</v>
      </c>
      <c r="WN78">
        <v>72</v>
      </c>
      <c r="WO78">
        <v>61</v>
      </c>
      <c r="WP78">
        <v>66</v>
      </c>
      <c r="WQ78">
        <v>62</v>
      </c>
      <c r="WR78">
        <v>0</v>
      </c>
      <c r="WS78">
        <v>91</v>
      </c>
      <c r="WT78">
        <v>0</v>
      </c>
      <c r="WU78">
        <v>2</v>
      </c>
      <c r="WV78">
        <v>0</v>
      </c>
      <c r="WW78">
        <v>21</v>
      </c>
      <c r="WX78">
        <v>3</v>
      </c>
      <c r="WY78">
        <v>0</v>
      </c>
      <c r="WZ78">
        <v>2</v>
      </c>
      <c r="XA78">
        <v>22</v>
      </c>
      <c r="XB78">
        <v>0</v>
      </c>
      <c r="XC78">
        <v>8</v>
      </c>
      <c r="XD78">
        <v>4</v>
      </c>
      <c r="XE78">
        <v>77</v>
      </c>
      <c r="XF78">
        <v>0</v>
      </c>
      <c r="XG78">
        <v>79</v>
      </c>
      <c r="XH78">
        <v>117</v>
      </c>
      <c r="XI78">
        <v>0</v>
      </c>
      <c r="XJ78">
        <v>3</v>
      </c>
      <c r="XK78">
        <v>78</v>
      </c>
      <c r="XL78">
        <v>27</v>
      </c>
      <c r="XM78">
        <v>145</v>
      </c>
      <c r="XN78">
        <v>91</v>
      </c>
      <c r="XO78">
        <v>1</v>
      </c>
      <c r="XP78">
        <v>0</v>
      </c>
      <c r="XQ78">
        <v>0</v>
      </c>
      <c r="XR78">
        <v>12</v>
      </c>
      <c r="XS78">
        <v>53</v>
      </c>
      <c r="XT78">
        <v>132</v>
      </c>
      <c r="XU78">
        <v>0</v>
      </c>
      <c r="XV78">
        <v>0</v>
      </c>
      <c r="XW78">
        <v>0</v>
      </c>
      <c r="XX78">
        <v>51</v>
      </c>
      <c r="XY78">
        <v>53</v>
      </c>
      <c r="XZ78">
        <v>28</v>
      </c>
      <c r="YA78">
        <v>10</v>
      </c>
      <c r="YB78">
        <v>25</v>
      </c>
      <c r="YC78">
        <v>109</v>
      </c>
      <c r="YD78">
        <v>0</v>
      </c>
      <c r="YE78">
        <v>37</v>
      </c>
      <c r="YF78">
        <v>0</v>
      </c>
      <c r="YG78">
        <v>122</v>
      </c>
      <c r="YH78">
        <v>0</v>
      </c>
      <c r="YI78">
        <v>0</v>
      </c>
      <c r="YJ78">
        <v>113</v>
      </c>
      <c r="YK78">
        <v>116</v>
      </c>
      <c r="YL78">
        <v>99</v>
      </c>
      <c r="YM78">
        <v>100</v>
      </c>
      <c r="YN78">
        <v>0</v>
      </c>
      <c r="YO78">
        <v>0</v>
      </c>
      <c r="YP78">
        <v>2</v>
      </c>
      <c r="YQ78">
        <v>125</v>
      </c>
      <c r="YR78">
        <v>63</v>
      </c>
      <c r="YS78">
        <v>18</v>
      </c>
      <c r="YT78">
        <v>0</v>
      </c>
      <c r="YU78">
        <v>108</v>
      </c>
      <c r="YV78">
        <v>106</v>
      </c>
      <c r="YW78">
        <v>0</v>
      </c>
      <c r="YX78">
        <v>0</v>
      </c>
      <c r="YY78">
        <v>2</v>
      </c>
      <c r="YZ78">
        <v>39</v>
      </c>
      <c r="ZA78">
        <v>117</v>
      </c>
      <c r="ZB78">
        <v>1</v>
      </c>
      <c r="ZC78">
        <v>85</v>
      </c>
      <c r="ZD78">
        <v>132</v>
      </c>
      <c r="ZE78">
        <v>137</v>
      </c>
      <c r="ZF78">
        <v>0</v>
      </c>
      <c r="ZG78">
        <v>44</v>
      </c>
      <c r="ZH78">
        <v>25</v>
      </c>
      <c r="ZI78">
        <v>5</v>
      </c>
      <c r="ZJ78">
        <v>18</v>
      </c>
      <c r="ZK78">
        <v>0</v>
      </c>
      <c r="ZL78">
        <v>8</v>
      </c>
      <c r="ZM78">
        <v>20</v>
      </c>
      <c r="ZN78">
        <v>15</v>
      </c>
      <c r="ZO78">
        <v>2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65</v>
      </c>
      <c r="ZW78">
        <v>0</v>
      </c>
      <c r="ZX78">
        <v>4</v>
      </c>
      <c r="ZY78">
        <v>36</v>
      </c>
      <c r="ZZ78">
        <v>22</v>
      </c>
      <c r="AAA78">
        <v>103</v>
      </c>
      <c r="AAB78">
        <v>23</v>
      </c>
      <c r="AAC78">
        <v>15</v>
      </c>
      <c r="AAD78">
        <v>119</v>
      </c>
      <c r="AAE78">
        <v>13</v>
      </c>
      <c r="AAF78">
        <v>9</v>
      </c>
      <c r="AAG78">
        <v>15</v>
      </c>
      <c r="AAH78">
        <v>0</v>
      </c>
      <c r="AAI78">
        <v>1</v>
      </c>
      <c r="AAJ78">
        <v>1</v>
      </c>
      <c r="AAK78">
        <v>0</v>
      </c>
      <c r="AAL78">
        <v>0</v>
      </c>
      <c r="AAM78">
        <v>37</v>
      </c>
      <c r="AAN78">
        <v>86</v>
      </c>
      <c r="AAO78">
        <v>14</v>
      </c>
      <c r="AAP78">
        <v>0</v>
      </c>
      <c r="AAQ78">
        <v>33</v>
      </c>
      <c r="AAR78">
        <v>30</v>
      </c>
      <c r="AAS78">
        <v>0</v>
      </c>
      <c r="AAT78">
        <v>5</v>
      </c>
      <c r="AAU78">
        <v>3</v>
      </c>
      <c r="AAV78">
        <v>1</v>
      </c>
      <c r="AAW78">
        <v>50</v>
      </c>
      <c r="AAX78">
        <v>0</v>
      </c>
      <c r="AAY78">
        <v>0</v>
      </c>
      <c r="AAZ78">
        <v>0</v>
      </c>
      <c r="ABA78">
        <v>114</v>
      </c>
      <c r="ABB78">
        <v>35</v>
      </c>
      <c r="ABC78">
        <v>114</v>
      </c>
      <c r="ABD78">
        <v>0</v>
      </c>
      <c r="ABE78">
        <v>54</v>
      </c>
      <c r="ABF78">
        <v>0</v>
      </c>
      <c r="ABG78">
        <v>111</v>
      </c>
      <c r="ABH78">
        <v>95</v>
      </c>
      <c r="ABI78">
        <v>0</v>
      </c>
      <c r="ABJ78">
        <v>26</v>
      </c>
      <c r="ABK78">
        <v>80</v>
      </c>
      <c r="ABL78">
        <v>0</v>
      </c>
      <c r="ABM78">
        <v>103</v>
      </c>
      <c r="ABN78">
        <v>0</v>
      </c>
      <c r="ABO78">
        <v>0</v>
      </c>
      <c r="ABP78">
        <v>4</v>
      </c>
      <c r="ABQ78">
        <v>0</v>
      </c>
      <c r="ABR78">
        <v>29</v>
      </c>
      <c r="ABS78">
        <v>128</v>
      </c>
      <c r="ABT78">
        <v>0</v>
      </c>
      <c r="ABU78">
        <v>0</v>
      </c>
      <c r="ABV78">
        <v>0</v>
      </c>
      <c r="ABW78">
        <v>0</v>
      </c>
      <c r="ABX78">
        <v>1</v>
      </c>
      <c r="ABY78">
        <v>0</v>
      </c>
      <c r="ABZ78">
        <v>170</v>
      </c>
      <c r="ACA78">
        <v>104</v>
      </c>
      <c r="ACB78">
        <v>1</v>
      </c>
      <c r="ACC78">
        <v>92</v>
      </c>
      <c r="ACD78">
        <v>0</v>
      </c>
      <c r="ACE78">
        <v>1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119</v>
      </c>
      <c r="ACL78">
        <v>152</v>
      </c>
      <c r="ACM78">
        <v>0</v>
      </c>
      <c r="ACN78">
        <v>9</v>
      </c>
      <c r="ACO78">
        <v>95</v>
      </c>
    </row>
    <row r="79" spans="1:769" x14ac:dyDescent="0.25">
      <c r="A79" t="s">
        <v>86</v>
      </c>
      <c r="B79" t="s">
        <v>114</v>
      </c>
      <c r="C79" t="s">
        <v>114</v>
      </c>
      <c r="D79">
        <v>0.113844</v>
      </c>
      <c r="E79" t="s">
        <v>114</v>
      </c>
      <c r="F79">
        <v>0.102774</v>
      </c>
      <c r="G79">
        <v>0.10266599999999999</v>
      </c>
      <c r="H79">
        <v>0.17215800000000001</v>
      </c>
      <c r="I79">
        <v>0.105938</v>
      </c>
      <c r="J79" t="s">
        <v>114</v>
      </c>
      <c r="K79">
        <v>0.11496000000000001</v>
      </c>
      <c r="L79" t="s">
        <v>114</v>
      </c>
      <c r="M79">
        <v>9.4417000000000001E-2</v>
      </c>
      <c r="N79" t="s">
        <v>114</v>
      </c>
      <c r="O79">
        <v>8.8803999999999994E-2</v>
      </c>
      <c r="P79">
        <v>7.0269999999999999E-2</v>
      </c>
      <c r="Q79" t="s">
        <v>114</v>
      </c>
      <c r="R79">
        <v>2.9770999999999999E-2</v>
      </c>
      <c r="S79">
        <v>3.7215999999999999E-2</v>
      </c>
      <c r="T79">
        <v>3.5006000000000002E-2</v>
      </c>
      <c r="U79">
        <v>8.4347000000000005E-2</v>
      </c>
      <c r="V79">
        <v>7.2432999999999997E-2</v>
      </c>
      <c r="W79" t="s">
        <v>114</v>
      </c>
      <c r="X79">
        <v>5.9711E-2</v>
      </c>
      <c r="Y79">
        <v>5.1017E-2</v>
      </c>
      <c r="Z79" t="s">
        <v>114</v>
      </c>
      <c r="AA79">
        <v>8.4333000000000005E-2</v>
      </c>
      <c r="AB79">
        <v>6.6963999999999996E-2</v>
      </c>
      <c r="AC79">
        <v>7.5278999999999999E-2</v>
      </c>
      <c r="AD79" t="s">
        <v>114</v>
      </c>
      <c r="AE79">
        <v>7.6165999999999998E-2</v>
      </c>
      <c r="AF79">
        <v>4.1066999999999999E-2</v>
      </c>
      <c r="AG79">
        <v>0.108011</v>
      </c>
      <c r="AH79">
        <v>3.4868000000000003E-2</v>
      </c>
      <c r="AI79">
        <v>9.7806000000000004E-2</v>
      </c>
      <c r="AJ79">
        <v>0.10058400000000001</v>
      </c>
      <c r="AK79">
        <v>0.31992700000000002</v>
      </c>
      <c r="AL79">
        <v>6.9750000000000006E-2</v>
      </c>
      <c r="AM79">
        <v>4.3538E-2</v>
      </c>
      <c r="AN79">
        <v>0.15376200000000001</v>
      </c>
      <c r="AO79">
        <v>0.106313</v>
      </c>
      <c r="AP79">
        <v>7.7804999999999999E-2</v>
      </c>
      <c r="AQ79">
        <v>0.24215</v>
      </c>
      <c r="AR79">
        <v>6.7502000000000006E-2</v>
      </c>
      <c r="AS79">
        <v>6.7433999999999994E-2</v>
      </c>
      <c r="AT79">
        <v>2.03864</v>
      </c>
      <c r="AU79">
        <v>6.7627999999999994E-2</v>
      </c>
      <c r="AV79">
        <v>5.3519999999999998E-2</v>
      </c>
      <c r="AW79">
        <v>0.105681</v>
      </c>
      <c r="AX79">
        <v>9.0934000000000001E-2</v>
      </c>
      <c r="AY79">
        <v>4.3305000000000003E-2</v>
      </c>
      <c r="AZ79">
        <v>7.8486E-2</v>
      </c>
      <c r="BA79">
        <v>8.7795999999999999E-2</v>
      </c>
      <c r="BB79">
        <v>7.4145000000000003E-2</v>
      </c>
      <c r="BC79" t="s">
        <v>114</v>
      </c>
      <c r="BD79">
        <v>7.3599999999999999E-2</v>
      </c>
      <c r="BE79">
        <v>0.10420599999999999</v>
      </c>
      <c r="BF79">
        <v>8.8453000000000004E-2</v>
      </c>
      <c r="BG79">
        <v>6.0269999999999997E-2</v>
      </c>
      <c r="BH79">
        <v>5.7619999999999998E-2</v>
      </c>
      <c r="BI79">
        <v>7.8965999999999995E-2</v>
      </c>
      <c r="BJ79">
        <v>8.7896000000000002E-2</v>
      </c>
      <c r="BK79">
        <v>8.4459000000000006E-2</v>
      </c>
      <c r="BL79">
        <v>0.39152999999999999</v>
      </c>
      <c r="BM79">
        <v>9.5519000000000007E-2</v>
      </c>
      <c r="BN79">
        <v>3.8346999999999999E-2</v>
      </c>
      <c r="BO79" t="s">
        <v>114</v>
      </c>
      <c r="BP79">
        <v>9.3285000000000007E-2</v>
      </c>
      <c r="BQ79">
        <v>0.17102999999999999</v>
      </c>
      <c r="BR79" t="s">
        <v>114</v>
      </c>
      <c r="BS79">
        <v>0.12318900000000001</v>
      </c>
      <c r="BT79">
        <v>6.8616999999999997E-2</v>
      </c>
      <c r="BU79" t="s">
        <v>114</v>
      </c>
      <c r="BV79">
        <v>5.9351000000000001E-2</v>
      </c>
      <c r="BW79">
        <v>0.115587</v>
      </c>
      <c r="BX79">
        <v>0.88400000000000001</v>
      </c>
      <c r="BY79">
        <v>3.3813000000000003E-2</v>
      </c>
      <c r="BZ79">
        <v>0.230874</v>
      </c>
      <c r="CA79">
        <v>1.08029</v>
      </c>
      <c r="CB79">
        <v>6.7199999999999996E-2</v>
      </c>
      <c r="CC79">
        <v>0.100614</v>
      </c>
      <c r="CD79">
        <v>7.1516999999999997E-2</v>
      </c>
      <c r="CE79">
        <v>9.4615000000000005E-2</v>
      </c>
      <c r="CF79">
        <v>0.32627299999999998</v>
      </c>
      <c r="CG79">
        <v>0.104824</v>
      </c>
      <c r="CH79" t="s">
        <v>114</v>
      </c>
      <c r="CI79">
        <v>0.160551</v>
      </c>
      <c r="CJ79">
        <v>0.181695</v>
      </c>
      <c r="CK79">
        <v>4.3920000000000001E-2</v>
      </c>
      <c r="CL79">
        <v>0.18574099999999999</v>
      </c>
      <c r="CM79">
        <v>0.216386</v>
      </c>
      <c r="CN79">
        <v>0.16832</v>
      </c>
      <c r="CO79">
        <v>0.217172</v>
      </c>
      <c r="CP79">
        <v>0.240534</v>
      </c>
      <c r="CQ79">
        <v>0.288302</v>
      </c>
      <c r="CR79">
        <v>0.26847500000000002</v>
      </c>
      <c r="CS79">
        <v>0.35169099999999998</v>
      </c>
      <c r="CT79" t="s">
        <v>114</v>
      </c>
      <c r="CU79">
        <v>0.16755700000000001</v>
      </c>
      <c r="CV79">
        <v>0.14827499999999999</v>
      </c>
      <c r="CW79">
        <v>0.29576799999999998</v>
      </c>
      <c r="CX79">
        <v>0.16737299999999999</v>
      </c>
      <c r="CY79">
        <v>8.3592E-2</v>
      </c>
      <c r="CZ79">
        <v>0.158608</v>
      </c>
      <c r="DA79">
        <v>4.2320000000000003E-2</v>
      </c>
      <c r="DB79">
        <v>0.11694400000000001</v>
      </c>
      <c r="DC79">
        <v>0.17913899999999999</v>
      </c>
      <c r="DD79">
        <v>9.1076000000000004E-2</v>
      </c>
      <c r="DE79">
        <v>0.24681</v>
      </c>
      <c r="DF79">
        <v>0.123319</v>
      </c>
      <c r="DG79">
        <v>0.186528</v>
      </c>
      <c r="DH79">
        <v>6.5071000000000004E-2</v>
      </c>
      <c r="DI79">
        <v>0.24471599999999999</v>
      </c>
      <c r="DJ79">
        <v>9.6383999999999997E-2</v>
      </c>
      <c r="DK79">
        <v>4.6219999999999997E-2</v>
      </c>
      <c r="DL79">
        <v>0.18221799999999999</v>
      </c>
      <c r="DM79">
        <v>0.115581</v>
      </c>
      <c r="DN79">
        <v>0.279667</v>
      </c>
      <c r="DO79">
        <v>9.1189000000000006E-2</v>
      </c>
      <c r="DP79">
        <v>8.9344000000000007E-2</v>
      </c>
      <c r="DQ79">
        <v>0.120598</v>
      </c>
      <c r="DR79">
        <v>0.177036</v>
      </c>
      <c r="DS79">
        <v>0.12509500000000001</v>
      </c>
      <c r="DT79">
        <v>3.5333000000000003E-2</v>
      </c>
      <c r="DU79">
        <v>0.19173599999999999</v>
      </c>
      <c r="DV79" t="s">
        <v>114</v>
      </c>
      <c r="DW79" t="s">
        <v>114</v>
      </c>
      <c r="DX79">
        <v>0.14011199999999999</v>
      </c>
      <c r="DY79">
        <v>9.0721999999999997E-2</v>
      </c>
      <c r="DZ79">
        <v>8.7118000000000001E-2</v>
      </c>
      <c r="EA79">
        <v>9.2857999999999996E-2</v>
      </c>
      <c r="EB79" t="s">
        <v>114</v>
      </c>
      <c r="EC79">
        <v>0.42521999999999999</v>
      </c>
      <c r="ED79" t="s">
        <v>114</v>
      </c>
      <c r="EE79">
        <v>4.7456999999999999E-2</v>
      </c>
      <c r="EF79">
        <v>8.3737000000000006E-2</v>
      </c>
      <c r="EG79">
        <v>9.2277999999999999E-2</v>
      </c>
      <c r="EH79">
        <v>0.69106699999999999</v>
      </c>
      <c r="EI79">
        <v>8.8361999999999996E-2</v>
      </c>
      <c r="EJ79">
        <v>7.5703999999999994E-2</v>
      </c>
      <c r="EK79">
        <v>6.5067E-2</v>
      </c>
      <c r="EL79">
        <v>0.11509900000000001</v>
      </c>
      <c r="EM79">
        <v>8.7871000000000005E-2</v>
      </c>
      <c r="EN79">
        <v>4.6068999999999999E-2</v>
      </c>
      <c r="EO79" t="s">
        <v>114</v>
      </c>
      <c r="EP79">
        <v>0.120946</v>
      </c>
      <c r="EQ79">
        <v>8.0435000000000006E-2</v>
      </c>
      <c r="ER79">
        <v>9.9245E-2</v>
      </c>
      <c r="ES79">
        <v>0.12509500000000001</v>
      </c>
      <c r="ET79">
        <v>4.6621999999999997E-2</v>
      </c>
      <c r="EU79">
        <v>0.10501199999999999</v>
      </c>
      <c r="EV79" t="s">
        <v>114</v>
      </c>
      <c r="EW79">
        <v>5.1769000000000003E-2</v>
      </c>
      <c r="EX79">
        <v>0.132905</v>
      </c>
      <c r="EY79">
        <v>0.48452000000000001</v>
      </c>
      <c r="EZ79">
        <v>0.356327</v>
      </c>
      <c r="FA79">
        <v>0.12512699999999999</v>
      </c>
      <c r="FB79" t="s">
        <v>114</v>
      </c>
      <c r="FC79">
        <v>9.8804000000000003E-2</v>
      </c>
      <c r="FD79" t="s">
        <v>114</v>
      </c>
      <c r="FE79" t="s">
        <v>114</v>
      </c>
      <c r="FF79">
        <v>0.146395</v>
      </c>
      <c r="FG79">
        <v>0.18153900000000001</v>
      </c>
      <c r="FH79">
        <v>0.15886500000000001</v>
      </c>
      <c r="FI79">
        <v>0.18276800000000001</v>
      </c>
      <c r="FJ79">
        <v>0.244921</v>
      </c>
      <c r="FK79">
        <v>0.110668</v>
      </c>
      <c r="FL79">
        <v>0.107442</v>
      </c>
      <c r="FM79">
        <v>4.5130000000000003E-2</v>
      </c>
      <c r="FN79" t="s">
        <v>114</v>
      </c>
      <c r="FO79" t="s">
        <v>114</v>
      </c>
      <c r="FP79">
        <v>0.112664</v>
      </c>
      <c r="FQ79">
        <v>0.30129499999999998</v>
      </c>
      <c r="FR79">
        <v>7.5578000000000006E-2</v>
      </c>
      <c r="FS79">
        <v>0.112331</v>
      </c>
      <c r="FT79">
        <v>0.18346000000000001</v>
      </c>
      <c r="FU79">
        <v>0.18595999999999999</v>
      </c>
      <c r="FV79">
        <v>0.102338</v>
      </c>
      <c r="FW79">
        <v>6.3690999999999998E-2</v>
      </c>
      <c r="FX79">
        <v>7.7206999999999998E-2</v>
      </c>
      <c r="FY79">
        <v>0.12743399999999999</v>
      </c>
      <c r="FZ79">
        <v>0.12761</v>
      </c>
      <c r="GA79">
        <v>8.1876000000000004E-2</v>
      </c>
      <c r="GB79">
        <v>0.16661300000000001</v>
      </c>
      <c r="GC79">
        <v>0.12509899999999999</v>
      </c>
      <c r="GD79">
        <v>0.105883</v>
      </c>
      <c r="GE79">
        <v>0.138156</v>
      </c>
      <c r="GF79">
        <v>4.6102999999999998E-2</v>
      </c>
      <c r="GG79">
        <v>0.28531600000000001</v>
      </c>
      <c r="GH79">
        <v>9.0094999999999995E-2</v>
      </c>
      <c r="GI79" t="s">
        <v>114</v>
      </c>
      <c r="GJ79">
        <v>0.10347099999999999</v>
      </c>
      <c r="GK79">
        <v>0.115953</v>
      </c>
      <c r="GL79">
        <v>2.1919999999999999E-2</v>
      </c>
      <c r="GM79" t="s">
        <v>114</v>
      </c>
      <c r="GN79">
        <v>7.3547000000000001E-2</v>
      </c>
      <c r="GO79" t="s">
        <v>114</v>
      </c>
      <c r="GP79">
        <v>0.131381</v>
      </c>
      <c r="GQ79">
        <v>0.11129699999999999</v>
      </c>
      <c r="GR79">
        <v>0.14616399999999999</v>
      </c>
      <c r="GS79">
        <v>3.0020000000000002E-2</v>
      </c>
      <c r="GT79">
        <v>0.19379399999999999</v>
      </c>
      <c r="GU79" t="s">
        <v>114</v>
      </c>
      <c r="GV79">
        <v>5.7431000000000003E-2</v>
      </c>
      <c r="GW79" t="s">
        <v>114</v>
      </c>
      <c r="GX79">
        <v>8.3338999999999996E-2</v>
      </c>
      <c r="GY79">
        <v>5.6592999999999997E-2</v>
      </c>
      <c r="GZ79">
        <v>8.6619000000000002E-2</v>
      </c>
      <c r="HA79">
        <v>0.214338</v>
      </c>
      <c r="HB79">
        <v>0.13317599999999999</v>
      </c>
      <c r="HC79">
        <v>0.11831800000000001</v>
      </c>
      <c r="HD79">
        <v>8.5815000000000002E-2</v>
      </c>
      <c r="HE79">
        <v>9.2240000000000003E-2</v>
      </c>
      <c r="HF79" t="s">
        <v>114</v>
      </c>
      <c r="HG79">
        <v>0.13378100000000001</v>
      </c>
      <c r="HH79">
        <v>0.138152</v>
      </c>
      <c r="HI79">
        <v>5.8656E-2</v>
      </c>
      <c r="HJ79">
        <v>0.108024</v>
      </c>
      <c r="HK79">
        <v>0.15737899999999999</v>
      </c>
      <c r="HL79">
        <v>6.3051999999999997E-2</v>
      </c>
      <c r="HM79">
        <v>6.6919999999999993E-2</v>
      </c>
      <c r="HN79">
        <v>2.9832000000000001E-2</v>
      </c>
      <c r="HO79">
        <v>0.115067</v>
      </c>
      <c r="HP79">
        <v>0.41711999999999999</v>
      </c>
      <c r="HQ79">
        <v>5.6633000000000003E-2</v>
      </c>
      <c r="HR79">
        <v>0.113625</v>
      </c>
      <c r="HS79">
        <v>0.29624</v>
      </c>
      <c r="HT79">
        <v>9.6433000000000005E-2</v>
      </c>
      <c r="HU79">
        <v>5.6501999999999997E-2</v>
      </c>
      <c r="HV79" t="s">
        <v>114</v>
      </c>
      <c r="HW79" t="s">
        <v>114</v>
      </c>
      <c r="HX79">
        <v>9.5241000000000006E-2</v>
      </c>
      <c r="HY79">
        <v>0.111688</v>
      </c>
      <c r="HZ79">
        <v>4.3763999999999997E-2</v>
      </c>
      <c r="IA79">
        <v>2.8784000000000001E-2</v>
      </c>
      <c r="IB79" t="s">
        <v>114</v>
      </c>
      <c r="IC79" t="s">
        <v>114</v>
      </c>
      <c r="ID79" t="s">
        <v>114</v>
      </c>
      <c r="IE79">
        <v>8.4449999999999997E-2</v>
      </c>
      <c r="IF79">
        <v>3.8919000000000002E-2</v>
      </c>
      <c r="IG79" t="s">
        <v>114</v>
      </c>
      <c r="IH79">
        <v>9.4162999999999997E-2</v>
      </c>
      <c r="II79" t="s">
        <v>114</v>
      </c>
      <c r="IJ79">
        <v>0.10438600000000001</v>
      </c>
      <c r="IK79" t="s">
        <v>114</v>
      </c>
      <c r="IL79" t="s">
        <v>114</v>
      </c>
      <c r="IM79" t="s">
        <v>114</v>
      </c>
      <c r="IN79">
        <v>8.5000000000000006E-2</v>
      </c>
      <c r="IO79">
        <v>9.6985000000000002E-2</v>
      </c>
      <c r="IP79">
        <v>0.102561</v>
      </c>
      <c r="IQ79" t="s">
        <v>114</v>
      </c>
      <c r="IR79">
        <v>0.134689</v>
      </c>
      <c r="IS79">
        <v>0.118687</v>
      </c>
      <c r="IT79">
        <v>4.1803E-2</v>
      </c>
      <c r="IU79">
        <v>4.2069000000000002E-2</v>
      </c>
      <c r="IV79">
        <v>0.16922000000000001</v>
      </c>
      <c r="IW79">
        <v>0.33205299999999999</v>
      </c>
      <c r="IX79">
        <v>0.13919000000000001</v>
      </c>
      <c r="IY79">
        <v>9.4363000000000002E-2</v>
      </c>
      <c r="IZ79">
        <v>0.10531799999999999</v>
      </c>
      <c r="JA79">
        <v>0.122004</v>
      </c>
      <c r="JB79">
        <v>2.5276800000000001</v>
      </c>
      <c r="JC79">
        <v>0.257268</v>
      </c>
      <c r="JD79">
        <v>0.100412</v>
      </c>
      <c r="JE79">
        <v>0.65344000000000002</v>
      </c>
      <c r="JF79">
        <v>2.0364800000000001</v>
      </c>
      <c r="JG79">
        <v>0.105101</v>
      </c>
      <c r="JH79">
        <v>0.20189000000000001</v>
      </c>
      <c r="JI79">
        <v>0.03</v>
      </c>
      <c r="JJ79" t="s">
        <v>114</v>
      </c>
      <c r="JK79">
        <v>4.0196000000000003E-2</v>
      </c>
      <c r="JL79">
        <v>9.5739000000000005E-2</v>
      </c>
      <c r="JM79">
        <v>7.8335000000000002E-2</v>
      </c>
      <c r="JN79">
        <v>8.8320999999999997E-2</v>
      </c>
      <c r="JO79" t="s">
        <v>114</v>
      </c>
      <c r="JP79">
        <v>0.28904999999999997</v>
      </c>
      <c r="JQ79" t="s">
        <v>114</v>
      </c>
      <c r="JR79">
        <v>9.2295000000000002E-2</v>
      </c>
      <c r="JS79" t="s">
        <v>114</v>
      </c>
      <c r="JT79" t="s">
        <v>114</v>
      </c>
      <c r="JU79">
        <v>0.20089899999999999</v>
      </c>
      <c r="JV79" t="s">
        <v>114</v>
      </c>
      <c r="JW79">
        <v>0.20068</v>
      </c>
      <c r="JX79" t="s">
        <v>114</v>
      </c>
      <c r="JY79">
        <v>0.32270399999999999</v>
      </c>
      <c r="JZ79" t="s">
        <v>114</v>
      </c>
      <c r="KA79" t="s">
        <v>114</v>
      </c>
      <c r="KB79" t="s">
        <v>114</v>
      </c>
      <c r="KC79" t="s">
        <v>114</v>
      </c>
      <c r="KD79">
        <v>0.18864</v>
      </c>
      <c r="KE79">
        <v>3.5087E-2</v>
      </c>
      <c r="KF79">
        <v>0.13712299999999999</v>
      </c>
      <c r="KG79">
        <v>0.14884600000000001</v>
      </c>
      <c r="KH79" t="s">
        <v>114</v>
      </c>
      <c r="KI79">
        <v>0.185583</v>
      </c>
      <c r="KJ79">
        <v>1.4800000000000001E-2</v>
      </c>
      <c r="KK79">
        <v>0.174235</v>
      </c>
      <c r="KL79" t="s">
        <v>114</v>
      </c>
      <c r="KM79">
        <v>0.166605</v>
      </c>
      <c r="KN79">
        <v>0.20102400000000001</v>
      </c>
      <c r="KO79" t="s">
        <v>114</v>
      </c>
      <c r="KP79">
        <v>0.53291699999999997</v>
      </c>
      <c r="KQ79">
        <v>0.35469099999999998</v>
      </c>
      <c r="KR79">
        <v>0.22387699999999999</v>
      </c>
      <c r="KS79">
        <v>0.19034100000000001</v>
      </c>
      <c r="KT79">
        <v>0.132051</v>
      </c>
      <c r="KU79" t="s">
        <v>114</v>
      </c>
      <c r="KV79">
        <v>0.10004</v>
      </c>
      <c r="KW79">
        <v>0.127355</v>
      </c>
      <c r="KX79">
        <v>5.5087999999999998E-2</v>
      </c>
      <c r="KY79">
        <v>0.174766</v>
      </c>
      <c r="KZ79">
        <v>4.4427000000000001E-2</v>
      </c>
      <c r="LA79">
        <v>0.104396</v>
      </c>
      <c r="LB79">
        <v>8.8344000000000006E-2</v>
      </c>
      <c r="LC79">
        <v>0.137599</v>
      </c>
      <c r="LD79" t="s">
        <v>114</v>
      </c>
      <c r="LE79">
        <v>0.172625</v>
      </c>
      <c r="LF79">
        <v>9.2355999999999994E-2</v>
      </c>
      <c r="LG79">
        <v>0.109677</v>
      </c>
      <c r="LH79">
        <v>0.12021</v>
      </c>
      <c r="LI79">
        <v>0.140041</v>
      </c>
      <c r="LJ79">
        <v>0.130603</v>
      </c>
      <c r="LK79">
        <v>0.13284699999999999</v>
      </c>
      <c r="LL79">
        <v>8.8418999999999998E-2</v>
      </c>
      <c r="LM79">
        <v>0.181585</v>
      </c>
      <c r="LN79">
        <v>0.77678000000000003</v>
      </c>
      <c r="LO79">
        <v>0.128104</v>
      </c>
      <c r="LP79">
        <v>0.20003399999999999</v>
      </c>
      <c r="LQ79">
        <v>8.9837E-2</v>
      </c>
      <c r="LR79" t="s">
        <v>114</v>
      </c>
      <c r="LS79">
        <v>0.26441500000000001</v>
      </c>
      <c r="LT79">
        <v>0.150228</v>
      </c>
      <c r="LU79">
        <v>7.2687000000000002E-2</v>
      </c>
      <c r="LV79">
        <v>0.15049299999999999</v>
      </c>
      <c r="LW79" t="s">
        <v>114</v>
      </c>
      <c r="LX79">
        <v>7.3255000000000001E-2</v>
      </c>
      <c r="LY79">
        <v>0.124682</v>
      </c>
      <c r="LZ79" t="s">
        <v>114</v>
      </c>
      <c r="MA79">
        <v>0.17629800000000001</v>
      </c>
      <c r="MB79">
        <v>0.189692</v>
      </c>
      <c r="MC79">
        <v>6.2030000000000002E-2</v>
      </c>
      <c r="MD79">
        <v>7.7357999999999996E-2</v>
      </c>
      <c r="ME79">
        <v>8.4522E-2</v>
      </c>
      <c r="MF79">
        <v>0.111705</v>
      </c>
      <c r="MG79">
        <v>1.8079999999999999E-2</v>
      </c>
      <c r="MH79" t="s">
        <v>114</v>
      </c>
      <c r="MI79">
        <v>0.163186</v>
      </c>
      <c r="MJ79">
        <v>0.17006399999999999</v>
      </c>
      <c r="MK79">
        <v>0.12676599999999999</v>
      </c>
      <c r="ML79" t="s">
        <v>114</v>
      </c>
      <c r="MM79">
        <v>0.106336</v>
      </c>
      <c r="MN79">
        <v>8.1365000000000007E-2</v>
      </c>
      <c r="MO79">
        <v>0.109152</v>
      </c>
      <c r="MP79">
        <v>9.5866000000000007E-2</v>
      </c>
      <c r="MQ79">
        <v>7.1817000000000006E-2</v>
      </c>
      <c r="MR79">
        <v>7.6814999999999994E-2</v>
      </c>
      <c r="MS79">
        <v>0.66744000000000003</v>
      </c>
      <c r="MT79">
        <v>9.4891000000000003E-2</v>
      </c>
      <c r="MU79">
        <v>0.100574</v>
      </c>
      <c r="MV79">
        <v>0.106387</v>
      </c>
      <c r="MW79">
        <v>8.2607E-2</v>
      </c>
      <c r="MX79" t="s">
        <v>114</v>
      </c>
      <c r="MY79" t="s">
        <v>114</v>
      </c>
      <c r="MZ79">
        <v>9.9656999999999996E-2</v>
      </c>
      <c r="NA79">
        <v>0.15776799999999999</v>
      </c>
      <c r="NB79">
        <v>0.12728</v>
      </c>
      <c r="NC79">
        <v>7.3896000000000003E-2</v>
      </c>
      <c r="ND79">
        <v>0.1021</v>
      </c>
      <c r="NE79">
        <v>0.10944</v>
      </c>
      <c r="NF79">
        <v>0.31807999999999997</v>
      </c>
      <c r="NG79">
        <v>5.1447E-2</v>
      </c>
      <c r="NH79">
        <v>6.6234000000000001E-2</v>
      </c>
      <c r="NI79">
        <v>6.6195000000000004E-2</v>
      </c>
      <c r="NJ79">
        <v>7.9366000000000006E-2</v>
      </c>
      <c r="NK79">
        <v>5.4773000000000002E-2</v>
      </c>
      <c r="NL79">
        <v>9.0214000000000003E-2</v>
      </c>
      <c r="NM79">
        <v>8.4705000000000003E-2</v>
      </c>
      <c r="NN79">
        <v>0.13130700000000001</v>
      </c>
      <c r="NO79">
        <v>7.7202999999999994E-2</v>
      </c>
      <c r="NP79">
        <v>7.9238000000000003E-2</v>
      </c>
      <c r="NQ79" t="s">
        <v>114</v>
      </c>
      <c r="NR79">
        <v>8.7042999999999995E-2</v>
      </c>
      <c r="NS79">
        <v>8.0223000000000003E-2</v>
      </c>
      <c r="NT79">
        <v>5.7824E-2</v>
      </c>
      <c r="NU79">
        <v>7.4873999999999996E-2</v>
      </c>
      <c r="NV79">
        <v>5.7019E-2</v>
      </c>
      <c r="NW79">
        <v>6.3763E-2</v>
      </c>
      <c r="NX79">
        <v>5.1639999999999998E-2</v>
      </c>
      <c r="NY79" t="s">
        <v>114</v>
      </c>
      <c r="NZ79" t="s">
        <v>114</v>
      </c>
      <c r="OA79">
        <v>7.9984E-2</v>
      </c>
      <c r="OB79">
        <v>5.7124000000000001E-2</v>
      </c>
      <c r="OC79">
        <v>7.4908000000000002E-2</v>
      </c>
      <c r="OD79">
        <v>5.008E-2</v>
      </c>
      <c r="OE79">
        <v>8.7969000000000006E-2</v>
      </c>
      <c r="OF79" t="s">
        <v>114</v>
      </c>
      <c r="OG79">
        <v>6.6740999999999995E-2</v>
      </c>
      <c r="OH79">
        <v>8.8787000000000005E-2</v>
      </c>
      <c r="OI79" t="s">
        <v>114</v>
      </c>
      <c r="OJ79">
        <v>6.7613000000000006E-2</v>
      </c>
      <c r="OK79">
        <v>7.5291999999999998E-2</v>
      </c>
      <c r="OL79">
        <v>9.3608999999999998E-2</v>
      </c>
      <c r="OM79">
        <v>0.14576</v>
      </c>
      <c r="ON79">
        <v>8.9604000000000003E-2</v>
      </c>
      <c r="OO79" t="s">
        <v>114</v>
      </c>
      <c r="OP79">
        <v>9.5243999999999995E-2</v>
      </c>
      <c r="OQ79" t="s">
        <v>114</v>
      </c>
      <c r="OR79" t="s">
        <v>114</v>
      </c>
      <c r="OS79" t="s">
        <v>114</v>
      </c>
      <c r="OT79" t="s">
        <v>114</v>
      </c>
      <c r="OU79" t="s">
        <v>114</v>
      </c>
      <c r="OV79" t="s">
        <v>114</v>
      </c>
      <c r="OW79" t="s">
        <v>114</v>
      </c>
      <c r="OX79">
        <v>0.33800000000000002</v>
      </c>
      <c r="OY79" t="s">
        <v>114</v>
      </c>
      <c r="OZ79" t="s">
        <v>114</v>
      </c>
      <c r="PA79" t="s">
        <v>114</v>
      </c>
      <c r="PB79">
        <v>0.11962</v>
      </c>
      <c r="PC79">
        <v>0.12501799999999999</v>
      </c>
      <c r="PD79" t="s">
        <v>114</v>
      </c>
      <c r="PE79">
        <v>0.127997</v>
      </c>
      <c r="PF79">
        <v>0.41713699999999998</v>
      </c>
      <c r="PG79">
        <v>0.16042400000000001</v>
      </c>
      <c r="PH79">
        <v>0.13039000000000001</v>
      </c>
      <c r="PI79">
        <v>0.32974500000000001</v>
      </c>
      <c r="PJ79">
        <v>0.22290199999999999</v>
      </c>
      <c r="PK79">
        <v>0.264905</v>
      </c>
      <c r="PL79" t="s">
        <v>114</v>
      </c>
      <c r="PM79">
        <v>0.16925899999999999</v>
      </c>
      <c r="PN79" t="s">
        <v>114</v>
      </c>
      <c r="PO79" t="s">
        <v>114</v>
      </c>
      <c r="PP79">
        <v>0.405447</v>
      </c>
      <c r="PQ79">
        <v>0.239701</v>
      </c>
      <c r="PR79">
        <v>4.7115999999999998E-2</v>
      </c>
      <c r="PS79">
        <v>0.13141600000000001</v>
      </c>
      <c r="PT79">
        <v>0.214064</v>
      </c>
      <c r="PU79">
        <v>0.120632</v>
      </c>
      <c r="PV79">
        <v>0.127363</v>
      </c>
      <c r="PW79">
        <v>0.133877</v>
      </c>
      <c r="PX79">
        <v>0.121841</v>
      </c>
      <c r="PY79">
        <v>0.12534999999999999</v>
      </c>
      <c r="PZ79">
        <v>0.122084</v>
      </c>
      <c r="QA79">
        <v>0.19678300000000001</v>
      </c>
      <c r="QB79">
        <v>9.9387000000000003E-2</v>
      </c>
      <c r="QC79">
        <v>0.287576</v>
      </c>
      <c r="QD79">
        <v>0.12433</v>
      </c>
      <c r="QE79">
        <v>6.2355000000000001E-2</v>
      </c>
      <c r="QF79">
        <v>0.48386400000000002</v>
      </c>
      <c r="QG79">
        <v>0.177425</v>
      </c>
      <c r="QH79" t="s">
        <v>114</v>
      </c>
      <c r="QI79" t="s">
        <v>114</v>
      </c>
      <c r="QJ79">
        <v>9.1403999999999999E-2</v>
      </c>
      <c r="QK79">
        <v>0.204792</v>
      </c>
      <c r="QL79" t="s">
        <v>114</v>
      </c>
      <c r="QM79">
        <v>0.29495300000000002</v>
      </c>
      <c r="QN79" t="s">
        <v>114</v>
      </c>
      <c r="QO79">
        <v>5.6836999999999999E-2</v>
      </c>
      <c r="QP79">
        <v>0.97214699999999998</v>
      </c>
      <c r="QQ79" t="s">
        <v>114</v>
      </c>
      <c r="QR79" t="s">
        <v>114</v>
      </c>
      <c r="QS79">
        <v>0.114204</v>
      </c>
      <c r="QT79" t="s">
        <v>114</v>
      </c>
      <c r="QU79" t="s">
        <v>114</v>
      </c>
      <c r="QV79">
        <v>0.18053900000000001</v>
      </c>
      <c r="QW79">
        <v>0.124308</v>
      </c>
      <c r="QX79">
        <v>6.5119999999999997E-2</v>
      </c>
      <c r="QY79">
        <v>7.6928999999999997E-2</v>
      </c>
      <c r="QZ79">
        <v>0.18387999999999999</v>
      </c>
      <c r="RA79">
        <v>0.15873699999999999</v>
      </c>
      <c r="RB79">
        <v>0.123989</v>
      </c>
      <c r="RC79">
        <v>0.80488400000000004</v>
      </c>
      <c r="RD79">
        <v>6.2384000000000002E-2</v>
      </c>
      <c r="RE79">
        <v>9.7448999999999994E-2</v>
      </c>
      <c r="RF79">
        <v>8.8239999999999999E-2</v>
      </c>
      <c r="RG79">
        <v>9.7267000000000006E-2</v>
      </c>
      <c r="RH79">
        <v>5.5355000000000001E-2</v>
      </c>
      <c r="RI79">
        <v>6.9777000000000006E-2</v>
      </c>
      <c r="RJ79">
        <v>0.135381</v>
      </c>
      <c r="RK79">
        <v>9.9408999999999997E-2</v>
      </c>
      <c r="RL79">
        <v>5.9473999999999999E-2</v>
      </c>
      <c r="RM79">
        <v>0.172453</v>
      </c>
      <c r="RN79">
        <v>3.2303999999999999E-2</v>
      </c>
      <c r="RO79">
        <v>0.11876200000000001</v>
      </c>
      <c r="RP79" t="s">
        <v>114</v>
      </c>
      <c r="RQ79">
        <v>0.18009700000000001</v>
      </c>
      <c r="RR79">
        <v>7.8881999999999994E-2</v>
      </c>
      <c r="RS79">
        <v>3.6805999999999998E-2</v>
      </c>
      <c r="RT79">
        <v>9.3453999999999995E-2</v>
      </c>
      <c r="RU79">
        <v>5.0194999999999997E-2</v>
      </c>
      <c r="RV79">
        <v>0.101997</v>
      </c>
      <c r="RW79">
        <v>0.23925199999999999</v>
      </c>
      <c r="RX79">
        <v>3.1813000000000001E-2</v>
      </c>
      <c r="RY79">
        <v>0.134709</v>
      </c>
      <c r="RZ79">
        <v>8.8586999999999999E-2</v>
      </c>
      <c r="SA79">
        <v>9.6283999999999995E-2</v>
      </c>
      <c r="SB79">
        <v>7.8280000000000002E-2</v>
      </c>
      <c r="SC79">
        <v>5.6798000000000001E-2</v>
      </c>
      <c r="SD79">
        <v>8.2100999999999993E-2</v>
      </c>
      <c r="SE79">
        <v>9.6050999999999997E-2</v>
      </c>
      <c r="SF79">
        <v>9.1234999999999997E-2</v>
      </c>
      <c r="SG79">
        <v>7.7549999999999994E-2</v>
      </c>
      <c r="SH79">
        <v>2.2383730000000002</v>
      </c>
      <c r="SI79">
        <v>0.10914600000000001</v>
      </c>
      <c r="SJ79">
        <v>6.6960000000000006E-2</v>
      </c>
      <c r="SK79" t="s">
        <v>114</v>
      </c>
      <c r="SL79" t="s">
        <v>114</v>
      </c>
      <c r="SM79">
        <v>2.5600000000000001E-2</v>
      </c>
      <c r="SN79">
        <v>0.10176499999999999</v>
      </c>
      <c r="SO79" t="s">
        <v>114</v>
      </c>
      <c r="SP79">
        <v>5.5032999999999999E-2</v>
      </c>
      <c r="SQ79">
        <v>5.3519999999999998E-2</v>
      </c>
      <c r="SR79">
        <v>0.121504</v>
      </c>
      <c r="SS79">
        <v>0.120126</v>
      </c>
      <c r="ST79">
        <v>8.3320000000000005E-2</v>
      </c>
      <c r="SU79">
        <v>0.10112699999999999</v>
      </c>
      <c r="SV79" t="s">
        <v>114</v>
      </c>
      <c r="SW79">
        <v>0.10256700000000001</v>
      </c>
      <c r="SX79" t="s">
        <v>114</v>
      </c>
      <c r="SY79">
        <v>4.7114999999999997E-2</v>
      </c>
      <c r="SZ79">
        <v>9.0301999999999993E-2</v>
      </c>
      <c r="TA79">
        <v>0.108135</v>
      </c>
      <c r="TB79">
        <v>5.5376000000000002E-2</v>
      </c>
      <c r="TC79">
        <v>9.3092999999999995E-2</v>
      </c>
      <c r="TD79">
        <v>9.9214999999999998E-2</v>
      </c>
      <c r="TE79">
        <v>6.5898999999999999E-2</v>
      </c>
      <c r="TF79">
        <v>5.8226E-2</v>
      </c>
      <c r="TG79">
        <v>5.5541E-2</v>
      </c>
      <c r="TH79">
        <v>6.2809000000000004E-2</v>
      </c>
      <c r="TI79">
        <v>6.0607000000000001E-2</v>
      </c>
      <c r="TJ79" t="s">
        <v>114</v>
      </c>
      <c r="TK79">
        <v>6.9624000000000005E-2</v>
      </c>
      <c r="TL79" t="s">
        <v>114</v>
      </c>
      <c r="TM79" t="s">
        <v>114</v>
      </c>
      <c r="TN79">
        <v>0.10445699999999999</v>
      </c>
      <c r="TO79" t="s">
        <v>114</v>
      </c>
      <c r="TP79">
        <v>9.7175999999999998E-2</v>
      </c>
      <c r="TQ79">
        <v>7.3746999999999993E-2</v>
      </c>
      <c r="TR79">
        <v>7.2173000000000001E-2</v>
      </c>
      <c r="TS79">
        <v>0.294624</v>
      </c>
      <c r="TT79">
        <v>6.7599999999999993E-2</v>
      </c>
      <c r="TU79" t="s">
        <v>114</v>
      </c>
      <c r="TV79">
        <v>7.9563999999999996E-2</v>
      </c>
      <c r="TW79">
        <v>0.45612599999999998</v>
      </c>
      <c r="TX79">
        <v>0.107225</v>
      </c>
      <c r="TY79" t="s">
        <v>114</v>
      </c>
      <c r="TZ79">
        <v>0.15837000000000001</v>
      </c>
      <c r="UA79">
        <v>0.12662899999999999</v>
      </c>
      <c r="UB79">
        <v>0.105976</v>
      </c>
      <c r="UC79" t="s">
        <v>114</v>
      </c>
      <c r="UD79">
        <v>0.114203</v>
      </c>
      <c r="UE79">
        <v>0.123407</v>
      </c>
      <c r="UF79">
        <v>8.1678000000000001E-2</v>
      </c>
      <c r="UG79">
        <v>0.18368000000000001</v>
      </c>
      <c r="UH79" t="s">
        <v>114</v>
      </c>
      <c r="UI79">
        <v>0.14898500000000001</v>
      </c>
      <c r="UJ79">
        <v>0.10625999999999999</v>
      </c>
      <c r="UK79">
        <v>9.1703000000000007E-2</v>
      </c>
      <c r="UL79">
        <v>0.119535</v>
      </c>
      <c r="UM79" t="s">
        <v>114</v>
      </c>
      <c r="UN79" t="s">
        <v>114</v>
      </c>
      <c r="UO79" t="s">
        <v>114</v>
      </c>
      <c r="UP79">
        <v>9.4856999999999997E-2</v>
      </c>
      <c r="UQ79" t="s">
        <v>114</v>
      </c>
      <c r="UR79">
        <v>0.16864599999999999</v>
      </c>
      <c r="US79">
        <v>0.149202</v>
      </c>
      <c r="UT79">
        <v>5.9970999999999997E-2</v>
      </c>
      <c r="UU79">
        <v>8.9858999999999994E-2</v>
      </c>
      <c r="UV79">
        <v>8.1203999999999998E-2</v>
      </c>
      <c r="UW79" t="s">
        <v>114</v>
      </c>
      <c r="UX79">
        <v>0.17170299999999999</v>
      </c>
      <c r="UY79">
        <v>0.108228</v>
      </c>
      <c r="UZ79" t="s">
        <v>114</v>
      </c>
      <c r="VA79">
        <v>0.18532100000000001</v>
      </c>
      <c r="VB79">
        <v>0.12424</v>
      </c>
      <c r="VC79" t="s">
        <v>114</v>
      </c>
      <c r="VD79">
        <v>3.7055999999999999E-2</v>
      </c>
      <c r="VE79">
        <v>0.102412</v>
      </c>
      <c r="VF79">
        <v>0.157225</v>
      </c>
      <c r="VG79">
        <v>4.3681999999999999E-2</v>
      </c>
      <c r="VH79">
        <v>1.0687759999999999</v>
      </c>
      <c r="VI79" t="s">
        <v>114</v>
      </c>
      <c r="VJ79" t="s">
        <v>114</v>
      </c>
      <c r="VK79" t="s">
        <v>114</v>
      </c>
      <c r="VL79" t="s">
        <v>114</v>
      </c>
      <c r="VM79" t="s">
        <v>114</v>
      </c>
      <c r="VN79">
        <v>2.324E-2</v>
      </c>
      <c r="VO79">
        <v>0.25983600000000001</v>
      </c>
      <c r="VP79">
        <v>0.494921</v>
      </c>
      <c r="VQ79">
        <v>9.6519999999999995E-2</v>
      </c>
      <c r="VR79">
        <v>0.33436700000000003</v>
      </c>
      <c r="VS79">
        <v>0.32671600000000001</v>
      </c>
      <c r="VT79" t="s">
        <v>114</v>
      </c>
      <c r="VU79">
        <v>0.10199999999999999</v>
      </c>
      <c r="VV79" t="s">
        <v>114</v>
      </c>
      <c r="VW79" t="s">
        <v>114</v>
      </c>
      <c r="VX79" t="s">
        <v>114</v>
      </c>
      <c r="VY79">
        <v>0.162083</v>
      </c>
      <c r="VZ79">
        <v>8.8739999999999999E-2</v>
      </c>
      <c r="WA79" t="s">
        <v>114</v>
      </c>
      <c r="WB79" t="s">
        <v>114</v>
      </c>
      <c r="WC79" t="s">
        <v>114</v>
      </c>
      <c r="WD79">
        <v>0.19215199999999999</v>
      </c>
      <c r="WE79">
        <v>0.31972200000000001</v>
      </c>
      <c r="WF79">
        <v>0.320021</v>
      </c>
      <c r="WG79">
        <v>8.0775E-2</v>
      </c>
      <c r="WH79" t="s">
        <v>114</v>
      </c>
      <c r="WI79">
        <v>0.14407300000000001</v>
      </c>
      <c r="WJ79">
        <v>4.8559999999999999E-2</v>
      </c>
      <c r="WK79">
        <v>0.20180400000000001</v>
      </c>
      <c r="WL79" t="s">
        <v>114</v>
      </c>
      <c r="WM79">
        <v>6.9821999999999995E-2</v>
      </c>
      <c r="WN79">
        <v>9.7777000000000003E-2</v>
      </c>
      <c r="WO79">
        <v>0.116691</v>
      </c>
      <c r="WP79">
        <v>6.2441999999999998E-2</v>
      </c>
      <c r="WQ79">
        <v>7.3312000000000002E-2</v>
      </c>
      <c r="WR79" t="s">
        <v>114</v>
      </c>
      <c r="WS79">
        <v>8.2742999999999997E-2</v>
      </c>
      <c r="WT79" t="s">
        <v>114</v>
      </c>
      <c r="WU79">
        <v>3.0839999999999999E-2</v>
      </c>
      <c r="WV79" t="s">
        <v>114</v>
      </c>
      <c r="WW79">
        <v>0.19986300000000001</v>
      </c>
      <c r="WX79">
        <v>0.16632</v>
      </c>
      <c r="WY79" t="s">
        <v>114</v>
      </c>
      <c r="WZ79">
        <v>1.272E-2</v>
      </c>
      <c r="XA79">
        <v>0.163578</v>
      </c>
      <c r="XB79" t="s">
        <v>114</v>
      </c>
      <c r="XC79">
        <v>4.6339999999999999E-2</v>
      </c>
      <c r="XD79">
        <v>0.50836000000000003</v>
      </c>
      <c r="XE79">
        <v>9.8087999999999995E-2</v>
      </c>
      <c r="XF79" t="s">
        <v>114</v>
      </c>
      <c r="XG79">
        <v>0.10359599999999999</v>
      </c>
      <c r="XH79">
        <v>9.9926000000000001E-2</v>
      </c>
      <c r="XI79" t="s">
        <v>114</v>
      </c>
      <c r="XJ79">
        <v>7.5227000000000002E-2</v>
      </c>
      <c r="XK79">
        <v>0.101156</v>
      </c>
      <c r="XL79">
        <v>0.118773</v>
      </c>
      <c r="XM79">
        <v>0.105962</v>
      </c>
      <c r="XN79">
        <v>0.13551299999999999</v>
      </c>
      <c r="XO79">
        <v>0.91768000000000005</v>
      </c>
      <c r="XP79" t="s">
        <v>114</v>
      </c>
      <c r="XQ79" t="s">
        <v>114</v>
      </c>
      <c r="XR79">
        <v>0.38982</v>
      </c>
      <c r="XS79">
        <v>0.18077299999999999</v>
      </c>
      <c r="XT79">
        <v>0.126689</v>
      </c>
      <c r="XU79" t="s">
        <v>114</v>
      </c>
      <c r="XV79" t="s">
        <v>114</v>
      </c>
      <c r="XW79" t="s">
        <v>114</v>
      </c>
      <c r="XX79">
        <v>0.10961600000000001</v>
      </c>
      <c r="XY79">
        <v>6.1843000000000002E-2</v>
      </c>
      <c r="XZ79">
        <v>9.2802999999999997E-2</v>
      </c>
      <c r="YA79">
        <v>3.4576000000000003E-2</v>
      </c>
      <c r="YB79">
        <v>0.27840999999999999</v>
      </c>
      <c r="YC79">
        <v>0.10839</v>
      </c>
      <c r="YD79" t="s">
        <v>114</v>
      </c>
      <c r="YE79">
        <v>0.20641699999999999</v>
      </c>
      <c r="YF79" t="s">
        <v>114</v>
      </c>
      <c r="YG79">
        <v>0.137602</v>
      </c>
      <c r="YH79" t="s">
        <v>114</v>
      </c>
      <c r="YI79" t="s">
        <v>114</v>
      </c>
      <c r="YJ79">
        <v>0.109322</v>
      </c>
      <c r="YK79">
        <v>9.4545000000000004E-2</v>
      </c>
      <c r="YL79">
        <v>0.14278099999999999</v>
      </c>
      <c r="YM79">
        <v>0.146313</v>
      </c>
      <c r="YN79" t="s">
        <v>114</v>
      </c>
      <c r="YO79" t="s">
        <v>114</v>
      </c>
      <c r="YP79">
        <v>1.73376</v>
      </c>
      <c r="YQ79">
        <v>0.166627</v>
      </c>
      <c r="YR79">
        <v>0.245953</v>
      </c>
      <c r="YS79">
        <v>0.58043999999999996</v>
      </c>
      <c r="YT79" t="s">
        <v>114</v>
      </c>
      <c r="YU79">
        <v>0.11490400000000001</v>
      </c>
      <c r="YV79">
        <v>0.201242</v>
      </c>
      <c r="YW79" t="s">
        <v>114</v>
      </c>
      <c r="YX79" t="s">
        <v>114</v>
      </c>
      <c r="YY79">
        <v>2.972E-2</v>
      </c>
      <c r="YZ79">
        <v>0.18742600000000001</v>
      </c>
      <c r="ZA79">
        <v>0.13003500000000001</v>
      </c>
      <c r="ZB79">
        <v>1.78424</v>
      </c>
      <c r="ZC79">
        <v>0.120558</v>
      </c>
      <c r="ZD79">
        <v>0.10681499999999999</v>
      </c>
      <c r="ZE79">
        <v>0.116119</v>
      </c>
      <c r="ZF79" t="s">
        <v>114</v>
      </c>
      <c r="ZG79">
        <v>0.129635</v>
      </c>
      <c r="ZH79">
        <v>8.3378999999999995E-2</v>
      </c>
      <c r="ZI79">
        <v>0.41504000000000002</v>
      </c>
      <c r="ZJ79">
        <v>7.8928999999999999E-2</v>
      </c>
      <c r="ZK79" t="s">
        <v>114</v>
      </c>
      <c r="ZL79">
        <v>0.39910000000000001</v>
      </c>
      <c r="ZM79">
        <v>0.140212</v>
      </c>
      <c r="ZN79">
        <v>0.314085</v>
      </c>
      <c r="ZO79">
        <v>0.12839999999999999</v>
      </c>
      <c r="ZP79" t="s">
        <v>114</v>
      </c>
      <c r="ZQ79" t="s">
        <v>114</v>
      </c>
      <c r="ZR79" t="s">
        <v>114</v>
      </c>
      <c r="ZS79" t="s">
        <v>114</v>
      </c>
      <c r="ZT79" t="s">
        <v>114</v>
      </c>
      <c r="ZU79" t="s">
        <v>114</v>
      </c>
      <c r="ZV79">
        <v>0.12235699999999999</v>
      </c>
      <c r="ZW79" t="s">
        <v>114</v>
      </c>
      <c r="ZX79">
        <v>1.0959000000000001</v>
      </c>
      <c r="ZY79">
        <v>0.25832899999999998</v>
      </c>
      <c r="ZZ79">
        <v>0.190745</v>
      </c>
      <c r="AAA79">
        <v>0.11988699999999999</v>
      </c>
      <c r="AAB79">
        <v>0.21204200000000001</v>
      </c>
      <c r="AAC79">
        <v>0.29055500000000001</v>
      </c>
      <c r="AAD79">
        <v>0.125415</v>
      </c>
      <c r="AAE79">
        <v>6.8171999999999996E-2</v>
      </c>
      <c r="AAF79">
        <v>6.4701999999999996E-2</v>
      </c>
      <c r="AAG79">
        <v>8.7018999999999999E-2</v>
      </c>
      <c r="AAH79" t="s">
        <v>114</v>
      </c>
      <c r="AAI79">
        <v>1.77376</v>
      </c>
      <c r="AAJ79">
        <v>0.14463999999999999</v>
      </c>
      <c r="AAK79" t="s">
        <v>114</v>
      </c>
      <c r="AAL79" t="s">
        <v>114</v>
      </c>
      <c r="AAM79">
        <v>0.140458</v>
      </c>
      <c r="AAN79">
        <v>8.9140999999999998E-2</v>
      </c>
      <c r="AAO79">
        <v>7.7394000000000004E-2</v>
      </c>
      <c r="AAP79" t="s">
        <v>114</v>
      </c>
      <c r="AAQ79">
        <v>0.127418</v>
      </c>
      <c r="AAR79">
        <v>0.14202699999999999</v>
      </c>
      <c r="AAS79" t="s">
        <v>114</v>
      </c>
      <c r="AAT79">
        <v>3.9904000000000002E-2</v>
      </c>
      <c r="AAU79">
        <v>4.6293000000000001E-2</v>
      </c>
      <c r="AAV79">
        <v>7.1679999999999994E-2</v>
      </c>
      <c r="AAW79">
        <v>0.11111500000000001</v>
      </c>
      <c r="AAX79" t="s">
        <v>114</v>
      </c>
      <c r="AAY79" t="s">
        <v>114</v>
      </c>
      <c r="AAZ79" t="s">
        <v>114</v>
      </c>
      <c r="ABA79">
        <v>0.103714</v>
      </c>
      <c r="ABB79">
        <v>3.6401999999999997E-2</v>
      </c>
      <c r="ABC79">
        <v>0.11952500000000001</v>
      </c>
      <c r="ABD79" t="s">
        <v>114</v>
      </c>
      <c r="ABE79">
        <v>7.2108000000000005E-2</v>
      </c>
      <c r="ABF79" t="s">
        <v>114</v>
      </c>
      <c r="ABG79">
        <v>0.101108</v>
      </c>
      <c r="ABH79">
        <v>9.0751999999999999E-2</v>
      </c>
      <c r="ABI79" t="s">
        <v>114</v>
      </c>
      <c r="ABJ79">
        <v>8.0905000000000005E-2</v>
      </c>
      <c r="ABK79">
        <v>8.0309000000000005E-2</v>
      </c>
      <c r="ABL79" t="s">
        <v>114</v>
      </c>
      <c r="ABM79">
        <v>8.5980000000000001E-2</v>
      </c>
      <c r="ABN79" t="s">
        <v>114</v>
      </c>
      <c r="ABO79" t="s">
        <v>114</v>
      </c>
      <c r="ABP79">
        <v>2.1940000000000001E-2</v>
      </c>
      <c r="ABQ79" t="s">
        <v>114</v>
      </c>
      <c r="ABR79">
        <v>0.16572700000000001</v>
      </c>
      <c r="ABS79">
        <v>8.7744000000000003E-2</v>
      </c>
      <c r="ABT79" t="s">
        <v>114</v>
      </c>
      <c r="ABU79" t="s">
        <v>114</v>
      </c>
      <c r="ABV79" t="s">
        <v>114</v>
      </c>
      <c r="ABW79" t="s">
        <v>114</v>
      </c>
      <c r="ABX79">
        <v>0.12168</v>
      </c>
      <c r="ABY79" t="s">
        <v>114</v>
      </c>
      <c r="ABZ79">
        <v>7.7341999999999994E-2</v>
      </c>
      <c r="ACA79">
        <v>8.8745000000000004E-2</v>
      </c>
      <c r="ACB79">
        <v>0.17144000000000001</v>
      </c>
      <c r="ACC79">
        <v>8.2605999999999999E-2</v>
      </c>
      <c r="ACD79" t="s">
        <v>114</v>
      </c>
      <c r="ACE79">
        <v>2.3279999999999999E-2</v>
      </c>
      <c r="ACF79" t="s">
        <v>114</v>
      </c>
      <c r="ACG79" t="s">
        <v>114</v>
      </c>
      <c r="ACH79" t="s">
        <v>114</v>
      </c>
      <c r="ACI79" t="s">
        <v>114</v>
      </c>
      <c r="ACJ79" t="s">
        <v>114</v>
      </c>
      <c r="ACK79">
        <v>8.8840000000000002E-2</v>
      </c>
      <c r="ACL79">
        <v>7.5223999999999999E-2</v>
      </c>
      <c r="ACM79" t="s">
        <v>114</v>
      </c>
      <c r="ACN79">
        <v>0.36439100000000002</v>
      </c>
      <c r="ACO79">
        <v>0.11287700000000001</v>
      </c>
    </row>
    <row r="80" spans="1:769" x14ac:dyDescent="0.25">
      <c r="A80" t="s">
        <v>87</v>
      </c>
      <c r="B80" t="s">
        <v>114</v>
      </c>
      <c r="C80" t="s">
        <v>114</v>
      </c>
      <c r="D80">
        <v>23.456954</v>
      </c>
      <c r="E80" t="s">
        <v>114</v>
      </c>
      <c r="F80">
        <v>18.29927</v>
      </c>
      <c r="G80">
        <v>22.237762</v>
      </c>
      <c r="H80">
        <v>16.538461999999999</v>
      </c>
      <c r="I80">
        <v>7.9230770000000001</v>
      </c>
      <c r="J80" t="s">
        <v>114</v>
      </c>
      <c r="K80">
        <v>8.40625</v>
      </c>
      <c r="L80" t="s">
        <v>114</v>
      </c>
      <c r="M80">
        <v>17.495798000000001</v>
      </c>
      <c r="N80" t="s">
        <v>114</v>
      </c>
      <c r="O80">
        <v>17.973913</v>
      </c>
      <c r="P80">
        <v>9.796875</v>
      </c>
      <c r="Q80" t="s">
        <v>114</v>
      </c>
      <c r="R80">
        <v>4.5714290000000002</v>
      </c>
      <c r="S80">
        <v>4.8</v>
      </c>
      <c r="T80">
        <v>5.4736840000000004</v>
      </c>
      <c r="U80">
        <v>15.203125</v>
      </c>
      <c r="V80">
        <v>12.611110999999999</v>
      </c>
      <c r="W80" t="s">
        <v>114</v>
      </c>
      <c r="X80">
        <v>9.7640449999999994</v>
      </c>
      <c r="Y80">
        <v>7.0714290000000002</v>
      </c>
      <c r="Z80" t="s">
        <v>114</v>
      </c>
      <c r="AA80">
        <v>13.251852</v>
      </c>
      <c r="AB80">
        <v>10.182691999999999</v>
      </c>
      <c r="AC80">
        <v>10.339449999999999</v>
      </c>
      <c r="AD80" t="s">
        <v>114</v>
      </c>
      <c r="AE80">
        <v>11.237410000000001</v>
      </c>
      <c r="AF80">
        <v>5.4444439999999998</v>
      </c>
      <c r="AG80">
        <v>10.508475000000001</v>
      </c>
      <c r="AH80">
        <v>5.6923079999999997</v>
      </c>
      <c r="AI80">
        <v>9.94</v>
      </c>
      <c r="AJ80">
        <v>18.264706</v>
      </c>
      <c r="AK80">
        <v>24.1875</v>
      </c>
      <c r="AL80">
        <v>12.892308</v>
      </c>
      <c r="AM80">
        <v>6.2307689999999996</v>
      </c>
      <c r="AN80">
        <v>16.629629999999999</v>
      </c>
      <c r="AO80">
        <v>19.125926</v>
      </c>
      <c r="AP80">
        <v>11.342466</v>
      </c>
      <c r="AQ80">
        <v>8.92</v>
      </c>
      <c r="AR80">
        <v>16.167883</v>
      </c>
      <c r="AS80">
        <v>9.4347829999999995</v>
      </c>
      <c r="AT80">
        <v>16</v>
      </c>
      <c r="AU80">
        <v>7.5405410000000002</v>
      </c>
      <c r="AV80">
        <v>5.5</v>
      </c>
      <c r="AW80">
        <v>11.138211</v>
      </c>
      <c r="AX80">
        <v>16.396947000000001</v>
      </c>
      <c r="AY80">
        <v>5.9230770000000001</v>
      </c>
      <c r="AZ80">
        <v>10.31068</v>
      </c>
      <c r="BA80">
        <v>18.689076</v>
      </c>
      <c r="BB80">
        <v>6.4545450000000004</v>
      </c>
      <c r="BC80" t="s">
        <v>114</v>
      </c>
      <c r="BD80">
        <v>13.396552</v>
      </c>
      <c r="BE80">
        <v>26.782609000000001</v>
      </c>
      <c r="BF80">
        <v>15.641667</v>
      </c>
      <c r="BG80">
        <v>8.5625</v>
      </c>
      <c r="BH80">
        <v>6.8333329999999997</v>
      </c>
      <c r="BI80">
        <v>12.153846</v>
      </c>
      <c r="BJ80">
        <v>16.830645000000001</v>
      </c>
      <c r="BK80">
        <v>11.511111</v>
      </c>
      <c r="BL80">
        <v>10</v>
      </c>
      <c r="BM80">
        <v>17.164062999999999</v>
      </c>
      <c r="BN80">
        <v>4.6666670000000003</v>
      </c>
      <c r="BO80" t="s">
        <v>114</v>
      </c>
      <c r="BP80">
        <v>16.478261</v>
      </c>
      <c r="BQ80">
        <v>24.194030000000001</v>
      </c>
      <c r="BR80" t="s">
        <v>114</v>
      </c>
      <c r="BS80">
        <v>23.917808000000001</v>
      </c>
      <c r="BT80">
        <v>13.073171</v>
      </c>
      <c r="BU80" t="s">
        <v>114</v>
      </c>
      <c r="BV80">
        <v>7.1081079999999996</v>
      </c>
      <c r="BW80">
        <v>23.454545</v>
      </c>
      <c r="BX80">
        <v>7</v>
      </c>
      <c r="BY80">
        <v>4.3333329999999997</v>
      </c>
      <c r="BZ80">
        <v>18.777778000000001</v>
      </c>
      <c r="CA80">
        <v>25.5</v>
      </c>
      <c r="CB80">
        <v>8</v>
      </c>
      <c r="CC80">
        <v>12.581395000000001</v>
      </c>
      <c r="CD80">
        <v>6.9629630000000002</v>
      </c>
      <c r="CE80">
        <v>11.428571</v>
      </c>
      <c r="CF80">
        <v>11.185185000000001</v>
      </c>
      <c r="CG80">
        <v>18.828125</v>
      </c>
      <c r="CH80" t="s">
        <v>114</v>
      </c>
      <c r="CI80">
        <v>12.962263999999999</v>
      </c>
      <c r="CJ80">
        <v>24.523256</v>
      </c>
      <c r="CK80">
        <v>4.6666670000000003</v>
      </c>
      <c r="CL80">
        <v>20.871794999999999</v>
      </c>
      <c r="CM80">
        <v>14.053571</v>
      </c>
      <c r="CN80">
        <v>6.5</v>
      </c>
      <c r="CO80">
        <v>19.365079000000001</v>
      </c>
      <c r="CP80">
        <v>30.164705999999999</v>
      </c>
      <c r="CQ80">
        <v>14.613636</v>
      </c>
      <c r="CR80">
        <v>20.117647000000002</v>
      </c>
      <c r="CS80">
        <v>18.117647000000002</v>
      </c>
      <c r="CT80" t="s">
        <v>114</v>
      </c>
      <c r="CU80">
        <v>33.031745999999998</v>
      </c>
      <c r="CV80">
        <v>27.954545</v>
      </c>
      <c r="CW80">
        <v>16.294118000000001</v>
      </c>
      <c r="CX80">
        <v>21.9375</v>
      </c>
      <c r="CY80">
        <v>12.380952000000001</v>
      </c>
      <c r="CZ80">
        <v>26.03125</v>
      </c>
      <c r="DA80">
        <v>4</v>
      </c>
      <c r="DB80">
        <v>20.278689</v>
      </c>
      <c r="DC80">
        <v>26.234375</v>
      </c>
      <c r="DD80">
        <v>20.290323000000001</v>
      </c>
      <c r="DE80">
        <v>14.35</v>
      </c>
      <c r="DF80">
        <v>26.415385000000001</v>
      </c>
      <c r="DG80">
        <v>12.153846</v>
      </c>
      <c r="DH80">
        <v>8.3728809999999996</v>
      </c>
      <c r="DI80">
        <v>37.757576</v>
      </c>
      <c r="DJ80">
        <v>7.8928570000000002</v>
      </c>
      <c r="DK80">
        <v>4.5</v>
      </c>
      <c r="DL80">
        <v>33.056604</v>
      </c>
      <c r="DM80">
        <v>15.921348</v>
      </c>
      <c r="DN80">
        <v>12.6</v>
      </c>
      <c r="DO80">
        <v>19.481013000000001</v>
      </c>
      <c r="DP80">
        <v>9.4923079999999995</v>
      </c>
      <c r="DQ80">
        <v>24.652632000000001</v>
      </c>
      <c r="DR80">
        <v>26.621359000000002</v>
      </c>
      <c r="DS80">
        <v>23.758865</v>
      </c>
      <c r="DT80">
        <v>4.6666670000000003</v>
      </c>
      <c r="DU80">
        <v>22.413042999999998</v>
      </c>
      <c r="DV80" t="s">
        <v>114</v>
      </c>
      <c r="DW80" t="s">
        <v>114</v>
      </c>
      <c r="DX80">
        <v>16.772727</v>
      </c>
      <c r="DY80">
        <v>10.257142999999999</v>
      </c>
      <c r="DZ80">
        <v>10.318841000000001</v>
      </c>
      <c r="EA80">
        <v>19.954839</v>
      </c>
      <c r="EB80" t="s">
        <v>114</v>
      </c>
      <c r="EC80">
        <v>8</v>
      </c>
      <c r="ED80" t="s">
        <v>114</v>
      </c>
      <c r="EE80">
        <v>7.5714290000000002</v>
      </c>
      <c r="EF80">
        <v>9.3287669999999991</v>
      </c>
      <c r="EG80">
        <v>20.471429000000001</v>
      </c>
      <c r="EH80">
        <v>15.666667</v>
      </c>
      <c r="EI80">
        <v>15.102941</v>
      </c>
      <c r="EJ80">
        <v>6.6</v>
      </c>
      <c r="EK80">
        <v>6</v>
      </c>
      <c r="EL80">
        <v>11.25</v>
      </c>
      <c r="EM80">
        <v>11.8</v>
      </c>
      <c r="EN80">
        <v>5.4285709999999998</v>
      </c>
      <c r="EO80" t="s">
        <v>114</v>
      </c>
      <c r="EP80">
        <v>14.322034</v>
      </c>
      <c r="EQ80">
        <v>17.315788999999999</v>
      </c>
      <c r="ER80">
        <v>11.072727</v>
      </c>
      <c r="ES80">
        <v>7.6363640000000004</v>
      </c>
      <c r="ET80">
        <v>5.2222220000000004</v>
      </c>
      <c r="EU80">
        <v>17.969231000000001</v>
      </c>
      <c r="EV80" t="s">
        <v>114</v>
      </c>
      <c r="EW80">
        <v>5.8333329999999997</v>
      </c>
      <c r="EX80">
        <v>13.512195</v>
      </c>
      <c r="EY80">
        <v>7.25</v>
      </c>
      <c r="EZ80">
        <v>13.333333</v>
      </c>
      <c r="FA80">
        <v>14.4</v>
      </c>
      <c r="FB80" t="s">
        <v>114</v>
      </c>
      <c r="FC80">
        <v>6.9545450000000004</v>
      </c>
      <c r="FD80" t="s">
        <v>114</v>
      </c>
      <c r="FE80" t="s">
        <v>114</v>
      </c>
      <c r="FF80">
        <v>24.255319</v>
      </c>
      <c r="FG80">
        <v>28.470587999999999</v>
      </c>
      <c r="FH80">
        <v>32.072727</v>
      </c>
      <c r="FI80">
        <v>6.2</v>
      </c>
      <c r="FJ80">
        <v>24.219512000000002</v>
      </c>
      <c r="FK80">
        <v>20.130434999999999</v>
      </c>
      <c r="FL80">
        <v>25.25</v>
      </c>
      <c r="FM80">
        <v>5.8974359999999999</v>
      </c>
      <c r="FN80" t="s">
        <v>114</v>
      </c>
      <c r="FO80" t="s">
        <v>114</v>
      </c>
      <c r="FP80">
        <v>20.037735999999999</v>
      </c>
      <c r="FQ80">
        <v>9.7142859999999995</v>
      </c>
      <c r="FR80">
        <v>11.166667</v>
      </c>
      <c r="FS80">
        <v>20.464286000000001</v>
      </c>
      <c r="FT80">
        <v>8.4499999999999993</v>
      </c>
      <c r="FU80">
        <v>10.3</v>
      </c>
      <c r="FV80">
        <v>16</v>
      </c>
      <c r="FW80">
        <v>9.3725489999999994</v>
      </c>
      <c r="FX80">
        <v>11.230769</v>
      </c>
      <c r="FY80">
        <v>18.019231000000001</v>
      </c>
      <c r="FZ80">
        <v>19.631578999999999</v>
      </c>
      <c r="GA80">
        <v>9.3137249999999998</v>
      </c>
      <c r="GB80">
        <v>7.2</v>
      </c>
      <c r="GC80">
        <v>13.933332999999999</v>
      </c>
      <c r="GD80">
        <v>21.463636000000001</v>
      </c>
      <c r="GE80">
        <v>20.214953000000001</v>
      </c>
      <c r="GF80">
        <v>5.9047619999999998</v>
      </c>
      <c r="GG80">
        <v>11.818182</v>
      </c>
      <c r="GH80">
        <v>8.9743589999999998</v>
      </c>
      <c r="GI80" t="s">
        <v>114</v>
      </c>
      <c r="GJ80">
        <v>12.414634</v>
      </c>
      <c r="GK80">
        <v>12.431818</v>
      </c>
      <c r="GL80">
        <v>5</v>
      </c>
      <c r="GM80" t="s">
        <v>114</v>
      </c>
      <c r="GN80">
        <v>8.2962959999999999</v>
      </c>
      <c r="GO80" t="s">
        <v>114</v>
      </c>
      <c r="GP80">
        <v>19.385542000000001</v>
      </c>
      <c r="GQ80">
        <v>27.536584999999999</v>
      </c>
      <c r="GR80">
        <v>17.243901999999999</v>
      </c>
      <c r="GS80">
        <v>4.25</v>
      </c>
      <c r="GT80">
        <v>21.057691999999999</v>
      </c>
      <c r="GU80" t="s">
        <v>114</v>
      </c>
      <c r="GV80">
        <v>7.2962959999999999</v>
      </c>
      <c r="GW80" t="s">
        <v>114</v>
      </c>
      <c r="GX80">
        <v>10.413793</v>
      </c>
      <c r="GY80">
        <v>7.6111110000000002</v>
      </c>
      <c r="GZ80">
        <v>19.220929999999999</v>
      </c>
      <c r="HA80">
        <v>12.589744</v>
      </c>
      <c r="HB80">
        <v>14.930555999999999</v>
      </c>
      <c r="HC80">
        <v>10.942857</v>
      </c>
      <c r="HD80">
        <v>8.7241379999999999</v>
      </c>
      <c r="HE80">
        <v>6.5</v>
      </c>
      <c r="HF80" t="s">
        <v>114</v>
      </c>
      <c r="HG80">
        <v>19.932583999999999</v>
      </c>
      <c r="HH80">
        <v>26.247059</v>
      </c>
      <c r="HI80">
        <v>9.4166670000000003</v>
      </c>
      <c r="HJ80">
        <v>22.034884000000002</v>
      </c>
      <c r="HK80">
        <v>11.763158000000001</v>
      </c>
      <c r="HL80">
        <v>7.9743589999999998</v>
      </c>
      <c r="HM80">
        <v>4.5</v>
      </c>
      <c r="HN80">
        <v>5.548387</v>
      </c>
      <c r="HO80">
        <v>25.133333</v>
      </c>
      <c r="HP80">
        <v>7</v>
      </c>
      <c r="HQ80">
        <v>7.7777779999999996</v>
      </c>
      <c r="HR80">
        <v>6.6153849999999998</v>
      </c>
      <c r="HS80">
        <v>9.5</v>
      </c>
      <c r="HT80">
        <v>17.898147999999999</v>
      </c>
      <c r="HU80">
        <v>14.137499999999999</v>
      </c>
      <c r="HV80" t="s">
        <v>114</v>
      </c>
      <c r="HW80" t="s">
        <v>114</v>
      </c>
      <c r="HX80">
        <v>12.285714</v>
      </c>
      <c r="HY80">
        <v>23.739495999999999</v>
      </c>
      <c r="HZ80">
        <v>9.53125</v>
      </c>
      <c r="IA80">
        <v>4.2</v>
      </c>
      <c r="IB80" t="s">
        <v>114</v>
      </c>
      <c r="IC80" t="s">
        <v>114</v>
      </c>
      <c r="ID80" t="s">
        <v>114</v>
      </c>
      <c r="IE80">
        <v>18.079646</v>
      </c>
      <c r="IF80">
        <v>6.6511630000000004</v>
      </c>
      <c r="IG80" t="s">
        <v>114</v>
      </c>
      <c r="IH80">
        <v>9.951613</v>
      </c>
      <c r="II80" t="s">
        <v>114</v>
      </c>
      <c r="IJ80">
        <v>18.792307999999998</v>
      </c>
      <c r="IK80" t="s">
        <v>114</v>
      </c>
      <c r="IL80" t="s">
        <v>114</v>
      </c>
      <c r="IM80" t="s">
        <v>114</v>
      </c>
      <c r="IN80">
        <v>18.451128000000001</v>
      </c>
      <c r="IO80">
        <v>20.341085</v>
      </c>
      <c r="IP80">
        <v>20.119402999999998</v>
      </c>
      <c r="IQ80" t="s">
        <v>114</v>
      </c>
      <c r="IR80">
        <v>26.474074000000002</v>
      </c>
      <c r="IS80">
        <v>16.300751999999999</v>
      </c>
      <c r="IT80">
        <v>6.2692310000000004</v>
      </c>
      <c r="IU80">
        <v>5.2857139999999996</v>
      </c>
      <c r="IV80">
        <v>8.3333329999999997</v>
      </c>
      <c r="IW80">
        <v>7.6666670000000003</v>
      </c>
      <c r="IX80">
        <v>12.630435</v>
      </c>
      <c r="IY80">
        <v>17.209458999999999</v>
      </c>
      <c r="IZ80">
        <v>9.6122449999999997</v>
      </c>
      <c r="JA80">
        <v>9.2131150000000002</v>
      </c>
      <c r="JB80">
        <v>12</v>
      </c>
      <c r="JC80">
        <v>9.1538459999999997</v>
      </c>
      <c r="JD80">
        <v>18.483871000000001</v>
      </c>
      <c r="JE80">
        <v>27</v>
      </c>
      <c r="JF80">
        <v>10</v>
      </c>
      <c r="JG80">
        <v>21.794326000000002</v>
      </c>
      <c r="JH80">
        <v>5.875</v>
      </c>
      <c r="JI80">
        <v>4</v>
      </c>
      <c r="JJ80" t="s">
        <v>114</v>
      </c>
      <c r="JK80">
        <v>5.7777779999999996</v>
      </c>
      <c r="JL80">
        <v>21.371428999999999</v>
      </c>
      <c r="JM80">
        <v>11.279661000000001</v>
      </c>
      <c r="JN80">
        <v>11.795455</v>
      </c>
      <c r="JO80" t="s">
        <v>114</v>
      </c>
      <c r="JP80">
        <v>11.375</v>
      </c>
      <c r="JQ80" t="s">
        <v>114</v>
      </c>
      <c r="JR80">
        <v>9.8166670000000007</v>
      </c>
      <c r="JS80" t="s">
        <v>114</v>
      </c>
      <c r="JT80" t="s">
        <v>114</v>
      </c>
      <c r="JU80">
        <v>12.813953</v>
      </c>
      <c r="JV80" t="s">
        <v>114</v>
      </c>
      <c r="JW80">
        <v>8.6999999999999993</v>
      </c>
      <c r="JX80" t="s">
        <v>114</v>
      </c>
      <c r="JY80">
        <v>7.4</v>
      </c>
      <c r="JZ80" t="s">
        <v>114</v>
      </c>
      <c r="KA80" t="s">
        <v>114</v>
      </c>
      <c r="KB80" t="s">
        <v>114</v>
      </c>
      <c r="KC80" t="s">
        <v>114</v>
      </c>
      <c r="KD80">
        <v>23.011493999999999</v>
      </c>
      <c r="KE80">
        <v>5.7272730000000003</v>
      </c>
      <c r="KF80">
        <v>14.783784000000001</v>
      </c>
      <c r="KG80">
        <v>18.229884999999999</v>
      </c>
      <c r="KH80" t="s">
        <v>114</v>
      </c>
      <c r="KI80">
        <v>8.4482759999999999</v>
      </c>
      <c r="KJ80">
        <v>4</v>
      </c>
      <c r="KK80">
        <v>22.146066999999999</v>
      </c>
      <c r="KL80" t="s">
        <v>114</v>
      </c>
      <c r="KM80">
        <v>9.2045449999999995</v>
      </c>
      <c r="KN80">
        <v>12.977778000000001</v>
      </c>
      <c r="KO80" t="s">
        <v>114</v>
      </c>
      <c r="KP80">
        <v>14.230769</v>
      </c>
      <c r="KQ80">
        <v>16.357143000000001</v>
      </c>
      <c r="KR80">
        <v>9.4666669999999993</v>
      </c>
      <c r="KS80">
        <v>14.918032999999999</v>
      </c>
      <c r="KT80">
        <v>15.483333</v>
      </c>
      <c r="KU80" t="s">
        <v>114</v>
      </c>
      <c r="KV80">
        <v>5.25</v>
      </c>
      <c r="KW80">
        <v>23.707547000000002</v>
      </c>
      <c r="KX80">
        <v>5.5</v>
      </c>
      <c r="KY80">
        <v>19.714286000000001</v>
      </c>
      <c r="KZ80">
        <v>4.3333329999999997</v>
      </c>
      <c r="LA80">
        <v>13.833333</v>
      </c>
      <c r="LB80">
        <v>7.25</v>
      </c>
      <c r="LC80">
        <v>16.394366000000002</v>
      </c>
      <c r="LD80" t="s">
        <v>114</v>
      </c>
      <c r="LE80">
        <v>10.806452</v>
      </c>
      <c r="LF80">
        <v>8.8181820000000002</v>
      </c>
      <c r="LG80">
        <v>12.604938000000001</v>
      </c>
      <c r="LH80">
        <v>9.0370369999999998</v>
      </c>
      <c r="LI80">
        <v>10.84127</v>
      </c>
      <c r="LJ80">
        <v>18.219512000000002</v>
      </c>
      <c r="LK80">
        <v>21.915493000000001</v>
      </c>
      <c r="LL80">
        <v>18.739129999999999</v>
      </c>
      <c r="LM80">
        <v>20.338028000000001</v>
      </c>
      <c r="LN80">
        <v>10.5</v>
      </c>
      <c r="LO80">
        <v>20.936508</v>
      </c>
      <c r="LP80">
        <v>14.894736999999999</v>
      </c>
      <c r="LQ80">
        <v>18.086957000000002</v>
      </c>
      <c r="LR80" t="s">
        <v>114</v>
      </c>
      <c r="LS80">
        <v>17.769231000000001</v>
      </c>
      <c r="LT80">
        <v>17.617021000000001</v>
      </c>
      <c r="LU80">
        <v>10.795455</v>
      </c>
      <c r="LV80">
        <v>28.888888999999999</v>
      </c>
      <c r="LW80" t="s">
        <v>114</v>
      </c>
      <c r="LX80">
        <v>12.229167</v>
      </c>
      <c r="LY80">
        <v>18.753425</v>
      </c>
      <c r="LZ80" t="s">
        <v>114</v>
      </c>
      <c r="MA80">
        <v>13.87931</v>
      </c>
      <c r="MB80">
        <v>17.409091</v>
      </c>
      <c r="MC80">
        <v>6.875</v>
      </c>
      <c r="MD80">
        <v>13.773585000000001</v>
      </c>
      <c r="ME80">
        <v>19.178082</v>
      </c>
      <c r="MF80">
        <v>29.108108000000001</v>
      </c>
      <c r="MG80">
        <v>4.5</v>
      </c>
      <c r="MH80" t="s">
        <v>114</v>
      </c>
      <c r="MI80">
        <v>35.662162000000002</v>
      </c>
      <c r="MJ80">
        <v>14.195652000000001</v>
      </c>
      <c r="MK80">
        <v>21.283784000000001</v>
      </c>
      <c r="ML80" t="s">
        <v>114</v>
      </c>
      <c r="MM80">
        <v>18.915493000000001</v>
      </c>
      <c r="MN80">
        <v>18.205479</v>
      </c>
      <c r="MO80">
        <v>27.608108000000001</v>
      </c>
      <c r="MP80">
        <v>22.560345000000002</v>
      </c>
      <c r="MQ80">
        <v>6.8571429999999998</v>
      </c>
      <c r="MR80">
        <v>9.6153849999999998</v>
      </c>
      <c r="MS80">
        <v>8</v>
      </c>
      <c r="MT80">
        <v>21.949494999999999</v>
      </c>
      <c r="MU80">
        <v>9.5405409999999993</v>
      </c>
      <c r="MV80">
        <v>18.743119</v>
      </c>
      <c r="MW80">
        <v>16.43956</v>
      </c>
      <c r="MX80" t="s">
        <v>114</v>
      </c>
      <c r="MY80" t="s">
        <v>114</v>
      </c>
      <c r="MZ80">
        <v>13.910448000000001</v>
      </c>
      <c r="NA80">
        <v>12.5</v>
      </c>
      <c r="NB80">
        <v>5</v>
      </c>
      <c r="NC80">
        <v>9.766667</v>
      </c>
      <c r="ND80">
        <v>17.37931</v>
      </c>
      <c r="NE80">
        <v>7.594595</v>
      </c>
      <c r="NF80">
        <v>10</v>
      </c>
      <c r="NG80">
        <v>6.5454549999999996</v>
      </c>
      <c r="NH80">
        <v>9.7924530000000001</v>
      </c>
      <c r="NI80">
        <v>12.164557</v>
      </c>
      <c r="NJ80">
        <v>14.657658</v>
      </c>
      <c r="NK80">
        <v>4.6666670000000003</v>
      </c>
      <c r="NL80">
        <v>18.4375</v>
      </c>
      <c r="NM80">
        <v>10.428571</v>
      </c>
      <c r="NN80">
        <v>6.5</v>
      </c>
      <c r="NO80">
        <v>13.686869</v>
      </c>
      <c r="NP80">
        <v>17.55303</v>
      </c>
      <c r="NQ80" t="s">
        <v>114</v>
      </c>
      <c r="NR80">
        <v>11.776316</v>
      </c>
      <c r="NS80">
        <v>9.1153849999999998</v>
      </c>
      <c r="NT80">
        <v>8.5490200000000005</v>
      </c>
      <c r="NU80">
        <v>7.8</v>
      </c>
      <c r="NV80">
        <v>10.090909</v>
      </c>
      <c r="NW80">
        <v>7.8723400000000003</v>
      </c>
      <c r="NX80">
        <v>7.266667</v>
      </c>
      <c r="NY80" t="s">
        <v>114</v>
      </c>
      <c r="NZ80" t="s">
        <v>114</v>
      </c>
      <c r="OA80">
        <v>6.2</v>
      </c>
      <c r="OB80">
        <v>9.7350989999999999</v>
      </c>
      <c r="OC80">
        <v>10.328766999999999</v>
      </c>
      <c r="OD80">
        <v>6</v>
      </c>
      <c r="OE80">
        <v>7.8076920000000003</v>
      </c>
      <c r="OF80" t="s">
        <v>114</v>
      </c>
      <c r="OG80">
        <v>15.339869</v>
      </c>
      <c r="OH80">
        <v>21.892655000000001</v>
      </c>
      <c r="OI80" t="s">
        <v>114</v>
      </c>
      <c r="OJ80">
        <v>17.071428999999998</v>
      </c>
      <c r="OK80">
        <v>16.174496999999999</v>
      </c>
      <c r="OL80">
        <v>13.234567999999999</v>
      </c>
      <c r="OM80">
        <v>11.904762</v>
      </c>
      <c r="ON80">
        <v>15.070588000000001</v>
      </c>
      <c r="OO80" t="s">
        <v>114</v>
      </c>
      <c r="OP80">
        <v>14.574256999999999</v>
      </c>
      <c r="OQ80" t="s">
        <v>114</v>
      </c>
      <c r="OR80" t="s">
        <v>114</v>
      </c>
      <c r="OS80" t="s">
        <v>114</v>
      </c>
      <c r="OT80" t="s">
        <v>114</v>
      </c>
      <c r="OU80" t="s">
        <v>114</v>
      </c>
      <c r="OV80" t="s">
        <v>114</v>
      </c>
      <c r="OW80" t="s">
        <v>114</v>
      </c>
      <c r="OX80">
        <v>7</v>
      </c>
      <c r="OY80" t="s">
        <v>114</v>
      </c>
      <c r="OZ80" t="s">
        <v>114</v>
      </c>
      <c r="PA80" t="s">
        <v>114</v>
      </c>
      <c r="PB80">
        <v>19.244185999999999</v>
      </c>
      <c r="PC80">
        <v>21.032257999999999</v>
      </c>
      <c r="PD80" t="s">
        <v>114</v>
      </c>
      <c r="PE80">
        <v>11.803922</v>
      </c>
      <c r="PF80">
        <v>9.4285709999999998</v>
      </c>
      <c r="PG80">
        <v>15.521739</v>
      </c>
      <c r="PH80">
        <v>13.543478</v>
      </c>
      <c r="PI80">
        <v>14.090909</v>
      </c>
      <c r="PJ80">
        <v>10.5</v>
      </c>
      <c r="PK80">
        <v>30.095237999999998</v>
      </c>
      <c r="PL80" t="s">
        <v>114</v>
      </c>
      <c r="PM80">
        <v>16.153846000000001</v>
      </c>
      <c r="PN80" t="s">
        <v>114</v>
      </c>
      <c r="PO80" t="s">
        <v>114</v>
      </c>
      <c r="PP80">
        <v>10.545455</v>
      </c>
      <c r="PQ80">
        <v>15.734693999999999</v>
      </c>
      <c r="PR80">
        <v>6.1052629999999999</v>
      </c>
      <c r="PS80">
        <v>23.129411999999999</v>
      </c>
      <c r="PT80">
        <v>8.1999999999999993</v>
      </c>
      <c r="PU80">
        <v>16.292683</v>
      </c>
      <c r="PV80">
        <v>24.6</v>
      </c>
      <c r="PW80">
        <v>18.275862</v>
      </c>
      <c r="PX80">
        <v>20.566265000000001</v>
      </c>
      <c r="PY80">
        <v>9.6</v>
      </c>
      <c r="PZ80">
        <v>23</v>
      </c>
      <c r="QA80">
        <v>10.714286</v>
      </c>
      <c r="QB80">
        <v>7.9722220000000004</v>
      </c>
      <c r="QC80">
        <v>13.3</v>
      </c>
      <c r="QD80">
        <v>10.4</v>
      </c>
      <c r="QE80">
        <v>7.0975609999999998</v>
      </c>
      <c r="QF80">
        <v>22.8</v>
      </c>
      <c r="QG80">
        <v>19.406593000000001</v>
      </c>
      <c r="QH80" t="s">
        <v>114</v>
      </c>
      <c r="QI80" t="s">
        <v>114</v>
      </c>
      <c r="QJ80">
        <v>12.797980000000001</v>
      </c>
      <c r="QK80">
        <v>13.877193</v>
      </c>
      <c r="QL80" t="s">
        <v>114</v>
      </c>
      <c r="QM80">
        <v>12.958333</v>
      </c>
      <c r="QN80" t="s">
        <v>114</v>
      </c>
      <c r="QO80">
        <v>5.6153849999999998</v>
      </c>
      <c r="QP80">
        <v>16</v>
      </c>
      <c r="QQ80" t="s">
        <v>114</v>
      </c>
      <c r="QR80" t="s">
        <v>114</v>
      </c>
      <c r="QS80">
        <v>10.522727</v>
      </c>
      <c r="QT80" t="s">
        <v>114</v>
      </c>
      <c r="QU80" t="s">
        <v>114</v>
      </c>
      <c r="QV80">
        <v>15.333333</v>
      </c>
      <c r="QW80">
        <v>17.392157000000001</v>
      </c>
      <c r="QX80">
        <v>4.6666670000000003</v>
      </c>
      <c r="QY80">
        <v>7.0434780000000003</v>
      </c>
      <c r="QZ80">
        <v>17.529412000000001</v>
      </c>
      <c r="RA80">
        <v>21.586207000000002</v>
      </c>
      <c r="RB80">
        <v>27.189474000000001</v>
      </c>
      <c r="RC80">
        <v>14.8</v>
      </c>
      <c r="RD80">
        <v>5.6</v>
      </c>
      <c r="RE80">
        <v>16.471264000000001</v>
      </c>
      <c r="RF80">
        <v>14.148936000000001</v>
      </c>
      <c r="RG80">
        <v>12.448718</v>
      </c>
      <c r="RH80">
        <v>6</v>
      </c>
      <c r="RI80">
        <v>7.7826089999999999</v>
      </c>
      <c r="RJ80">
        <v>25.556818</v>
      </c>
      <c r="RK80">
        <v>13.388889000000001</v>
      </c>
      <c r="RL80">
        <v>10.657143</v>
      </c>
      <c r="RM80">
        <v>24.610526</v>
      </c>
      <c r="RN80">
        <v>4.2</v>
      </c>
      <c r="RO80">
        <v>22.191780999999999</v>
      </c>
      <c r="RP80" t="s">
        <v>114</v>
      </c>
      <c r="RQ80">
        <v>17.264150999999998</v>
      </c>
      <c r="RR80">
        <v>7.8684209999999997</v>
      </c>
      <c r="RS80">
        <v>5.7857139999999996</v>
      </c>
      <c r="RT80">
        <v>21.025641</v>
      </c>
      <c r="RU80">
        <v>5.75</v>
      </c>
      <c r="RV80">
        <v>21.564102999999999</v>
      </c>
      <c r="RW80">
        <v>14.217390999999999</v>
      </c>
      <c r="RX80">
        <v>4</v>
      </c>
      <c r="RY80">
        <v>22.472526999999999</v>
      </c>
      <c r="RZ80">
        <v>11.956522</v>
      </c>
      <c r="SA80">
        <v>5.7777779999999996</v>
      </c>
      <c r="SB80">
        <v>5.5</v>
      </c>
      <c r="SC80">
        <v>8.0243900000000004</v>
      </c>
      <c r="SD80">
        <v>11.75</v>
      </c>
      <c r="SE80">
        <v>17.257576</v>
      </c>
      <c r="SF80">
        <v>10.576271</v>
      </c>
      <c r="SG80">
        <v>12.951456</v>
      </c>
      <c r="SH80">
        <v>23.333333</v>
      </c>
      <c r="SI80">
        <v>18.952756000000001</v>
      </c>
      <c r="SJ80">
        <v>7</v>
      </c>
      <c r="SK80" t="s">
        <v>114</v>
      </c>
      <c r="SL80" t="s">
        <v>114</v>
      </c>
      <c r="SM80">
        <v>5</v>
      </c>
      <c r="SN80">
        <v>16.416667</v>
      </c>
      <c r="SO80" t="s">
        <v>114</v>
      </c>
      <c r="SP80">
        <v>6.0833329999999997</v>
      </c>
      <c r="SQ80">
        <v>5</v>
      </c>
      <c r="SR80">
        <v>12.013158000000001</v>
      </c>
      <c r="SS80">
        <v>16.284210999999999</v>
      </c>
      <c r="ST80">
        <v>6.5714290000000002</v>
      </c>
      <c r="SU80">
        <v>21.9</v>
      </c>
      <c r="SV80" t="s">
        <v>114</v>
      </c>
      <c r="SW80">
        <v>21.036363999999999</v>
      </c>
      <c r="SX80" t="s">
        <v>114</v>
      </c>
      <c r="SY80">
        <v>8.5205479999999998</v>
      </c>
      <c r="SZ80">
        <v>7.9682539999999999</v>
      </c>
      <c r="TA80">
        <v>25.684211000000001</v>
      </c>
      <c r="TB80">
        <v>7.3389829999999998</v>
      </c>
      <c r="TC80">
        <v>21.982455999999999</v>
      </c>
      <c r="TD80">
        <v>22.391304000000002</v>
      </c>
      <c r="TE80">
        <v>12.851063999999999</v>
      </c>
      <c r="TF80">
        <v>9.28125</v>
      </c>
      <c r="TG80">
        <v>5.947368</v>
      </c>
      <c r="TH80">
        <v>12.411765000000001</v>
      </c>
      <c r="TI80">
        <v>8.7254900000000006</v>
      </c>
      <c r="TJ80" t="s">
        <v>114</v>
      </c>
      <c r="TK80">
        <v>7.58</v>
      </c>
      <c r="TL80" t="s">
        <v>114</v>
      </c>
      <c r="TM80" t="s">
        <v>114</v>
      </c>
      <c r="TN80">
        <v>17.245097999999999</v>
      </c>
      <c r="TO80" t="s">
        <v>114</v>
      </c>
      <c r="TP80">
        <v>8.7750000000000004</v>
      </c>
      <c r="TQ80">
        <v>9.7701150000000005</v>
      </c>
      <c r="TR80">
        <v>6.7777779999999996</v>
      </c>
      <c r="TS80">
        <v>13.4</v>
      </c>
      <c r="TT80">
        <v>5</v>
      </c>
      <c r="TU80" t="s">
        <v>114</v>
      </c>
      <c r="TV80">
        <v>9.4666669999999993</v>
      </c>
      <c r="TW80">
        <v>11.571429</v>
      </c>
      <c r="TX80">
        <v>20.853332999999999</v>
      </c>
      <c r="TY80" t="s">
        <v>114</v>
      </c>
      <c r="TZ80">
        <v>28.169014000000001</v>
      </c>
      <c r="UA80">
        <v>26.939024</v>
      </c>
      <c r="UB80">
        <v>20.372881</v>
      </c>
      <c r="UC80" t="s">
        <v>114</v>
      </c>
      <c r="UD80">
        <v>15.682539999999999</v>
      </c>
      <c r="UE80">
        <v>25.558824000000001</v>
      </c>
      <c r="UF80">
        <v>14.466666999999999</v>
      </c>
      <c r="UG80">
        <v>12.823529000000001</v>
      </c>
      <c r="UH80" t="s">
        <v>114</v>
      </c>
      <c r="UI80">
        <v>29.552239</v>
      </c>
      <c r="UJ80">
        <v>15.626866</v>
      </c>
      <c r="UK80">
        <v>10</v>
      </c>
      <c r="UL80">
        <v>22.095237999999998</v>
      </c>
      <c r="UM80" t="s">
        <v>114</v>
      </c>
      <c r="UN80" t="s">
        <v>114</v>
      </c>
      <c r="UO80" t="s">
        <v>114</v>
      </c>
      <c r="UP80">
        <v>20.724637999999999</v>
      </c>
      <c r="UQ80" t="s">
        <v>114</v>
      </c>
      <c r="UR80">
        <v>29.180851000000001</v>
      </c>
      <c r="US80">
        <v>22.260870000000001</v>
      </c>
      <c r="UT80">
        <v>11.190476</v>
      </c>
      <c r="UU80">
        <v>20.772151999999998</v>
      </c>
      <c r="UV80">
        <v>16.779661000000001</v>
      </c>
      <c r="UW80" t="s">
        <v>114</v>
      </c>
      <c r="UX80">
        <v>33.741934999999998</v>
      </c>
      <c r="UY80">
        <v>23.785713999999999</v>
      </c>
      <c r="UZ80" t="s">
        <v>114</v>
      </c>
      <c r="VA80">
        <v>29.723403999999999</v>
      </c>
      <c r="VB80">
        <v>5.8</v>
      </c>
      <c r="VC80" t="s">
        <v>114</v>
      </c>
      <c r="VD80">
        <v>4.5999999999999996</v>
      </c>
      <c r="VE80">
        <v>14.790698000000001</v>
      </c>
      <c r="VF80">
        <v>23.767856999999999</v>
      </c>
      <c r="VG80">
        <v>7.2571430000000001</v>
      </c>
      <c r="VH80">
        <v>28.783784000000001</v>
      </c>
      <c r="VI80" t="s">
        <v>114</v>
      </c>
      <c r="VJ80" t="s">
        <v>114</v>
      </c>
      <c r="VK80" t="s">
        <v>114</v>
      </c>
      <c r="VL80" t="s">
        <v>114</v>
      </c>
      <c r="VM80" t="s">
        <v>114</v>
      </c>
      <c r="VN80">
        <v>4</v>
      </c>
      <c r="VO80">
        <v>26.135922000000001</v>
      </c>
      <c r="VP80">
        <v>18.824560999999999</v>
      </c>
      <c r="VQ80">
        <v>12.45</v>
      </c>
      <c r="VR80">
        <v>11.851851999999999</v>
      </c>
      <c r="VS80">
        <v>17.047619000000001</v>
      </c>
      <c r="VT80" t="s">
        <v>114</v>
      </c>
      <c r="VU80">
        <v>8.8709679999999995</v>
      </c>
      <c r="VV80" t="s">
        <v>114</v>
      </c>
      <c r="VW80" t="s">
        <v>114</v>
      </c>
      <c r="VX80" t="s">
        <v>114</v>
      </c>
      <c r="VY80">
        <v>26.053191000000002</v>
      </c>
      <c r="VZ80">
        <v>17.405660000000001</v>
      </c>
      <c r="WA80" t="s">
        <v>114</v>
      </c>
      <c r="WB80" t="s">
        <v>114</v>
      </c>
      <c r="WC80" t="s">
        <v>114</v>
      </c>
      <c r="WD80">
        <v>7.6</v>
      </c>
      <c r="WE80">
        <v>12.235294</v>
      </c>
      <c r="WF80">
        <v>16.888888999999999</v>
      </c>
      <c r="WG80">
        <v>9.5769230000000007</v>
      </c>
      <c r="WH80" t="s">
        <v>114</v>
      </c>
      <c r="WI80">
        <v>10.25</v>
      </c>
      <c r="WJ80">
        <v>5.9090910000000001</v>
      </c>
      <c r="WK80">
        <v>16.215053999999999</v>
      </c>
      <c r="WL80" t="s">
        <v>114</v>
      </c>
      <c r="WM80">
        <v>7.15</v>
      </c>
      <c r="WN80">
        <v>19.333333</v>
      </c>
      <c r="WO80">
        <v>13.967212999999999</v>
      </c>
      <c r="WP80">
        <v>12.19697</v>
      </c>
      <c r="WQ80">
        <v>17.935483999999999</v>
      </c>
      <c r="WR80" t="s">
        <v>114</v>
      </c>
      <c r="WS80">
        <v>17.835165</v>
      </c>
      <c r="WT80" t="s">
        <v>114</v>
      </c>
      <c r="WU80">
        <v>4</v>
      </c>
      <c r="WV80" t="s">
        <v>114</v>
      </c>
      <c r="WW80">
        <v>7.9047619999999998</v>
      </c>
      <c r="WX80">
        <v>6.6666670000000003</v>
      </c>
      <c r="WY80" t="s">
        <v>114</v>
      </c>
      <c r="WZ80">
        <v>4</v>
      </c>
      <c r="XA80">
        <v>7.6818179999999998</v>
      </c>
      <c r="XB80" t="s">
        <v>114</v>
      </c>
      <c r="XC80">
        <v>6.125</v>
      </c>
      <c r="XD80">
        <v>8.25</v>
      </c>
      <c r="XE80">
        <v>10.662338</v>
      </c>
      <c r="XF80" t="s">
        <v>114</v>
      </c>
      <c r="XG80">
        <v>9.6455699999999993</v>
      </c>
      <c r="XH80">
        <v>20.247862999999999</v>
      </c>
      <c r="XI80" t="s">
        <v>114</v>
      </c>
      <c r="XJ80">
        <v>5.6666670000000003</v>
      </c>
      <c r="XK80">
        <v>13.012821000000001</v>
      </c>
      <c r="XL80">
        <v>7.9259259999999996</v>
      </c>
      <c r="XM80">
        <v>18.006896999999999</v>
      </c>
      <c r="XN80">
        <v>13.406593000000001</v>
      </c>
      <c r="XO80">
        <v>27</v>
      </c>
      <c r="XP80" t="s">
        <v>114</v>
      </c>
      <c r="XQ80" t="s">
        <v>114</v>
      </c>
      <c r="XR80">
        <v>23.166667</v>
      </c>
      <c r="XS80">
        <v>12.415094</v>
      </c>
      <c r="XT80">
        <v>26.439394</v>
      </c>
      <c r="XU80" t="s">
        <v>114</v>
      </c>
      <c r="XV80" t="s">
        <v>114</v>
      </c>
      <c r="XW80" t="s">
        <v>114</v>
      </c>
      <c r="XX80">
        <v>8.6078430000000008</v>
      </c>
      <c r="XY80">
        <v>8.6981129999999993</v>
      </c>
      <c r="XZ80">
        <v>6.7857139999999996</v>
      </c>
      <c r="YA80">
        <v>5.5</v>
      </c>
      <c r="YB80">
        <v>14.12</v>
      </c>
      <c r="YC80">
        <v>19.376147</v>
      </c>
      <c r="YD80" t="s">
        <v>114</v>
      </c>
      <c r="YE80">
        <v>12.513514000000001</v>
      </c>
      <c r="YF80" t="s">
        <v>114</v>
      </c>
      <c r="YG80">
        <v>27.991803000000001</v>
      </c>
      <c r="YH80" t="s">
        <v>114</v>
      </c>
      <c r="YI80" t="s">
        <v>114</v>
      </c>
      <c r="YJ80">
        <v>17.707965000000002</v>
      </c>
      <c r="YK80">
        <v>17.646552</v>
      </c>
      <c r="YL80">
        <v>13.424242</v>
      </c>
      <c r="YM80">
        <v>21.76</v>
      </c>
      <c r="YN80" t="s">
        <v>114</v>
      </c>
      <c r="YO80" t="s">
        <v>114</v>
      </c>
      <c r="YP80">
        <v>9</v>
      </c>
      <c r="YQ80">
        <v>19.391999999999999</v>
      </c>
      <c r="YR80">
        <v>15.206348999999999</v>
      </c>
      <c r="YS80">
        <v>27.944444000000001</v>
      </c>
      <c r="YT80" t="s">
        <v>114</v>
      </c>
      <c r="YU80">
        <v>12.925926</v>
      </c>
      <c r="YV80">
        <v>22.292452999999998</v>
      </c>
      <c r="YW80" t="s">
        <v>114</v>
      </c>
      <c r="YX80" t="s">
        <v>114</v>
      </c>
      <c r="YY80">
        <v>4</v>
      </c>
      <c r="YZ80">
        <v>9.9487179999999995</v>
      </c>
      <c r="ZA80">
        <v>14.145299</v>
      </c>
      <c r="ZB80">
        <v>38</v>
      </c>
      <c r="ZC80">
        <v>11.576471</v>
      </c>
      <c r="ZD80">
        <v>15.075758</v>
      </c>
      <c r="ZE80">
        <v>16.883212</v>
      </c>
      <c r="ZF80" t="s">
        <v>114</v>
      </c>
      <c r="ZG80">
        <v>9.5</v>
      </c>
      <c r="ZH80">
        <v>7.2</v>
      </c>
      <c r="ZI80">
        <v>9.4</v>
      </c>
      <c r="ZJ80">
        <v>6.9444439999999998</v>
      </c>
      <c r="ZK80" t="s">
        <v>114</v>
      </c>
      <c r="ZL80">
        <v>25.125</v>
      </c>
      <c r="ZM80">
        <v>9.1</v>
      </c>
      <c r="ZN80">
        <v>11.466666999999999</v>
      </c>
      <c r="ZO80">
        <v>8</v>
      </c>
      <c r="ZP80" t="s">
        <v>114</v>
      </c>
      <c r="ZQ80" t="s">
        <v>114</v>
      </c>
      <c r="ZR80" t="s">
        <v>114</v>
      </c>
      <c r="ZS80" t="s">
        <v>114</v>
      </c>
      <c r="ZT80" t="s">
        <v>114</v>
      </c>
      <c r="ZU80" t="s">
        <v>114</v>
      </c>
      <c r="ZV80">
        <v>13.323077</v>
      </c>
      <c r="ZW80" t="s">
        <v>114</v>
      </c>
      <c r="ZX80">
        <v>24.75</v>
      </c>
      <c r="ZY80">
        <v>11.416667</v>
      </c>
      <c r="ZZ80">
        <v>15.772727</v>
      </c>
      <c r="AAA80">
        <v>13.660194000000001</v>
      </c>
      <c r="AAB80">
        <v>11.652174</v>
      </c>
      <c r="AAC80">
        <v>9.266667</v>
      </c>
      <c r="AAD80">
        <v>17.436975</v>
      </c>
      <c r="AAE80">
        <v>6.3076920000000003</v>
      </c>
      <c r="AAF80">
        <v>5.7777779999999996</v>
      </c>
      <c r="AAG80">
        <v>7.6666670000000003</v>
      </c>
      <c r="AAH80" t="s">
        <v>114</v>
      </c>
      <c r="AAI80">
        <v>45</v>
      </c>
      <c r="AAJ80">
        <v>6</v>
      </c>
      <c r="AAK80" t="s">
        <v>114</v>
      </c>
      <c r="AAL80" t="s">
        <v>114</v>
      </c>
      <c r="AAM80">
        <v>11</v>
      </c>
      <c r="AAN80">
        <v>13.732557999999999</v>
      </c>
      <c r="AAO80">
        <v>7.0714290000000002</v>
      </c>
      <c r="AAP80" t="s">
        <v>114</v>
      </c>
      <c r="AAQ80">
        <v>9.6060610000000004</v>
      </c>
      <c r="AAR80">
        <v>11.9</v>
      </c>
      <c r="AAS80" t="s">
        <v>114</v>
      </c>
      <c r="AAT80">
        <v>4.8</v>
      </c>
      <c r="AAU80">
        <v>4.3333329999999997</v>
      </c>
      <c r="AAV80">
        <v>5</v>
      </c>
      <c r="AAW80">
        <v>12.34</v>
      </c>
      <c r="AAX80" t="s">
        <v>114</v>
      </c>
      <c r="AAY80" t="s">
        <v>114</v>
      </c>
      <c r="AAZ80" t="s">
        <v>114</v>
      </c>
      <c r="ABA80">
        <v>20.789473999999998</v>
      </c>
      <c r="ABB80">
        <v>6.3142860000000001</v>
      </c>
      <c r="ABC80">
        <v>23.649122999999999</v>
      </c>
      <c r="ABD80" t="s">
        <v>114</v>
      </c>
      <c r="ABE80">
        <v>10.092593000000001</v>
      </c>
      <c r="ABF80" t="s">
        <v>114</v>
      </c>
      <c r="ABG80">
        <v>15.801802</v>
      </c>
      <c r="ABH80">
        <v>15.642105000000001</v>
      </c>
      <c r="ABI80" t="s">
        <v>114</v>
      </c>
      <c r="ABJ80">
        <v>7.7692310000000004</v>
      </c>
      <c r="ABK80">
        <v>18.399999999999999</v>
      </c>
      <c r="ABL80" t="s">
        <v>114</v>
      </c>
      <c r="ABM80">
        <v>15.087379</v>
      </c>
      <c r="ABN80" t="s">
        <v>114</v>
      </c>
      <c r="ABO80" t="s">
        <v>114</v>
      </c>
      <c r="ABP80">
        <v>5</v>
      </c>
      <c r="ABQ80" t="s">
        <v>114</v>
      </c>
      <c r="ABR80">
        <v>12.034483</v>
      </c>
      <c r="ABS80">
        <v>18.023437999999999</v>
      </c>
      <c r="ABT80" t="s">
        <v>114</v>
      </c>
      <c r="ABU80" t="s">
        <v>114</v>
      </c>
      <c r="ABV80" t="s">
        <v>114</v>
      </c>
      <c r="ABW80" t="s">
        <v>114</v>
      </c>
      <c r="ABX80">
        <v>5</v>
      </c>
      <c r="ABY80" t="s">
        <v>114</v>
      </c>
      <c r="ABZ80">
        <v>17.2</v>
      </c>
      <c r="ACA80">
        <v>14.625</v>
      </c>
      <c r="ACB80">
        <v>6</v>
      </c>
      <c r="ACC80">
        <v>14.565217000000001</v>
      </c>
      <c r="ACD80" t="s">
        <v>114</v>
      </c>
      <c r="ACE80">
        <v>4</v>
      </c>
      <c r="ACF80" t="s">
        <v>114</v>
      </c>
      <c r="ACG80" t="s">
        <v>114</v>
      </c>
      <c r="ACH80" t="s">
        <v>114</v>
      </c>
      <c r="ACI80" t="s">
        <v>114</v>
      </c>
      <c r="ACJ80" t="s">
        <v>114</v>
      </c>
      <c r="ACK80">
        <v>13.672269</v>
      </c>
      <c r="ACL80">
        <v>10.355263000000001</v>
      </c>
      <c r="ACM80" t="s">
        <v>114</v>
      </c>
      <c r="ACN80">
        <v>15.777778</v>
      </c>
      <c r="ACO80">
        <v>12.010526</v>
      </c>
    </row>
    <row r="81" spans="1:769" x14ac:dyDescent="0.25">
      <c r="A81" t="s">
        <v>88</v>
      </c>
      <c r="B81" t="s">
        <v>114</v>
      </c>
      <c r="C81" t="s">
        <v>114</v>
      </c>
      <c r="D81">
        <v>4.5849999999999997E-3</v>
      </c>
      <c r="E81" t="s">
        <v>114</v>
      </c>
      <c r="F81">
        <v>5.4809999999999998E-3</v>
      </c>
      <c r="G81">
        <v>4.816E-3</v>
      </c>
      <c r="H81">
        <v>1.1027E-2</v>
      </c>
      <c r="I81">
        <v>1.3498E-2</v>
      </c>
      <c r="J81" t="s">
        <v>114</v>
      </c>
      <c r="K81">
        <v>1.2266000000000001E-2</v>
      </c>
      <c r="L81" t="s">
        <v>114</v>
      </c>
      <c r="M81">
        <v>5.7780000000000001E-3</v>
      </c>
      <c r="N81" t="s">
        <v>114</v>
      </c>
      <c r="O81">
        <v>5.1799999999999997E-3</v>
      </c>
      <c r="P81">
        <v>8.2140000000000008E-3</v>
      </c>
      <c r="Q81" t="s">
        <v>114</v>
      </c>
      <c r="R81">
        <v>7.9559999999999995E-3</v>
      </c>
      <c r="S81">
        <v>9.9179999999999997E-3</v>
      </c>
      <c r="T81">
        <v>7.208E-3</v>
      </c>
      <c r="U81">
        <v>5.0229999999999997E-3</v>
      </c>
      <c r="V81">
        <v>6.7140000000000003E-3</v>
      </c>
      <c r="W81" t="s">
        <v>114</v>
      </c>
      <c r="X81">
        <v>6.8089999999999999E-3</v>
      </c>
      <c r="Y81">
        <v>7.7140000000000004E-3</v>
      </c>
      <c r="Z81" t="s">
        <v>114</v>
      </c>
      <c r="AA81">
        <v>5.7089999999999997E-3</v>
      </c>
      <c r="AB81">
        <v>6.783E-3</v>
      </c>
      <c r="AC81">
        <v>7.1479999999999998E-3</v>
      </c>
      <c r="AD81" t="s">
        <v>114</v>
      </c>
      <c r="AE81">
        <v>6.0179999999999999E-3</v>
      </c>
      <c r="AF81">
        <v>8.5819999999999994E-3</v>
      </c>
      <c r="AG81">
        <v>8.0700000000000008E-3</v>
      </c>
      <c r="AH81">
        <v>7.3109999999999998E-3</v>
      </c>
      <c r="AI81">
        <v>8.0330000000000002E-3</v>
      </c>
      <c r="AJ81">
        <v>4.6129999999999999E-3</v>
      </c>
      <c r="AK81">
        <v>8.4320000000000003E-3</v>
      </c>
      <c r="AL81">
        <v>5.5849999999999997E-3</v>
      </c>
      <c r="AM81">
        <v>7.8840000000000004E-3</v>
      </c>
      <c r="AN81">
        <v>6.0769999999999999E-3</v>
      </c>
      <c r="AO81">
        <v>4.561E-3</v>
      </c>
      <c r="AP81">
        <v>6.646E-3</v>
      </c>
      <c r="AQ81">
        <v>1.6045E-2</v>
      </c>
      <c r="AR81">
        <v>4.385E-3</v>
      </c>
      <c r="AS81">
        <v>6.3680000000000004E-3</v>
      </c>
      <c r="AT81">
        <v>0.135909</v>
      </c>
      <c r="AU81">
        <v>7.7949999999999998E-3</v>
      </c>
      <c r="AV81">
        <v>1.2082000000000001E-2</v>
      </c>
      <c r="AW81">
        <v>6.7070000000000003E-3</v>
      </c>
      <c r="AX81">
        <v>5.8110000000000002E-3</v>
      </c>
      <c r="AY81">
        <v>8.6359999999999996E-3</v>
      </c>
      <c r="AZ81">
        <v>8.371E-3</v>
      </c>
      <c r="BA81">
        <v>5.11E-3</v>
      </c>
      <c r="BB81">
        <v>1.3122E-2</v>
      </c>
      <c r="BC81" t="s">
        <v>114</v>
      </c>
      <c r="BD81">
        <v>6.0390000000000001E-3</v>
      </c>
      <c r="BE81">
        <v>4.1700000000000001E-3</v>
      </c>
      <c r="BF81">
        <v>6.2220000000000001E-3</v>
      </c>
      <c r="BG81">
        <v>8.1980000000000004E-3</v>
      </c>
      <c r="BH81">
        <v>9.7680000000000006E-3</v>
      </c>
      <c r="BI81">
        <v>7.4840000000000002E-3</v>
      </c>
      <c r="BJ81">
        <v>5.4559999999999999E-3</v>
      </c>
      <c r="BK81">
        <v>8.1040000000000001E-3</v>
      </c>
      <c r="BL81">
        <v>3.8096999999999999E-2</v>
      </c>
      <c r="BM81">
        <v>6.0939999999999996E-3</v>
      </c>
      <c r="BN81">
        <v>1.0322E-2</v>
      </c>
      <c r="BO81" t="s">
        <v>114</v>
      </c>
      <c r="BP81">
        <v>6.1159999999999999E-3</v>
      </c>
      <c r="BQ81">
        <v>6.9020000000000001E-3</v>
      </c>
      <c r="BR81" t="s">
        <v>114</v>
      </c>
      <c r="BS81">
        <v>5.7060000000000001E-3</v>
      </c>
      <c r="BT81">
        <v>5.9950000000000003E-3</v>
      </c>
      <c r="BU81" t="s">
        <v>114</v>
      </c>
      <c r="BV81">
        <v>9.7699999999999992E-3</v>
      </c>
      <c r="BW81">
        <v>5.3610000000000003E-3</v>
      </c>
      <c r="BX81">
        <v>0.14733299999999999</v>
      </c>
      <c r="BY81">
        <v>9.8560000000000002E-3</v>
      </c>
      <c r="BZ81">
        <v>1.1384999999999999E-2</v>
      </c>
      <c r="CA81">
        <v>3.1150000000000001E-2</v>
      </c>
      <c r="CB81">
        <v>9.5999999999999992E-3</v>
      </c>
      <c r="CC81">
        <v>8.6189999999999999E-3</v>
      </c>
      <c r="CD81">
        <v>1.17E-2</v>
      </c>
      <c r="CE81">
        <v>8.8909999999999996E-3</v>
      </c>
      <c r="CF81">
        <v>2.7570999999999998E-2</v>
      </c>
      <c r="CG81">
        <v>5.9579999999999998E-3</v>
      </c>
      <c r="CH81" t="s">
        <v>114</v>
      </c>
      <c r="CI81">
        <v>1.0307E-2</v>
      </c>
      <c r="CJ81">
        <v>6.6020000000000002E-3</v>
      </c>
      <c r="CK81">
        <v>1.1782000000000001E-2</v>
      </c>
      <c r="CL81">
        <v>7.7460000000000003E-3</v>
      </c>
      <c r="CM81">
        <v>1.2152E-2</v>
      </c>
      <c r="CN81">
        <v>2.1073000000000001E-2</v>
      </c>
      <c r="CO81">
        <v>1.0125E-2</v>
      </c>
      <c r="CP81">
        <v>7.4320000000000002E-3</v>
      </c>
      <c r="CQ81">
        <v>1.7115999999999999E-2</v>
      </c>
      <c r="CR81">
        <v>1.2243E-2</v>
      </c>
      <c r="CS81">
        <v>1.8794999999999999E-2</v>
      </c>
      <c r="CT81" t="s">
        <v>114</v>
      </c>
      <c r="CU81">
        <v>5.0239999999999998E-3</v>
      </c>
      <c r="CV81">
        <v>5.1139999999999996E-3</v>
      </c>
      <c r="CW81">
        <v>1.4707E-2</v>
      </c>
      <c r="CX81">
        <v>7.3899999999999999E-3</v>
      </c>
      <c r="CY81">
        <v>7.2989999999999999E-3</v>
      </c>
      <c r="CZ81">
        <v>5.9059999999999998E-3</v>
      </c>
      <c r="DA81">
        <v>1.4107E-2</v>
      </c>
      <c r="DB81">
        <v>5.8259999999999996E-3</v>
      </c>
      <c r="DC81">
        <v>6.4510000000000001E-3</v>
      </c>
      <c r="DD81">
        <v>4.927E-3</v>
      </c>
      <c r="DE81">
        <v>1.4956000000000001E-2</v>
      </c>
      <c r="DF81">
        <v>5.1749999999999999E-3</v>
      </c>
      <c r="DG81">
        <v>1.3335E-2</v>
      </c>
      <c r="DH81">
        <v>8.9560000000000004E-3</v>
      </c>
      <c r="DI81">
        <v>5.5840000000000004E-3</v>
      </c>
      <c r="DJ81">
        <v>1.0777E-2</v>
      </c>
      <c r="DK81">
        <v>1.2773E-2</v>
      </c>
      <c r="DL81">
        <v>4.8079999999999998E-3</v>
      </c>
      <c r="DM81">
        <v>7.0010000000000003E-3</v>
      </c>
      <c r="DN81">
        <v>2.0971E-2</v>
      </c>
      <c r="DO81">
        <v>5.1399999999999996E-3</v>
      </c>
      <c r="DP81">
        <v>1.0692999999999999E-2</v>
      </c>
      <c r="DQ81">
        <v>5.0330000000000001E-3</v>
      </c>
      <c r="DR81">
        <v>5.6470000000000001E-3</v>
      </c>
      <c r="DS81">
        <v>5.1370000000000001E-3</v>
      </c>
      <c r="DT81">
        <v>9.2239999999999996E-3</v>
      </c>
      <c r="DU81">
        <v>7.8340000000000007E-3</v>
      </c>
      <c r="DV81" t="s">
        <v>114</v>
      </c>
      <c r="DW81" t="s">
        <v>114</v>
      </c>
      <c r="DX81">
        <v>7.8069999999999997E-3</v>
      </c>
      <c r="DY81">
        <v>9.8560000000000002E-3</v>
      </c>
      <c r="DZ81">
        <v>6.4859999999999996E-3</v>
      </c>
      <c r="EA81">
        <v>4.4809999999999997E-3</v>
      </c>
      <c r="EB81" t="s">
        <v>114</v>
      </c>
      <c r="EC81">
        <v>3.2150999999999999E-2</v>
      </c>
      <c r="ED81" t="s">
        <v>114</v>
      </c>
      <c r="EE81">
        <v>7.3140000000000002E-3</v>
      </c>
      <c r="EF81">
        <v>7.7749999999999998E-3</v>
      </c>
      <c r="EG81">
        <v>4.3610000000000003E-3</v>
      </c>
      <c r="EH81">
        <v>3.3341999999999997E-2</v>
      </c>
      <c r="EI81">
        <v>5.5779999999999996E-3</v>
      </c>
      <c r="EJ81">
        <v>1.362E-2</v>
      </c>
      <c r="EK81">
        <v>1.2995E-2</v>
      </c>
      <c r="EL81">
        <v>7.5189999999999996E-3</v>
      </c>
      <c r="EM81">
        <v>6.5640000000000004E-3</v>
      </c>
      <c r="EN81">
        <v>1.0451E-2</v>
      </c>
      <c r="EO81" t="s">
        <v>114</v>
      </c>
      <c r="EP81">
        <v>7.6360000000000004E-3</v>
      </c>
      <c r="EQ81">
        <v>5.0379999999999999E-3</v>
      </c>
      <c r="ER81">
        <v>9.5750000000000002E-3</v>
      </c>
      <c r="ES81">
        <v>1.6118E-2</v>
      </c>
      <c r="ET81">
        <v>1.0949E-2</v>
      </c>
      <c r="EU81">
        <v>6.3169999999999997E-3</v>
      </c>
      <c r="EV81" t="s">
        <v>114</v>
      </c>
      <c r="EW81">
        <v>1.0522999999999999E-2</v>
      </c>
      <c r="EX81">
        <v>8.9589999999999999E-3</v>
      </c>
      <c r="EY81">
        <v>5.7098000000000003E-2</v>
      </c>
      <c r="EZ81">
        <v>2.5805999999999999E-2</v>
      </c>
      <c r="FA81">
        <v>7.7730000000000004E-3</v>
      </c>
      <c r="FB81" t="s">
        <v>114</v>
      </c>
      <c r="FC81">
        <v>1.5341E-2</v>
      </c>
      <c r="FD81" t="s">
        <v>114</v>
      </c>
      <c r="FE81" t="s">
        <v>114</v>
      </c>
      <c r="FF81">
        <v>6.2639999999999996E-3</v>
      </c>
      <c r="FG81">
        <v>6.6030000000000004E-3</v>
      </c>
      <c r="FH81">
        <v>5.254E-3</v>
      </c>
      <c r="FI81">
        <v>3.1537000000000003E-2</v>
      </c>
      <c r="FJ81">
        <v>9.8289999999999992E-3</v>
      </c>
      <c r="FK81">
        <v>5.9789999999999999E-3</v>
      </c>
      <c r="FL81">
        <v>4.6940000000000003E-3</v>
      </c>
      <c r="FM81">
        <v>8.8699999999999994E-3</v>
      </c>
      <c r="FN81" t="s">
        <v>114</v>
      </c>
      <c r="FO81" t="s">
        <v>114</v>
      </c>
      <c r="FP81">
        <v>5.973E-3</v>
      </c>
      <c r="FQ81">
        <v>3.2960999999999997E-2</v>
      </c>
      <c r="FR81">
        <v>7.7939999999999997E-3</v>
      </c>
      <c r="FS81">
        <v>5.9319999999999998E-3</v>
      </c>
      <c r="FT81">
        <v>1.8249999999999999E-2</v>
      </c>
      <c r="FU81">
        <v>2.0094000000000001E-2</v>
      </c>
      <c r="FV81">
        <v>7.1739999999999998E-3</v>
      </c>
      <c r="FW81">
        <v>7.8289999999999992E-3</v>
      </c>
      <c r="FX81">
        <v>7.5659999999999998E-3</v>
      </c>
      <c r="FY81">
        <v>6.5310000000000003E-3</v>
      </c>
      <c r="FZ81">
        <v>6.6680000000000003E-3</v>
      </c>
      <c r="GA81">
        <v>8.6789999999999992E-3</v>
      </c>
      <c r="GB81">
        <v>1.7472999999999999E-2</v>
      </c>
      <c r="GC81">
        <v>8.4180000000000001E-3</v>
      </c>
      <c r="GD81">
        <v>5.0879999999999996E-3</v>
      </c>
      <c r="GE81">
        <v>6.7390000000000002E-3</v>
      </c>
      <c r="GF81">
        <v>9.3690000000000006E-3</v>
      </c>
      <c r="GG81">
        <v>1.77E-2</v>
      </c>
      <c r="GH81">
        <v>8.8690000000000001E-3</v>
      </c>
      <c r="GI81" t="s">
        <v>114</v>
      </c>
      <c r="GJ81">
        <v>8.7650000000000002E-3</v>
      </c>
      <c r="GK81">
        <v>8.2310000000000005E-3</v>
      </c>
      <c r="GL81">
        <v>5.4799999999999996E-3</v>
      </c>
      <c r="GM81" t="s">
        <v>114</v>
      </c>
      <c r="GN81">
        <v>9.5580000000000005E-3</v>
      </c>
      <c r="GO81" t="s">
        <v>114</v>
      </c>
      <c r="GP81">
        <v>6.5950000000000002E-3</v>
      </c>
      <c r="GQ81">
        <v>4.411E-3</v>
      </c>
      <c r="GR81">
        <v>9.2010000000000008E-3</v>
      </c>
      <c r="GS81">
        <v>9.3849999999999992E-3</v>
      </c>
      <c r="GT81">
        <v>8.5299999999999994E-3</v>
      </c>
      <c r="GU81" t="s">
        <v>114</v>
      </c>
      <c r="GV81">
        <v>8.9639999999999997E-3</v>
      </c>
      <c r="GW81" t="s">
        <v>114</v>
      </c>
      <c r="GX81">
        <v>7.8740000000000008E-3</v>
      </c>
      <c r="GY81">
        <v>8.5649999999999997E-3</v>
      </c>
      <c r="GZ81">
        <v>5.1840000000000002E-3</v>
      </c>
      <c r="HA81">
        <v>1.6435999999999999E-2</v>
      </c>
      <c r="HB81">
        <v>8.7760000000000008E-3</v>
      </c>
      <c r="HC81">
        <v>9.9939999999999994E-3</v>
      </c>
      <c r="HD81">
        <v>9.8980000000000005E-3</v>
      </c>
      <c r="HE81">
        <v>1.6126000000000001E-2</v>
      </c>
      <c r="HF81" t="s">
        <v>114</v>
      </c>
      <c r="HG81">
        <v>6.979E-3</v>
      </c>
      <c r="HH81">
        <v>5.8520000000000004E-3</v>
      </c>
      <c r="HI81">
        <v>6.992E-3</v>
      </c>
      <c r="HJ81">
        <v>5.385E-3</v>
      </c>
      <c r="HK81">
        <v>1.2498E-2</v>
      </c>
      <c r="HL81">
        <v>9.0709999999999992E-3</v>
      </c>
      <c r="HM81">
        <v>1.7517000000000001E-2</v>
      </c>
      <c r="HN81">
        <v>6.5620000000000001E-3</v>
      </c>
      <c r="HO81">
        <v>4.9740000000000001E-3</v>
      </c>
      <c r="HP81">
        <v>6.9519999999999998E-2</v>
      </c>
      <c r="HQ81">
        <v>8.2039999999999995E-3</v>
      </c>
      <c r="HR81">
        <v>1.2913000000000001E-2</v>
      </c>
      <c r="HS81">
        <v>3.3755E-2</v>
      </c>
      <c r="HT81">
        <v>5.4590000000000003E-3</v>
      </c>
      <c r="HU81">
        <v>4.5380000000000004E-3</v>
      </c>
      <c r="HV81" t="s">
        <v>114</v>
      </c>
      <c r="HW81" t="s">
        <v>114</v>
      </c>
      <c r="HX81">
        <v>7.6309999999999998E-3</v>
      </c>
      <c r="HY81">
        <v>4.6629999999999996E-3</v>
      </c>
      <c r="HZ81">
        <v>5.1110000000000001E-3</v>
      </c>
      <c r="IA81">
        <v>8.992E-3</v>
      </c>
      <c r="IB81" t="s">
        <v>114</v>
      </c>
      <c r="IC81" t="s">
        <v>114</v>
      </c>
      <c r="ID81" t="s">
        <v>114</v>
      </c>
      <c r="IE81">
        <v>5.0629999999999998E-3</v>
      </c>
      <c r="IF81">
        <v>6.8300000000000001E-3</v>
      </c>
      <c r="IG81" t="s">
        <v>114</v>
      </c>
      <c r="IH81">
        <v>8.7860000000000004E-3</v>
      </c>
      <c r="II81" t="s">
        <v>114</v>
      </c>
      <c r="IJ81">
        <v>5.1510000000000002E-3</v>
      </c>
      <c r="IK81" t="s">
        <v>114</v>
      </c>
      <c r="IL81" t="s">
        <v>114</v>
      </c>
      <c r="IM81" t="s">
        <v>114</v>
      </c>
      <c r="IN81">
        <v>4.9319999999999998E-3</v>
      </c>
      <c r="IO81">
        <v>4.7650000000000001E-3</v>
      </c>
      <c r="IP81">
        <v>5.3810000000000004E-3</v>
      </c>
      <c r="IQ81" t="s">
        <v>114</v>
      </c>
      <c r="IR81">
        <v>4.7679999999999997E-3</v>
      </c>
      <c r="IS81">
        <v>6.8190000000000004E-3</v>
      </c>
      <c r="IT81">
        <v>7.8849999999999996E-3</v>
      </c>
      <c r="IU81">
        <v>9.9109999999999997E-3</v>
      </c>
      <c r="IV81">
        <v>1.6448999999999998E-2</v>
      </c>
      <c r="IW81">
        <v>3.5143000000000001E-2</v>
      </c>
      <c r="IX81">
        <v>1.1001E-2</v>
      </c>
      <c r="IY81">
        <v>5.2820000000000002E-3</v>
      </c>
      <c r="IZ81">
        <v>7.5979999999999997E-3</v>
      </c>
      <c r="JA81">
        <v>1.0662E-2</v>
      </c>
      <c r="JB81">
        <v>0.22978899999999999</v>
      </c>
      <c r="JC81">
        <v>1.6003E-2</v>
      </c>
      <c r="JD81">
        <v>5.1359999999999999E-3</v>
      </c>
      <c r="JE81">
        <v>1.8041999999999999E-2</v>
      </c>
      <c r="JF81">
        <v>0.226276</v>
      </c>
      <c r="JG81">
        <v>5.0260000000000001E-3</v>
      </c>
      <c r="JH81">
        <v>2.0676E-2</v>
      </c>
      <c r="JI81">
        <v>0.01</v>
      </c>
      <c r="JJ81" t="s">
        <v>114</v>
      </c>
      <c r="JK81">
        <v>8.659E-3</v>
      </c>
      <c r="JL81">
        <v>4.6059999999999999E-3</v>
      </c>
      <c r="JM81">
        <v>6.5160000000000001E-3</v>
      </c>
      <c r="JN81">
        <v>8.345E-3</v>
      </c>
      <c r="JO81" t="s">
        <v>114</v>
      </c>
      <c r="JP81">
        <v>2.2445E-2</v>
      </c>
      <c r="JQ81" t="s">
        <v>114</v>
      </c>
      <c r="JR81">
        <v>8.6370000000000006E-3</v>
      </c>
      <c r="JS81" t="s">
        <v>114</v>
      </c>
      <c r="JT81" t="s">
        <v>114</v>
      </c>
      <c r="JU81">
        <v>1.4839E-2</v>
      </c>
      <c r="JV81" t="s">
        <v>114</v>
      </c>
      <c r="JW81">
        <v>2.0083E-2</v>
      </c>
      <c r="JX81" t="s">
        <v>114</v>
      </c>
      <c r="JY81">
        <v>3.8401999999999999E-2</v>
      </c>
      <c r="JZ81" t="s">
        <v>114</v>
      </c>
      <c r="KA81" t="s">
        <v>114</v>
      </c>
      <c r="KB81" t="s">
        <v>114</v>
      </c>
      <c r="KC81" t="s">
        <v>114</v>
      </c>
      <c r="KD81">
        <v>7.3730000000000002E-3</v>
      </c>
      <c r="KE81">
        <v>7.4440000000000001E-3</v>
      </c>
      <c r="KF81">
        <v>8.6449999999999999E-3</v>
      </c>
      <c r="KG81">
        <v>8.0129999999999993E-3</v>
      </c>
      <c r="KH81" t="s">
        <v>114</v>
      </c>
      <c r="KI81">
        <v>2.1142999999999999E-2</v>
      </c>
      <c r="KJ81">
        <v>4.9329999999999999E-3</v>
      </c>
      <c r="KK81">
        <v>7.2129999999999998E-3</v>
      </c>
      <c r="KL81" t="s">
        <v>114</v>
      </c>
      <c r="KM81">
        <v>1.4579999999999999E-2</v>
      </c>
      <c r="KN81">
        <v>1.2945999999999999E-2</v>
      </c>
      <c r="KO81" t="s">
        <v>114</v>
      </c>
      <c r="KP81">
        <v>4.0351999999999999E-2</v>
      </c>
      <c r="KQ81">
        <v>2.4382000000000001E-2</v>
      </c>
      <c r="KR81">
        <v>2.3026000000000001E-2</v>
      </c>
      <c r="KS81">
        <v>1.1769999999999999E-2</v>
      </c>
      <c r="KT81">
        <v>8.8269999999999998E-3</v>
      </c>
      <c r="KU81" t="s">
        <v>114</v>
      </c>
      <c r="KV81">
        <v>2.2634999999999999E-2</v>
      </c>
      <c r="KW81">
        <v>5.3150000000000003E-3</v>
      </c>
      <c r="KX81">
        <v>1.2045999999999999E-2</v>
      </c>
      <c r="KY81">
        <v>8.4440000000000001E-3</v>
      </c>
      <c r="KZ81">
        <v>1.3609E-2</v>
      </c>
      <c r="LA81">
        <v>8.1099999999999992E-3</v>
      </c>
      <c r="LB81">
        <v>1.3462E-2</v>
      </c>
      <c r="LC81">
        <v>8.267E-3</v>
      </c>
      <c r="LD81" t="s">
        <v>114</v>
      </c>
      <c r="LE81">
        <v>1.353E-2</v>
      </c>
      <c r="LF81">
        <v>1.1632999999999999E-2</v>
      </c>
      <c r="LG81">
        <v>8.2730000000000008E-3</v>
      </c>
      <c r="LH81">
        <v>1.2028E-2</v>
      </c>
      <c r="LI81">
        <v>1.2526000000000001E-2</v>
      </c>
      <c r="LJ81">
        <v>6.8100000000000001E-3</v>
      </c>
      <c r="LK81">
        <v>6.1910000000000003E-3</v>
      </c>
      <c r="LL81">
        <v>5.3810000000000004E-3</v>
      </c>
      <c r="LM81">
        <v>8.6840000000000007E-3</v>
      </c>
      <c r="LN81">
        <v>3.8649000000000003E-2</v>
      </c>
      <c r="LO81">
        <v>6.5669999999999999E-3</v>
      </c>
      <c r="LP81">
        <v>1.4293999999999999E-2</v>
      </c>
      <c r="LQ81">
        <v>5.6369999999999996E-3</v>
      </c>
      <c r="LR81" t="s">
        <v>114</v>
      </c>
      <c r="LS81">
        <v>1.6504999999999999E-2</v>
      </c>
      <c r="LT81">
        <v>8.482E-3</v>
      </c>
      <c r="LU81">
        <v>7.5119999999999996E-3</v>
      </c>
      <c r="LV81">
        <v>5.1399999999999996E-3</v>
      </c>
      <c r="LW81" t="s">
        <v>114</v>
      </c>
      <c r="LX81">
        <v>6.999E-3</v>
      </c>
      <c r="LY81">
        <v>6.4260000000000003E-3</v>
      </c>
      <c r="LZ81" t="s">
        <v>114</v>
      </c>
      <c r="MA81">
        <v>1.1719E-2</v>
      </c>
      <c r="MB81">
        <v>8.4480000000000006E-3</v>
      </c>
      <c r="MC81">
        <v>1.0766E-2</v>
      </c>
      <c r="MD81">
        <v>6.2690000000000003E-3</v>
      </c>
      <c r="ME81">
        <v>4.8399999999999997E-3</v>
      </c>
      <c r="MF81">
        <v>4.0629999999999998E-3</v>
      </c>
      <c r="MG81">
        <v>5.1830000000000001E-3</v>
      </c>
      <c r="MH81" t="s">
        <v>114</v>
      </c>
      <c r="MI81">
        <v>4.5310000000000003E-3</v>
      </c>
      <c r="MJ81">
        <v>1.0321E-2</v>
      </c>
      <c r="MK81">
        <v>6.1630000000000001E-3</v>
      </c>
      <c r="ML81" t="s">
        <v>114</v>
      </c>
      <c r="MM81">
        <v>5.9959999999999996E-3</v>
      </c>
      <c r="MN81">
        <v>5.1209999999999997E-3</v>
      </c>
      <c r="MO81">
        <v>4.1920000000000004E-3</v>
      </c>
      <c r="MP81">
        <v>4.7660000000000003E-3</v>
      </c>
      <c r="MQ81">
        <v>1.1658999999999999E-2</v>
      </c>
      <c r="MR81">
        <v>8.2620000000000002E-3</v>
      </c>
      <c r="MS81">
        <v>9.5349000000000003E-2</v>
      </c>
      <c r="MT81">
        <v>5.1029999999999999E-3</v>
      </c>
      <c r="MU81">
        <v>8.7019999999999997E-3</v>
      </c>
      <c r="MV81">
        <v>5.6829999999999997E-3</v>
      </c>
      <c r="MW81">
        <v>5.5649999999999996E-3</v>
      </c>
      <c r="MX81" t="s">
        <v>114</v>
      </c>
      <c r="MY81" t="s">
        <v>114</v>
      </c>
      <c r="MZ81">
        <v>7.1180000000000002E-3</v>
      </c>
      <c r="NA81">
        <v>9.7929999999999996E-3</v>
      </c>
      <c r="NB81">
        <v>3.1820000000000001E-2</v>
      </c>
      <c r="NC81">
        <v>8.9079999999999993E-3</v>
      </c>
      <c r="ND81">
        <v>5.5979999999999997E-3</v>
      </c>
      <c r="NE81">
        <v>1.1603E-2</v>
      </c>
      <c r="NF81">
        <v>3.5341999999999998E-2</v>
      </c>
      <c r="NG81">
        <v>8.3499999999999998E-3</v>
      </c>
      <c r="NH81">
        <v>7.6229999999999996E-3</v>
      </c>
      <c r="NI81">
        <v>6.0530000000000002E-3</v>
      </c>
      <c r="NJ81">
        <v>5.7080000000000004E-3</v>
      </c>
      <c r="NK81">
        <v>1.2224E-2</v>
      </c>
      <c r="NL81">
        <v>5.084E-3</v>
      </c>
      <c r="NM81">
        <v>8.9020000000000002E-3</v>
      </c>
      <c r="NN81">
        <v>2.0029000000000002E-2</v>
      </c>
      <c r="NO81">
        <v>6.0759999999999998E-3</v>
      </c>
      <c r="NP81">
        <v>4.8589999999999996E-3</v>
      </c>
      <c r="NQ81" t="s">
        <v>114</v>
      </c>
      <c r="NR81">
        <v>8.1659999999999996E-3</v>
      </c>
      <c r="NS81">
        <v>9.5069999999999998E-3</v>
      </c>
      <c r="NT81">
        <v>7.4840000000000002E-3</v>
      </c>
      <c r="NU81">
        <v>1.038E-2</v>
      </c>
      <c r="NV81">
        <v>6.1320000000000003E-3</v>
      </c>
      <c r="NW81">
        <v>9.0720000000000002E-3</v>
      </c>
      <c r="NX81">
        <v>8.3339999999999994E-3</v>
      </c>
      <c r="NY81" t="s">
        <v>114</v>
      </c>
      <c r="NZ81" t="s">
        <v>114</v>
      </c>
      <c r="OA81">
        <v>1.4969E-2</v>
      </c>
      <c r="OB81">
        <v>6.3119999999999999E-3</v>
      </c>
      <c r="OC81">
        <v>8.0309999999999999E-3</v>
      </c>
      <c r="OD81">
        <v>1.0016000000000001E-2</v>
      </c>
      <c r="OE81">
        <v>1.2378999999999999E-2</v>
      </c>
      <c r="OF81" t="s">
        <v>114</v>
      </c>
      <c r="OG81">
        <v>4.8650000000000004E-3</v>
      </c>
      <c r="OH81">
        <v>4.1780000000000003E-3</v>
      </c>
      <c r="OI81" t="s">
        <v>114</v>
      </c>
      <c r="OJ81">
        <v>4.4679999999999997E-3</v>
      </c>
      <c r="OK81">
        <v>5.1799999999999997E-3</v>
      </c>
      <c r="OL81">
        <v>7.0239999999999999E-3</v>
      </c>
      <c r="OM81">
        <v>1.1195999999999999E-2</v>
      </c>
      <c r="ON81">
        <v>5.9379999999999997E-3</v>
      </c>
      <c r="OO81" t="s">
        <v>114</v>
      </c>
      <c r="OP81">
        <v>6.4549999999999998E-3</v>
      </c>
      <c r="OQ81" t="s">
        <v>114</v>
      </c>
      <c r="OR81" t="s">
        <v>114</v>
      </c>
      <c r="OS81" t="s">
        <v>114</v>
      </c>
      <c r="OT81" t="s">
        <v>114</v>
      </c>
      <c r="OU81" t="s">
        <v>114</v>
      </c>
      <c r="OV81" t="s">
        <v>114</v>
      </c>
      <c r="OW81" t="s">
        <v>114</v>
      </c>
      <c r="OX81">
        <v>5.6333000000000001E-2</v>
      </c>
      <c r="OY81" t="s">
        <v>114</v>
      </c>
      <c r="OZ81" t="s">
        <v>114</v>
      </c>
      <c r="PA81" t="s">
        <v>114</v>
      </c>
      <c r="PB81">
        <v>6.5970000000000004E-3</v>
      </c>
      <c r="PC81">
        <v>6.4159999999999998E-3</v>
      </c>
      <c r="PD81" t="s">
        <v>114</v>
      </c>
      <c r="PE81">
        <v>8.9899999999999997E-3</v>
      </c>
      <c r="PF81">
        <v>3.8365000000000003E-2</v>
      </c>
      <c r="PG81">
        <v>9.4450000000000003E-3</v>
      </c>
      <c r="PH81">
        <v>7.7260000000000002E-3</v>
      </c>
      <c r="PI81">
        <v>2.0760000000000001E-2</v>
      </c>
      <c r="PJ81">
        <v>1.532E-2</v>
      </c>
      <c r="PK81">
        <v>9.3740000000000004E-3</v>
      </c>
      <c r="PL81" t="s">
        <v>114</v>
      </c>
      <c r="PM81">
        <v>9.3570000000000007E-3</v>
      </c>
      <c r="PN81" t="s">
        <v>114</v>
      </c>
      <c r="PO81" t="s">
        <v>114</v>
      </c>
      <c r="PP81">
        <v>2.9461000000000001E-2</v>
      </c>
      <c r="PQ81">
        <v>1.3686E-2</v>
      </c>
      <c r="PR81">
        <v>9.3570000000000007E-3</v>
      </c>
      <c r="PS81">
        <v>5.6940000000000003E-3</v>
      </c>
      <c r="PT81">
        <v>1.8380000000000001E-2</v>
      </c>
      <c r="PU81">
        <v>7.2160000000000002E-3</v>
      </c>
      <c r="PV81">
        <v>5.2490000000000002E-3</v>
      </c>
      <c r="PW81">
        <v>6.8250000000000003E-3</v>
      </c>
      <c r="PX81">
        <v>5.7039999999999999E-3</v>
      </c>
      <c r="PY81">
        <v>1.1988E-2</v>
      </c>
      <c r="PZ81">
        <v>5.1879999999999999E-3</v>
      </c>
      <c r="QA81">
        <v>1.4434000000000001E-2</v>
      </c>
      <c r="QB81">
        <v>1.0902E-2</v>
      </c>
      <c r="QC81">
        <v>2.3123999999999999E-2</v>
      </c>
      <c r="QD81">
        <v>1.0553999999999999E-2</v>
      </c>
      <c r="QE81">
        <v>8.6940000000000003E-3</v>
      </c>
      <c r="QF81">
        <v>1.0909E-2</v>
      </c>
      <c r="QG81">
        <v>8.8789999999999997E-3</v>
      </c>
      <c r="QH81" t="s">
        <v>114</v>
      </c>
      <c r="QI81" t="s">
        <v>114</v>
      </c>
      <c r="QJ81">
        <v>5.5360000000000001E-3</v>
      </c>
      <c r="QK81">
        <v>1.0770999999999999E-2</v>
      </c>
      <c r="QL81" t="s">
        <v>114</v>
      </c>
      <c r="QM81">
        <v>1.2855999999999999E-2</v>
      </c>
      <c r="QN81" t="s">
        <v>114</v>
      </c>
      <c r="QO81">
        <v>1.1124999999999999E-2</v>
      </c>
      <c r="QP81">
        <v>6.3645999999999994E-2</v>
      </c>
      <c r="QQ81" t="s">
        <v>114</v>
      </c>
      <c r="QR81" t="s">
        <v>114</v>
      </c>
      <c r="QS81">
        <v>1.04E-2</v>
      </c>
      <c r="QT81" t="s">
        <v>114</v>
      </c>
      <c r="QU81" t="s">
        <v>114</v>
      </c>
      <c r="QV81">
        <v>9.7330000000000003E-3</v>
      </c>
      <c r="QW81">
        <v>6.2820000000000003E-3</v>
      </c>
      <c r="QX81">
        <v>1.668E-2</v>
      </c>
      <c r="QY81">
        <v>1.2487E-2</v>
      </c>
      <c r="QZ81">
        <v>9.7409999999999997E-3</v>
      </c>
      <c r="RA81">
        <v>7.6709999999999999E-3</v>
      </c>
      <c r="RB81">
        <v>5.0270000000000002E-3</v>
      </c>
      <c r="RC81">
        <v>5.8223999999999998E-2</v>
      </c>
      <c r="RD81">
        <v>1.286E-2</v>
      </c>
      <c r="RE81">
        <v>6.4939999999999998E-3</v>
      </c>
      <c r="RF81">
        <v>7.541E-3</v>
      </c>
      <c r="RG81">
        <v>8.8450000000000004E-3</v>
      </c>
      <c r="RH81">
        <v>1.0636E-2</v>
      </c>
      <c r="RI81">
        <v>9.4560000000000009E-3</v>
      </c>
      <c r="RJ81">
        <v>5.9519999999999998E-3</v>
      </c>
      <c r="RK81">
        <v>7.7910000000000002E-3</v>
      </c>
      <c r="RL81">
        <v>6.4469999999999996E-3</v>
      </c>
      <c r="RM81">
        <v>7.136E-3</v>
      </c>
      <c r="RN81">
        <v>1.0172E-2</v>
      </c>
      <c r="RO81">
        <v>5.7470000000000004E-3</v>
      </c>
      <c r="RP81" t="s">
        <v>114</v>
      </c>
      <c r="RQ81">
        <v>1.0012999999999999E-2</v>
      </c>
      <c r="RR81">
        <v>1.0591E-2</v>
      </c>
      <c r="RS81">
        <v>7.587E-3</v>
      </c>
      <c r="RT81">
        <v>5.0179999999999999E-3</v>
      </c>
      <c r="RU81">
        <v>1.0529999999999999E-2</v>
      </c>
      <c r="RV81">
        <v>5.6280000000000002E-3</v>
      </c>
      <c r="RW81">
        <v>1.7274999999999999E-2</v>
      </c>
      <c r="RX81">
        <v>1.0604000000000001E-2</v>
      </c>
      <c r="RY81">
        <v>6.1970000000000003E-3</v>
      </c>
      <c r="RZ81">
        <v>8.1340000000000006E-3</v>
      </c>
      <c r="SA81">
        <v>1.7444999999999999E-2</v>
      </c>
      <c r="SB81">
        <v>1.7416999999999998E-2</v>
      </c>
      <c r="SC81">
        <v>7.9660000000000009E-3</v>
      </c>
      <c r="SD81">
        <v>7.7860000000000004E-3</v>
      </c>
      <c r="SE81">
        <v>5.8430000000000001E-3</v>
      </c>
      <c r="SF81">
        <v>9.136E-3</v>
      </c>
      <c r="SG81">
        <v>6.5789999999999998E-3</v>
      </c>
      <c r="SH81">
        <v>0.100201</v>
      </c>
      <c r="SI81">
        <v>5.7959999999999999E-3</v>
      </c>
      <c r="SJ81">
        <v>1.0026999999999999E-2</v>
      </c>
      <c r="SK81" t="s">
        <v>114</v>
      </c>
      <c r="SL81" t="s">
        <v>114</v>
      </c>
      <c r="SM81">
        <v>6.4000000000000003E-3</v>
      </c>
      <c r="SN81">
        <v>6.4869999999999997E-3</v>
      </c>
      <c r="SO81" t="s">
        <v>114</v>
      </c>
      <c r="SP81">
        <v>9.8650000000000005E-3</v>
      </c>
      <c r="SQ81">
        <v>1.338E-2</v>
      </c>
      <c r="SR81">
        <v>9.0690000000000007E-3</v>
      </c>
      <c r="SS81">
        <v>7.6239999999999997E-3</v>
      </c>
      <c r="ST81">
        <v>1.4352999999999999E-2</v>
      </c>
      <c r="SU81">
        <v>4.8300000000000001E-3</v>
      </c>
      <c r="SV81" t="s">
        <v>114</v>
      </c>
      <c r="SW81">
        <v>5.1510000000000002E-3</v>
      </c>
      <c r="SX81" t="s">
        <v>114</v>
      </c>
      <c r="SY81">
        <v>6.3020000000000003E-3</v>
      </c>
      <c r="SZ81">
        <v>1.2418999999999999E-2</v>
      </c>
      <c r="TA81">
        <v>4.3439999999999998E-3</v>
      </c>
      <c r="TB81">
        <v>8.5570000000000004E-3</v>
      </c>
      <c r="TC81">
        <v>4.4790000000000003E-3</v>
      </c>
      <c r="TD81">
        <v>4.5599999999999998E-3</v>
      </c>
      <c r="TE81">
        <v>5.7809999999999997E-3</v>
      </c>
      <c r="TF81">
        <v>7.1130000000000004E-3</v>
      </c>
      <c r="TG81">
        <v>1.1540999999999999E-2</v>
      </c>
      <c r="TH81">
        <v>5.7000000000000002E-3</v>
      </c>
      <c r="TI81">
        <v>7.8759999999999993E-3</v>
      </c>
      <c r="TJ81" t="s">
        <v>114</v>
      </c>
      <c r="TK81">
        <v>9.3480000000000004E-3</v>
      </c>
      <c r="TL81" t="s">
        <v>114</v>
      </c>
      <c r="TM81" t="s">
        <v>114</v>
      </c>
      <c r="TN81">
        <v>6.2690000000000003E-3</v>
      </c>
      <c r="TO81" t="s">
        <v>114</v>
      </c>
      <c r="TP81">
        <v>1.0621999999999999E-2</v>
      </c>
      <c r="TQ81">
        <v>8.4399999999999996E-3</v>
      </c>
      <c r="TR81">
        <v>1.1643000000000001E-2</v>
      </c>
      <c r="TS81">
        <v>1.1368E-2</v>
      </c>
      <c r="TT81">
        <v>1.6899999999999998E-2</v>
      </c>
      <c r="TU81" t="s">
        <v>114</v>
      </c>
      <c r="TV81">
        <v>7.8150000000000008E-3</v>
      </c>
      <c r="TW81">
        <v>2.2155000000000001E-2</v>
      </c>
      <c r="TX81">
        <v>5.2440000000000004E-3</v>
      </c>
      <c r="TY81" t="s">
        <v>114</v>
      </c>
      <c r="TZ81">
        <v>5.9810000000000002E-3</v>
      </c>
      <c r="UA81">
        <v>5.7549999999999997E-3</v>
      </c>
      <c r="UB81">
        <v>6.0769999999999999E-3</v>
      </c>
      <c r="UC81" t="s">
        <v>114</v>
      </c>
      <c r="UD81">
        <v>7.8759999999999993E-3</v>
      </c>
      <c r="UE81">
        <v>5.6509999999999998E-3</v>
      </c>
      <c r="UF81">
        <v>6.4209999999999996E-3</v>
      </c>
      <c r="UG81">
        <v>1.2319E-2</v>
      </c>
      <c r="UH81" t="s">
        <v>114</v>
      </c>
      <c r="UI81">
        <v>5.9030000000000003E-3</v>
      </c>
      <c r="UJ81">
        <v>7.5519999999999997E-3</v>
      </c>
      <c r="UK81">
        <v>9.9570000000000006E-3</v>
      </c>
      <c r="UL81">
        <v>6.1500000000000001E-3</v>
      </c>
      <c r="UM81" t="s">
        <v>114</v>
      </c>
      <c r="UN81" t="s">
        <v>114</v>
      </c>
      <c r="UO81" t="s">
        <v>114</v>
      </c>
      <c r="UP81">
        <v>5.6360000000000004E-3</v>
      </c>
      <c r="UQ81" t="s">
        <v>114</v>
      </c>
      <c r="UR81">
        <v>5.8650000000000004E-3</v>
      </c>
      <c r="US81">
        <v>6.8440000000000003E-3</v>
      </c>
      <c r="UT81">
        <v>6.045E-3</v>
      </c>
      <c r="UU81">
        <v>5.1019999999999998E-3</v>
      </c>
      <c r="UV81">
        <v>5.7000000000000002E-3</v>
      </c>
      <c r="UW81" t="s">
        <v>114</v>
      </c>
      <c r="UX81">
        <v>5.1380000000000002E-3</v>
      </c>
      <c r="UY81">
        <v>5.4010000000000004E-3</v>
      </c>
      <c r="UZ81" t="s">
        <v>114</v>
      </c>
      <c r="VA81">
        <v>5.555E-3</v>
      </c>
      <c r="VB81">
        <v>2.334E-2</v>
      </c>
      <c r="VC81" t="s">
        <v>114</v>
      </c>
      <c r="VD81">
        <v>9.9609999999999994E-3</v>
      </c>
      <c r="VE81">
        <v>7.5069999999999998E-3</v>
      </c>
      <c r="VF81">
        <v>6.0990000000000003E-3</v>
      </c>
      <c r="VG81">
        <v>7.0340000000000003E-3</v>
      </c>
      <c r="VH81">
        <v>3.0643E-2</v>
      </c>
      <c r="VI81" t="s">
        <v>114</v>
      </c>
      <c r="VJ81" t="s">
        <v>114</v>
      </c>
      <c r="VK81" t="s">
        <v>114</v>
      </c>
      <c r="VL81" t="s">
        <v>114</v>
      </c>
      <c r="VM81" t="s">
        <v>114</v>
      </c>
      <c r="VN81">
        <v>7.7470000000000004E-3</v>
      </c>
      <c r="VO81">
        <v>8.3230000000000005E-3</v>
      </c>
      <c r="VP81">
        <v>1.8485999999999999E-2</v>
      </c>
      <c r="VQ81">
        <v>8.5290000000000001E-3</v>
      </c>
      <c r="VR81">
        <v>2.1658E-2</v>
      </c>
      <c r="VS81">
        <v>1.6028000000000001E-2</v>
      </c>
      <c r="VT81" t="s">
        <v>114</v>
      </c>
      <c r="VU81">
        <v>1.2576E-2</v>
      </c>
      <c r="VV81" t="s">
        <v>114</v>
      </c>
      <c r="VW81" t="s">
        <v>114</v>
      </c>
      <c r="VX81" t="s">
        <v>114</v>
      </c>
      <c r="VY81">
        <v>6.2690000000000003E-3</v>
      </c>
      <c r="VZ81">
        <v>5.4200000000000003E-3</v>
      </c>
      <c r="WA81" t="s">
        <v>114</v>
      </c>
      <c r="WB81" t="s">
        <v>114</v>
      </c>
      <c r="WC81" t="s">
        <v>114</v>
      </c>
      <c r="WD81">
        <v>2.2386E-2</v>
      </c>
      <c r="WE81">
        <v>2.4917000000000002E-2</v>
      </c>
      <c r="WF81">
        <v>1.5629000000000001E-2</v>
      </c>
      <c r="WG81">
        <v>9.6150000000000003E-3</v>
      </c>
      <c r="WH81" t="s">
        <v>114</v>
      </c>
      <c r="WI81">
        <v>1.1171E-2</v>
      </c>
      <c r="WJ81">
        <v>9.4699999999999993E-3</v>
      </c>
      <c r="WK81">
        <v>1.0481000000000001E-2</v>
      </c>
      <c r="WL81" t="s">
        <v>114</v>
      </c>
      <c r="WM81">
        <v>1.0399E-2</v>
      </c>
      <c r="WN81">
        <v>5.7019999999999996E-3</v>
      </c>
      <c r="WO81">
        <v>8.4239999999999992E-3</v>
      </c>
      <c r="WP81">
        <v>5.9220000000000002E-3</v>
      </c>
      <c r="WQ81">
        <v>4.7289999999999997E-3</v>
      </c>
      <c r="WR81" t="s">
        <v>114</v>
      </c>
      <c r="WS81">
        <v>5.1799999999999997E-3</v>
      </c>
      <c r="WT81" t="s">
        <v>114</v>
      </c>
      <c r="WU81">
        <v>1.0279999999999999E-2</v>
      </c>
      <c r="WV81" t="s">
        <v>114</v>
      </c>
      <c r="WW81">
        <v>1.9720000000000001E-2</v>
      </c>
      <c r="WX81">
        <v>1.9883000000000001E-2</v>
      </c>
      <c r="WY81" t="s">
        <v>114</v>
      </c>
      <c r="WZ81">
        <v>4.2399999999999998E-3</v>
      </c>
      <c r="XA81">
        <v>1.5417999999999999E-2</v>
      </c>
      <c r="XB81" t="s">
        <v>114</v>
      </c>
      <c r="XC81">
        <v>8.9800000000000001E-3</v>
      </c>
      <c r="XD81">
        <v>3.3284000000000001E-2</v>
      </c>
      <c r="XE81">
        <v>7.8189999999999996E-3</v>
      </c>
      <c r="XF81" t="s">
        <v>114</v>
      </c>
      <c r="XG81">
        <v>8.2789999999999999E-3</v>
      </c>
      <c r="XH81">
        <v>5.2490000000000002E-3</v>
      </c>
      <c r="XI81" t="s">
        <v>114</v>
      </c>
      <c r="XJ81">
        <v>1.6053000000000001E-2</v>
      </c>
      <c r="XK81">
        <v>7.3699999999999998E-3</v>
      </c>
      <c r="XL81">
        <v>1.0178E-2</v>
      </c>
      <c r="XM81">
        <v>5.9069999999999999E-3</v>
      </c>
      <c r="XN81">
        <v>8.881E-3</v>
      </c>
      <c r="XO81">
        <v>3.5295E-2</v>
      </c>
      <c r="XP81" t="s">
        <v>114</v>
      </c>
      <c r="XQ81" t="s">
        <v>114</v>
      </c>
      <c r="XR81">
        <v>1.1305000000000001E-2</v>
      </c>
      <c r="XS81">
        <v>1.1233999999999999E-2</v>
      </c>
      <c r="XT81">
        <v>4.5490000000000001E-3</v>
      </c>
      <c r="XU81" t="s">
        <v>114</v>
      </c>
      <c r="XV81" t="s">
        <v>114</v>
      </c>
      <c r="XW81" t="s">
        <v>114</v>
      </c>
      <c r="XX81">
        <v>1.1087E-2</v>
      </c>
      <c r="XY81">
        <v>8.1960000000000002E-3</v>
      </c>
      <c r="XZ81">
        <v>1.0135999999999999E-2</v>
      </c>
      <c r="YA81">
        <v>7.8849999999999996E-3</v>
      </c>
      <c r="YB81">
        <v>1.3094E-2</v>
      </c>
      <c r="YC81">
        <v>5.9430000000000004E-3</v>
      </c>
      <c r="YD81" t="s">
        <v>114</v>
      </c>
      <c r="YE81">
        <v>1.2732E-2</v>
      </c>
      <c r="YF81" t="s">
        <v>114</v>
      </c>
      <c r="YG81">
        <v>5.019E-3</v>
      </c>
      <c r="YH81" t="s">
        <v>114</v>
      </c>
      <c r="YI81" t="s">
        <v>114</v>
      </c>
      <c r="YJ81">
        <v>5.3619999999999996E-3</v>
      </c>
      <c r="YK81">
        <v>5.1669999999999997E-3</v>
      </c>
      <c r="YL81">
        <v>8.0199999999999994E-3</v>
      </c>
      <c r="YM81">
        <v>5.901E-3</v>
      </c>
      <c r="YN81" t="s">
        <v>114</v>
      </c>
      <c r="YO81" t="s">
        <v>114</v>
      </c>
      <c r="YP81">
        <v>0.228716</v>
      </c>
      <c r="YQ81">
        <v>6.4400000000000004E-3</v>
      </c>
      <c r="YR81">
        <v>8.293E-3</v>
      </c>
      <c r="YS81">
        <v>1.2789E-2</v>
      </c>
      <c r="YT81" t="s">
        <v>114</v>
      </c>
      <c r="YU81">
        <v>6.9629999999999996E-3</v>
      </c>
      <c r="YV81">
        <v>6.1199999999999996E-3</v>
      </c>
      <c r="YW81" t="s">
        <v>114</v>
      </c>
      <c r="YX81" t="s">
        <v>114</v>
      </c>
      <c r="YY81">
        <v>9.9069999999999991E-3</v>
      </c>
      <c r="YZ81">
        <v>1.5006E-2</v>
      </c>
      <c r="ZA81">
        <v>8.0549999999999997E-3</v>
      </c>
      <c r="ZB81">
        <v>4.8223000000000002E-2</v>
      </c>
      <c r="ZC81">
        <v>9.3919999999999993E-3</v>
      </c>
      <c r="ZD81">
        <v>7.0049999999999999E-3</v>
      </c>
      <c r="ZE81">
        <v>6.5859999999999998E-3</v>
      </c>
      <c r="ZF81" t="s">
        <v>114</v>
      </c>
      <c r="ZG81">
        <v>1.1214999999999999E-2</v>
      </c>
      <c r="ZH81">
        <v>1.1341E-2</v>
      </c>
      <c r="ZI81">
        <v>4.6030000000000001E-2</v>
      </c>
      <c r="ZJ81">
        <v>1.2191E-2</v>
      </c>
      <c r="ZK81" t="s">
        <v>114</v>
      </c>
      <c r="ZL81">
        <v>1.6219000000000001E-2</v>
      </c>
      <c r="ZM81">
        <v>1.2292000000000001E-2</v>
      </c>
      <c r="ZN81">
        <v>2.0220999999999999E-2</v>
      </c>
      <c r="ZO81">
        <v>1.8343000000000002E-2</v>
      </c>
      <c r="ZP81" t="s">
        <v>114</v>
      </c>
      <c r="ZQ81" t="s">
        <v>114</v>
      </c>
      <c r="ZR81" t="s">
        <v>114</v>
      </c>
      <c r="ZS81" t="s">
        <v>114</v>
      </c>
      <c r="ZT81" t="s">
        <v>114</v>
      </c>
      <c r="ZU81" t="s">
        <v>114</v>
      </c>
      <c r="ZV81">
        <v>8.1539999999999998E-3</v>
      </c>
      <c r="ZW81" t="s">
        <v>114</v>
      </c>
      <c r="ZX81">
        <v>4.0849999999999997E-2</v>
      </c>
      <c r="ZY81">
        <v>1.8818999999999999E-2</v>
      </c>
      <c r="ZZ81">
        <v>1.4007E-2</v>
      </c>
      <c r="AAA81">
        <v>8.2679999999999993E-3</v>
      </c>
      <c r="AAB81">
        <v>1.6524E-2</v>
      </c>
      <c r="AAC81">
        <v>1.8769999999999998E-2</v>
      </c>
      <c r="AAD81">
        <v>7.4999999999999997E-3</v>
      </c>
      <c r="AAE81">
        <v>1.2279E-2</v>
      </c>
      <c r="AAF81">
        <v>1.295E-2</v>
      </c>
      <c r="AAG81">
        <v>1.3150999999999999E-2</v>
      </c>
      <c r="AAH81" t="s">
        <v>114</v>
      </c>
      <c r="AAI81">
        <v>4.0313000000000002E-2</v>
      </c>
      <c r="AAJ81">
        <v>2.8927999999999999E-2</v>
      </c>
      <c r="AAK81" t="s">
        <v>114</v>
      </c>
      <c r="AAL81" t="s">
        <v>114</v>
      </c>
      <c r="AAM81">
        <v>1.3323E-2</v>
      </c>
      <c r="AAN81">
        <v>6.8739999999999999E-3</v>
      </c>
      <c r="AAO81">
        <v>1.2690999999999999E-2</v>
      </c>
      <c r="AAP81" t="s">
        <v>114</v>
      </c>
      <c r="AAQ81">
        <v>1.3445E-2</v>
      </c>
      <c r="AAR81">
        <v>1.2851E-2</v>
      </c>
      <c r="AAS81" t="s">
        <v>114</v>
      </c>
      <c r="AAT81">
        <v>9.8399999999999998E-3</v>
      </c>
      <c r="AAU81">
        <v>1.3687E-2</v>
      </c>
      <c r="AAV81">
        <v>1.7919999999999998E-2</v>
      </c>
      <c r="AAW81">
        <v>1.0036E-2</v>
      </c>
      <c r="AAX81" t="s">
        <v>114</v>
      </c>
      <c r="AAY81" t="s">
        <v>114</v>
      </c>
      <c r="AAZ81" t="s">
        <v>114</v>
      </c>
      <c r="ABA81">
        <v>5.6889999999999996E-3</v>
      </c>
      <c r="ABB81">
        <v>6.8999999999999999E-3</v>
      </c>
      <c r="ABC81">
        <v>4.8970000000000003E-3</v>
      </c>
      <c r="ABD81" t="s">
        <v>114</v>
      </c>
      <c r="ABE81">
        <v>8.0680000000000005E-3</v>
      </c>
      <c r="ABF81" t="s">
        <v>114</v>
      </c>
      <c r="ABG81">
        <v>6.7970000000000001E-3</v>
      </c>
      <c r="ABH81">
        <v>6.5180000000000004E-3</v>
      </c>
      <c r="ABI81" t="s">
        <v>114</v>
      </c>
      <c r="ABJ81">
        <v>1.1242E-2</v>
      </c>
      <c r="ABK81">
        <v>5.2630000000000003E-3</v>
      </c>
      <c r="ABL81" t="s">
        <v>114</v>
      </c>
      <c r="ABM81">
        <v>6.5139999999999998E-3</v>
      </c>
      <c r="ABN81" t="s">
        <v>114</v>
      </c>
      <c r="ABO81" t="s">
        <v>114</v>
      </c>
      <c r="ABP81">
        <v>5.457E-3</v>
      </c>
      <c r="ABQ81" t="s">
        <v>114</v>
      </c>
      <c r="ABR81">
        <v>1.3698999999999999E-2</v>
      </c>
      <c r="ABS81">
        <v>5.4460000000000003E-3</v>
      </c>
      <c r="ABT81" t="s">
        <v>114</v>
      </c>
      <c r="ABU81" t="s">
        <v>114</v>
      </c>
      <c r="ABV81" t="s">
        <v>114</v>
      </c>
      <c r="ABW81" t="s">
        <v>114</v>
      </c>
      <c r="ABX81">
        <v>3.0419999999999999E-2</v>
      </c>
      <c r="ABY81" t="s">
        <v>114</v>
      </c>
      <c r="ABZ81">
        <v>4.4759999999999999E-3</v>
      </c>
      <c r="ACA81">
        <v>5.6150000000000002E-3</v>
      </c>
      <c r="ACB81">
        <v>3.4287999999999999E-2</v>
      </c>
      <c r="ACC81">
        <v>6.0769999999999999E-3</v>
      </c>
      <c r="ACD81" t="s">
        <v>114</v>
      </c>
      <c r="ACE81">
        <v>7.7600000000000004E-3</v>
      </c>
      <c r="ACF81" t="s">
        <v>114</v>
      </c>
      <c r="ACG81" t="s">
        <v>114</v>
      </c>
      <c r="ACH81" t="s">
        <v>114</v>
      </c>
      <c r="ACI81" t="s">
        <v>114</v>
      </c>
      <c r="ACJ81" t="s">
        <v>114</v>
      </c>
      <c r="ACK81">
        <v>6.1960000000000001E-3</v>
      </c>
      <c r="ACL81">
        <v>6.3039999999999997E-3</v>
      </c>
      <c r="ACM81" t="s">
        <v>114</v>
      </c>
      <c r="ACN81">
        <v>2.2242999999999999E-2</v>
      </c>
      <c r="ACO81">
        <v>8.7259999999999994E-3</v>
      </c>
    </row>
    <row r="82" spans="1:769" x14ac:dyDescent="0.25">
      <c r="A82" t="s">
        <v>89</v>
      </c>
      <c r="B82" t="s">
        <v>114</v>
      </c>
      <c r="C82" t="s">
        <v>114</v>
      </c>
      <c r="D82">
        <v>3.3409999999999998E-3</v>
      </c>
      <c r="E82" t="s">
        <v>114</v>
      </c>
      <c r="F82">
        <v>4.1570000000000001E-3</v>
      </c>
      <c r="G82">
        <v>3.614E-3</v>
      </c>
      <c r="H82">
        <v>9.6380000000000007E-3</v>
      </c>
      <c r="I82">
        <v>1.1669000000000001E-2</v>
      </c>
      <c r="J82" t="s">
        <v>114</v>
      </c>
      <c r="K82">
        <v>9.4000000000000004E-3</v>
      </c>
      <c r="L82" t="s">
        <v>114</v>
      </c>
      <c r="M82">
        <v>4.3829999999999997E-3</v>
      </c>
      <c r="N82" t="s">
        <v>114</v>
      </c>
      <c r="O82">
        <v>3.8769999999999998E-3</v>
      </c>
      <c r="P82">
        <v>6.9519999999999998E-3</v>
      </c>
      <c r="Q82" t="s">
        <v>114</v>
      </c>
      <c r="R82">
        <v>5.9430000000000004E-3</v>
      </c>
      <c r="S82">
        <v>9.9600000000000001E-3</v>
      </c>
      <c r="T82">
        <v>6.2230000000000002E-3</v>
      </c>
      <c r="U82">
        <v>3.258E-3</v>
      </c>
      <c r="V82">
        <v>5.2420000000000001E-3</v>
      </c>
      <c r="W82" t="s">
        <v>114</v>
      </c>
      <c r="X82">
        <v>4.9690000000000003E-3</v>
      </c>
      <c r="Y82">
        <v>6.1000000000000004E-3</v>
      </c>
      <c r="Z82" t="s">
        <v>114</v>
      </c>
      <c r="AA82">
        <v>4.1120000000000002E-3</v>
      </c>
      <c r="AB82">
        <v>5.2919999999999998E-3</v>
      </c>
      <c r="AC82">
        <v>4.895E-3</v>
      </c>
      <c r="AD82" t="s">
        <v>114</v>
      </c>
      <c r="AE82">
        <v>4.1949999999999999E-3</v>
      </c>
      <c r="AF82">
        <v>6.9470000000000001E-3</v>
      </c>
      <c r="AG82">
        <v>5.4159999999999998E-3</v>
      </c>
      <c r="AH82">
        <v>6.6860000000000001E-3</v>
      </c>
      <c r="AI82">
        <v>6.5690000000000002E-3</v>
      </c>
      <c r="AJ82">
        <v>3.4819999999999999E-3</v>
      </c>
      <c r="AK82">
        <v>7.3369999999999998E-3</v>
      </c>
      <c r="AL82">
        <v>4.1650000000000003E-3</v>
      </c>
      <c r="AM82">
        <v>6.3920000000000001E-3</v>
      </c>
      <c r="AN82">
        <v>4.8849999999999996E-3</v>
      </c>
      <c r="AO82">
        <v>3.5119999999999999E-3</v>
      </c>
      <c r="AP82">
        <v>5.2789999999999998E-3</v>
      </c>
      <c r="AQ82">
        <v>8.6800000000000002E-3</v>
      </c>
      <c r="AR82">
        <v>3.4459999999999998E-3</v>
      </c>
      <c r="AS82">
        <v>5.0949999999999997E-3</v>
      </c>
      <c r="AT82">
        <v>9.6320000000000003E-2</v>
      </c>
      <c r="AU82">
        <v>5.973E-3</v>
      </c>
      <c r="AV82">
        <v>7.0600000000000003E-3</v>
      </c>
      <c r="AW82">
        <v>4.8989999999999997E-3</v>
      </c>
      <c r="AX82">
        <v>4.424E-3</v>
      </c>
      <c r="AY82">
        <v>7.4310000000000001E-3</v>
      </c>
      <c r="AZ82">
        <v>6.7130000000000002E-3</v>
      </c>
      <c r="BA82">
        <v>3.9519999999999998E-3</v>
      </c>
      <c r="BB82">
        <v>1.1756000000000001E-2</v>
      </c>
      <c r="BC82" t="s">
        <v>114</v>
      </c>
      <c r="BD82">
        <v>4.6569999999999997E-3</v>
      </c>
      <c r="BE82">
        <v>3.32E-3</v>
      </c>
      <c r="BF82">
        <v>4.5999999999999999E-3</v>
      </c>
      <c r="BG82">
        <v>7.6010000000000001E-3</v>
      </c>
      <c r="BH82">
        <v>9.6749999999999996E-3</v>
      </c>
      <c r="BI82">
        <v>5.875E-3</v>
      </c>
      <c r="BJ82">
        <v>4.0749999999999996E-3</v>
      </c>
      <c r="BK82">
        <v>6.6319999999999999E-3</v>
      </c>
      <c r="BL82">
        <v>2.7859999999999999E-2</v>
      </c>
      <c r="BM82">
        <v>4.0980000000000001E-3</v>
      </c>
      <c r="BN82">
        <v>9.2669999999999992E-3</v>
      </c>
      <c r="BO82" t="s">
        <v>114</v>
      </c>
      <c r="BP82">
        <v>4.6579999999999998E-3</v>
      </c>
      <c r="BQ82">
        <v>4.986E-3</v>
      </c>
      <c r="BR82" t="s">
        <v>114</v>
      </c>
      <c r="BS82">
        <v>4.2890000000000003E-3</v>
      </c>
      <c r="BT82">
        <v>4.8669999999999998E-3</v>
      </c>
      <c r="BU82" t="s">
        <v>114</v>
      </c>
      <c r="BV82">
        <v>7.6990000000000001E-3</v>
      </c>
      <c r="BW82">
        <v>3.9919999999999999E-3</v>
      </c>
      <c r="BX82">
        <v>0.10076</v>
      </c>
      <c r="BY82">
        <v>8.1729999999999997E-3</v>
      </c>
      <c r="BZ82">
        <v>7.8379999999999995E-3</v>
      </c>
      <c r="CA82">
        <v>2.3314999999999999E-2</v>
      </c>
      <c r="CB82">
        <v>4.4000000000000003E-3</v>
      </c>
      <c r="CC82">
        <v>5.5820000000000002E-3</v>
      </c>
      <c r="CD82">
        <v>9.75E-3</v>
      </c>
      <c r="CE82">
        <v>7.3150000000000003E-3</v>
      </c>
      <c r="CF82">
        <v>1.7812000000000001E-2</v>
      </c>
      <c r="CG82">
        <v>4.2859999999999999E-3</v>
      </c>
      <c r="CH82" t="s">
        <v>114</v>
      </c>
      <c r="CI82">
        <v>8.4550000000000007E-3</v>
      </c>
      <c r="CJ82">
        <v>4.3889999999999997E-3</v>
      </c>
      <c r="CK82">
        <v>8.3870000000000004E-3</v>
      </c>
      <c r="CL82">
        <v>5.6930000000000001E-3</v>
      </c>
      <c r="CM82">
        <v>9.9209999999999993E-3</v>
      </c>
      <c r="CN82">
        <v>2.2811999999999999E-2</v>
      </c>
      <c r="CO82">
        <v>7.3330000000000001E-3</v>
      </c>
      <c r="CP82">
        <v>5.509E-3</v>
      </c>
      <c r="CQ82">
        <v>1.4165000000000001E-2</v>
      </c>
      <c r="CR82">
        <v>1.0208999999999999E-2</v>
      </c>
      <c r="CS82">
        <v>1.4045E-2</v>
      </c>
      <c r="CT82" t="s">
        <v>114</v>
      </c>
      <c r="CU82">
        <v>3.5500000000000002E-3</v>
      </c>
      <c r="CV82">
        <v>3.735E-3</v>
      </c>
      <c r="CW82">
        <v>9.3550000000000005E-3</v>
      </c>
      <c r="CX82">
        <v>5.3119999999999999E-3</v>
      </c>
      <c r="CY82">
        <v>5.6709999999999998E-3</v>
      </c>
      <c r="CZ82">
        <v>4.4650000000000002E-3</v>
      </c>
      <c r="DA82">
        <v>1.7160000000000002E-2</v>
      </c>
      <c r="DB82">
        <v>4.2680000000000001E-3</v>
      </c>
      <c r="DC82">
        <v>4.5230000000000001E-3</v>
      </c>
      <c r="DD82">
        <v>3.823E-3</v>
      </c>
      <c r="DE82">
        <v>9.2329999999999999E-3</v>
      </c>
      <c r="DF82">
        <v>3.7460000000000002E-3</v>
      </c>
      <c r="DG82">
        <v>1.0061E-2</v>
      </c>
      <c r="DH82">
        <v>7.796E-3</v>
      </c>
      <c r="DI82">
        <v>3.699E-3</v>
      </c>
      <c r="DJ82">
        <v>9.0240000000000008E-3</v>
      </c>
      <c r="DK82">
        <v>1.201E-2</v>
      </c>
      <c r="DL82">
        <v>3.5409999999999999E-3</v>
      </c>
      <c r="DM82">
        <v>5.3429999999999997E-3</v>
      </c>
      <c r="DN82">
        <v>1.8203E-2</v>
      </c>
      <c r="DO82">
        <v>3.9500000000000004E-3</v>
      </c>
      <c r="DP82">
        <v>9.1330000000000005E-3</v>
      </c>
      <c r="DQ82">
        <v>3.7919999999999998E-3</v>
      </c>
      <c r="DR82">
        <v>3.9649999999999998E-3</v>
      </c>
      <c r="DS82">
        <v>3.748E-3</v>
      </c>
      <c r="DT82">
        <v>8.2129999999999998E-3</v>
      </c>
      <c r="DU82">
        <v>6.3800000000000003E-3</v>
      </c>
      <c r="DV82" t="s">
        <v>114</v>
      </c>
      <c r="DW82" t="s">
        <v>114</v>
      </c>
      <c r="DX82">
        <v>5.8939999999999999E-3</v>
      </c>
      <c r="DY82">
        <v>7.6969999999999998E-3</v>
      </c>
      <c r="DZ82">
        <v>4.7569999999999999E-3</v>
      </c>
      <c r="EA82">
        <v>3.2950000000000002E-3</v>
      </c>
      <c r="EB82" t="s">
        <v>114</v>
      </c>
      <c r="EC82">
        <v>1.7299999999999999E-2</v>
      </c>
      <c r="ED82" t="s">
        <v>114</v>
      </c>
      <c r="EE82">
        <v>5.9150000000000001E-3</v>
      </c>
      <c r="EF82">
        <v>6.0470000000000003E-3</v>
      </c>
      <c r="EG82">
        <v>3.2980000000000002E-3</v>
      </c>
      <c r="EH82">
        <v>2.2919999999999999E-2</v>
      </c>
      <c r="EI82">
        <v>4.0130000000000001E-3</v>
      </c>
      <c r="EJ82">
        <v>1.0475999999999999E-2</v>
      </c>
      <c r="EK82">
        <v>1.2409E-2</v>
      </c>
      <c r="EL82">
        <v>6.0109999999999999E-3</v>
      </c>
      <c r="EM82">
        <v>5.3030000000000004E-3</v>
      </c>
      <c r="EN82">
        <v>8.9940000000000003E-3</v>
      </c>
      <c r="EO82" t="s">
        <v>114</v>
      </c>
      <c r="EP82">
        <v>5.692E-3</v>
      </c>
      <c r="EQ82">
        <v>3.7889999999999998E-3</v>
      </c>
      <c r="ER82">
        <v>7.7210000000000004E-3</v>
      </c>
      <c r="ES82">
        <v>1.1207E-2</v>
      </c>
      <c r="ET82">
        <v>9.5779999999999997E-3</v>
      </c>
      <c r="EU82">
        <v>4.4889999999999999E-3</v>
      </c>
      <c r="EV82" t="s">
        <v>114</v>
      </c>
      <c r="EW82">
        <v>8.5979999999999997E-3</v>
      </c>
      <c r="EX82">
        <v>6.3689999999999997E-3</v>
      </c>
      <c r="EY82">
        <v>3.567E-2</v>
      </c>
      <c r="EZ82">
        <v>2.0067000000000002E-2</v>
      </c>
      <c r="FA82">
        <v>6.0740000000000004E-3</v>
      </c>
      <c r="FB82" t="s">
        <v>114</v>
      </c>
      <c r="FC82">
        <v>1.2085E-2</v>
      </c>
      <c r="FD82" t="s">
        <v>114</v>
      </c>
      <c r="FE82" t="s">
        <v>114</v>
      </c>
      <c r="FF82">
        <v>4.8339999999999998E-3</v>
      </c>
      <c r="FG82">
        <v>4.908E-3</v>
      </c>
      <c r="FH82">
        <v>3.79E-3</v>
      </c>
      <c r="FI82">
        <v>2.5472000000000002E-2</v>
      </c>
      <c r="FJ82">
        <v>6.5420000000000001E-3</v>
      </c>
      <c r="FK82">
        <v>4.7660000000000003E-3</v>
      </c>
      <c r="FL82">
        <v>3.6219999999999998E-3</v>
      </c>
      <c r="FM82">
        <v>7.8069999999999997E-3</v>
      </c>
      <c r="FN82" t="s">
        <v>114</v>
      </c>
      <c r="FO82" t="s">
        <v>114</v>
      </c>
      <c r="FP82">
        <v>4.4380000000000001E-3</v>
      </c>
      <c r="FQ82">
        <v>1.9942999999999999E-2</v>
      </c>
      <c r="FR82">
        <v>6.3210000000000002E-3</v>
      </c>
      <c r="FS82">
        <v>4.3480000000000003E-3</v>
      </c>
      <c r="FT82">
        <v>1.3178E-2</v>
      </c>
      <c r="FU82">
        <v>1.8475999999999999E-2</v>
      </c>
      <c r="FV82">
        <v>5.8069999999999997E-3</v>
      </c>
      <c r="FW82">
        <v>6.202E-3</v>
      </c>
      <c r="FX82">
        <v>6.0029999999999997E-3</v>
      </c>
      <c r="FY82">
        <v>5.5529999999999998E-3</v>
      </c>
      <c r="FZ82">
        <v>4.6119999999999998E-3</v>
      </c>
      <c r="GA82">
        <v>6.8849999999999996E-3</v>
      </c>
      <c r="GB82">
        <v>1.0796999999999999E-2</v>
      </c>
      <c r="GC82">
        <v>6.0150000000000004E-3</v>
      </c>
      <c r="GD82">
        <v>3.6219999999999998E-3</v>
      </c>
      <c r="GE82">
        <v>4.3639999999999998E-3</v>
      </c>
      <c r="GF82">
        <v>8.8500000000000002E-3</v>
      </c>
      <c r="GG82">
        <v>1.2760000000000001E-2</v>
      </c>
      <c r="GH82">
        <v>6.1029999999999999E-3</v>
      </c>
      <c r="GI82" t="s">
        <v>114</v>
      </c>
      <c r="GJ82">
        <v>7.5649999999999997E-3</v>
      </c>
      <c r="GK82">
        <v>6.3330000000000001E-3</v>
      </c>
      <c r="GL82">
        <v>5.1599999999999997E-3</v>
      </c>
      <c r="GM82" t="s">
        <v>114</v>
      </c>
      <c r="GN82">
        <v>7.0039999999999998E-3</v>
      </c>
      <c r="GO82" t="s">
        <v>114</v>
      </c>
      <c r="GP82">
        <v>5.0920000000000002E-3</v>
      </c>
      <c r="GQ82">
        <v>3.565E-3</v>
      </c>
      <c r="GR82">
        <v>7.744E-3</v>
      </c>
      <c r="GS82">
        <v>8.3800000000000003E-3</v>
      </c>
      <c r="GT82">
        <v>5.8089999999999999E-3</v>
      </c>
      <c r="GU82" t="s">
        <v>114</v>
      </c>
      <c r="GV82">
        <v>6.9239999999999996E-3</v>
      </c>
      <c r="GW82" t="s">
        <v>114</v>
      </c>
      <c r="GX82">
        <v>6.4079999999999996E-3</v>
      </c>
      <c r="GY82">
        <v>7.2090000000000001E-3</v>
      </c>
      <c r="GZ82">
        <v>4.0930000000000003E-3</v>
      </c>
      <c r="HA82">
        <v>1.2317E-2</v>
      </c>
      <c r="HB82">
        <v>6.3309999999999998E-3</v>
      </c>
      <c r="HC82">
        <v>8.5950000000000002E-3</v>
      </c>
      <c r="HD82">
        <v>7.2049999999999996E-3</v>
      </c>
      <c r="HE82">
        <v>1.2840000000000001E-2</v>
      </c>
      <c r="HF82" t="s">
        <v>114</v>
      </c>
      <c r="HG82">
        <v>4.6680000000000003E-3</v>
      </c>
      <c r="HH82">
        <v>4.0600000000000002E-3</v>
      </c>
      <c r="HI82">
        <v>5.2040000000000003E-3</v>
      </c>
      <c r="HJ82">
        <v>4.0480000000000004E-3</v>
      </c>
      <c r="HK82">
        <v>7.9360000000000003E-3</v>
      </c>
      <c r="HL82">
        <v>7.4260000000000003E-3</v>
      </c>
      <c r="HM82">
        <v>1.474E-2</v>
      </c>
      <c r="HN82">
        <v>5.9319999999999998E-3</v>
      </c>
      <c r="HO82">
        <v>3.5400000000000002E-3</v>
      </c>
      <c r="HP82">
        <v>6.8040000000000003E-2</v>
      </c>
      <c r="HQ82">
        <v>6.5859999999999998E-3</v>
      </c>
      <c r="HR82">
        <v>7.9319999999999998E-3</v>
      </c>
      <c r="HS82">
        <v>2.972E-2</v>
      </c>
      <c r="HT82">
        <v>4.1660000000000004E-3</v>
      </c>
      <c r="HU82">
        <v>3.8080000000000002E-3</v>
      </c>
      <c r="HV82" t="s">
        <v>114</v>
      </c>
      <c r="HW82" t="s">
        <v>114</v>
      </c>
      <c r="HX82">
        <v>5.6379999999999998E-3</v>
      </c>
      <c r="HY82">
        <v>3.3779999999999999E-3</v>
      </c>
      <c r="HZ82">
        <v>3.8769999999999998E-3</v>
      </c>
      <c r="IA82">
        <v>9.6799999999999994E-3</v>
      </c>
      <c r="IB82" t="s">
        <v>114</v>
      </c>
      <c r="IC82" t="s">
        <v>114</v>
      </c>
      <c r="ID82" t="s">
        <v>114</v>
      </c>
      <c r="IE82">
        <v>3.5430000000000001E-3</v>
      </c>
      <c r="IF82">
        <v>5.581E-3</v>
      </c>
      <c r="IG82" t="s">
        <v>114</v>
      </c>
      <c r="IH82">
        <v>6.5430000000000002E-3</v>
      </c>
      <c r="II82" t="s">
        <v>114</v>
      </c>
      <c r="IJ82">
        <v>3.9319999999999997E-3</v>
      </c>
      <c r="IK82" t="s">
        <v>114</v>
      </c>
      <c r="IL82" t="s">
        <v>114</v>
      </c>
      <c r="IM82" t="s">
        <v>114</v>
      </c>
      <c r="IN82">
        <v>3.7420000000000001E-3</v>
      </c>
      <c r="IO82">
        <v>3.8440000000000002E-3</v>
      </c>
      <c r="IP82">
        <v>3.9350000000000001E-3</v>
      </c>
      <c r="IQ82" t="s">
        <v>114</v>
      </c>
      <c r="IR82">
        <v>3.3210000000000002E-3</v>
      </c>
      <c r="IS82">
        <v>4.7070000000000002E-3</v>
      </c>
      <c r="IT82">
        <v>6.6319999999999999E-3</v>
      </c>
      <c r="IU82">
        <v>7.7710000000000001E-3</v>
      </c>
      <c r="IV82">
        <v>1.2019999999999999E-2</v>
      </c>
      <c r="IW82">
        <v>1.9387000000000001E-2</v>
      </c>
      <c r="IX82">
        <v>9.5729999999999999E-3</v>
      </c>
      <c r="IY82">
        <v>3.8570000000000002E-3</v>
      </c>
      <c r="IZ82">
        <v>5.9760000000000004E-3</v>
      </c>
      <c r="JA82">
        <v>9.1750000000000009E-3</v>
      </c>
      <c r="JB82">
        <v>9.7680000000000003E-2</v>
      </c>
      <c r="JC82">
        <v>1.0057999999999999E-2</v>
      </c>
      <c r="JD82">
        <v>3.7139999999999999E-3</v>
      </c>
      <c r="JE82">
        <v>1.5692999999999999E-2</v>
      </c>
      <c r="JF82">
        <v>9.4799999999999995E-2</v>
      </c>
      <c r="JG82">
        <v>3.6319999999999998E-3</v>
      </c>
      <c r="JH82">
        <v>9.2999999999999992E-3</v>
      </c>
      <c r="JI82">
        <v>1.056E-2</v>
      </c>
      <c r="JJ82" t="s">
        <v>114</v>
      </c>
      <c r="JK82">
        <v>6.4310000000000001E-3</v>
      </c>
      <c r="JL82">
        <v>3.4840000000000001E-3</v>
      </c>
      <c r="JM82">
        <v>4.9160000000000002E-3</v>
      </c>
      <c r="JN82">
        <v>5.7910000000000001E-3</v>
      </c>
      <c r="JO82" t="s">
        <v>114</v>
      </c>
      <c r="JP82">
        <v>1.5959999999999998E-2</v>
      </c>
      <c r="JQ82" t="s">
        <v>114</v>
      </c>
      <c r="JR82">
        <v>5.4910000000000002E-3</v>
      </c>
      <c r="JS82" t="s">
        <v>114</v>
      </c>
      <c r="JT82" t="s">
        <v>114</v>
      </c>
      <c r="JU82">
        <v>1.0271000000000001E-2</v>
      </c>
      <c r="JV82" t="s">
        <v>114</v>
      </c>
      <c r="JW82">
        <v>1.3927999999999999E-2</v>
      </c>
      <c r="JX82" t="s">
        <v>114</v>
      </c>
      <c r="JY82">
        <v>2.5080000000000002E-2</v>
      </c>
      <c r="JZ82" t="s">
        <v>114</v>
      </c>
      <c r="KA82" t="s">
        <v>114</v>
      </c>
      <c r="KB82" t="s">
        <v>114</v>
      </c>
      <c r="KC82" t="s">
        <v>114</v>
      </c>
      <c r="KD82">
        <v>5.2059999999999997E-3</v>
      </c>
      <c r="KE82">
        <v>6.5250000000000004E-3</v>
      </c>
      <c r="KF82">
        <v>6.1789999999999996E-3</v>
      </c>
      <c r="KG82">
        <v>5.8069999999999997E-3</v>
      </c>
      <c r="KH82" t="s">
        <v>114</v>
      </c>
      <c r="KI82">
        <v>1.5108999999999999E-2</v>
      </c>
      <c r="KJ82">
        <v>4.64E-3</v>
      </c>
      <c r="KK82">
        <v>4.6589999999999999E-3</v>
      </c>
      <c r="KL82" t="s">
        <v>114</v>
      </c>
      <c r="KM82">
        <v>8.9420000000000003E-3</v>
      </c>
      <c r="KN82">
        <v>9.4870000000000006E-3</v>
      </c>
      <c r="KO82" t="s">
        <v>114</v>
      </c>
      <c r="KP82">
        <v>2.5803E-2</v>
      </c>
      <c r="KQ82">
        <v>1.1277000000000001E-2</v>
      </c>
      <c r="KR82">
        <v>1.5775999999999998E-2</v>
      </c>
      <c r="KS82">
        <v>7.9159999999999994E-3</v>
      </c>
      <c r="KT82">
        <v>6.7790000000000003E-3</v>
      </c>
      <c r="KU82" t="s">
        <v>114</v>
      </c>
      <c r="KV82">
        <v>1.7989999999999999E-2</v>
      </c>
      <c r="KW82">
        <v>3.8440000000000002E-3</v>
      </c>
      <c r="KX82">
        <v>1.2524E-2</v>
      </c>
      <c r="KY82">
        <v>6.1570000000000001E-3</v>
      </c>
      <c r="KZ82">
        <v>9.4129999999999995E-3</v>
      </c>
      <c r="LA82">
        <v>5.6699999999999997E-3</v>
      </c>
      <c r="LB82">
        <v>1.1797999999999999E-2</v>
      </c>
      <c r="LC82">
        <v>6.3449999999999999E-3</v>
      </c>
      <c r="LD82" t="s">
        <v>114</v>
      </c>
      <c r="LE82">
        <v>1.0078999999999999E-2</v>
      </c>
      <c r="LF82">
        <v>1.0651000000000001E-2</v>
      </c>
      <c r="LG82">
        <v>6.6860000000000001E-3</v>
      </c>
      <c r="LH82">
        <v>8.5819999999999994E-3</v>
      </c>
      <c r="LI82">
        <v>9.6080000000000002E-3</v>
      </c>
      <c r="LJ82">
        <v>5.1859999999999996E-3</v>
      </c>
      <c r="LK82">
        <v>4.0350000000000004E-3</v>
      </c>
      <c r="LL82">
        <v>4.1180000000000001E-3</v>
      </c>
      <c r="LM82">
        <v>6.3499999999999997E-3</v>
      </c>
      <c r="LN82">
        <v>1.5219999999999999E-2</v>
      </c>
      <c r="LO82">
        <v>5.1710000000000002E-3</v>
      </c>
      <c r="LP82">
        <v>8.7390000000000002E-3</v>
      </c>
      <c r="LQ82">
        <v>4.496E-3</v>
      </c>
      <c r="LR82" t="s">
        <v>114</v>
      </c>
      <c r="LS82">
        <v>1.2803E-2</v>
      </c>
      <c r="LT82">
        <v>6.6550000000000003E-3</v>
      </c>
      <c r="LU82">
        <v>6.613E-3</v>
      </c>
      <c r="LV82">
        <v>3.9430000000000003E-3</v>
      </c>
      <c r="LW82" t="s">
        <v>114</v>
      </c>
      <c r="LX82">
        <v>5.6559999999999996E-3</v>
      </c>
      <c r="LY82">
        <v>4.4929999999999996E-3</v>
      </c>
      <c r="LZ82" t="s">
        <v>114</v>
      </c>
      <c r="MA82">
        <v>8.8970000000000004E-3</v>
      </c>
      <c r="MB82">
        <v>7.0410000000000004E-3</v>
      </c>
      <c r="MC82">
        <v>8.8629999999999994E-3</v>
      </c>
      <c r="MD82">
        <v>4.7540000000000004E-3</v>
      </c>
      <c r="ME82">
        <v>3.741E-3</v>
      </c>
      <c r="MF82">
        <v>3.1849999999999999E-3</v>
      </c>
      <c r="MG82">
        <v>4.3400000000000001E-3</v>
      </c>
      <c r="MH82" t="s">
        <v>114</v>
      </c>
      <c r="MI82">
        <v>3.277E-3</v>
      </c>
      <c r="MJ82">
        <v>7.522E-3</v>
      </c>
      <c r="MK82">
        <v>4.8149999999999998E-3</v>
      </c>
      <c r="ML82" t="s">
        <v>114</v>
      </c>
      <c r="MM82">
        <v>5.0260000000000001E-3</v>
      </c>
      <c r="MN82">
        <v>3.8549999999999999E-3</v>
      </c>
      <c r="MO82">
        <v>3.1960000000000001E-3</v>
      </c>
      <c r="MP82">
        <v>3.7309999999999999E-3</v>
      </c>
      <c r="MQ82">
        <v>9.4109999999999992E-3</v>
      </c>
      <c r="MR82">
        <v>6.6140000000000001E-3</v>
      </c>
      <c r="MS82">
        <v>7.3679999999999995E-2</v>
      </c>
      <c r="MT82">
        <v>4.0559999999999997E-3</v>
      </c>
      <c r="MU82">
        <v>6.6819999999999996E-3</v>
      </c>
      <c r="MV82">
        <v>4.4510000000000001E-3</v>
      </c>
      <c r="MW82">
        <v>4.1640000000000002E-3</v>
      </c>
      <c r="MX82" t="s">
        <v>114</v>
      </c>
      <c r="MY82" t="s">
        <v>114</v>
      </c>
      <c r="MZ82">
        <v>6.0299999999999998E-3</v>
      </c>
      <c r="NA82">
        <v>7.2649999999999998E-3</v>
      </c>
      <c r="NB82">
        <v>2.2519999999999998E-2</v>
      </c>
      <c r="NC82">
        <v>7.8469999999999998E-3</v>
      </c>
      <c r="ND82">
        <v>4.261E-3</v>
      </c>
      <c r="NE82">
        <v>8.5170000000000003E-3</v>
      </c>
      <c r="NF82">
        <v>1.4160000000000001E-2</v>
      </c>
      <c r="NG82">
        <v>6.5050000000000004E-3</v>
      </c>
      <c r="NH82">
        <v>5.8729999999999997E-3</v>
      </c>
      <c r="NI82">
        <v>4.895E-3</v>
      </c>
      <c r="NJ82">
        <v>4.3249999999999999E-3</v>
      </c>
      <c r="NK82">
        <v>8.4799999999999997E-3</v>
      </c>
      <c r="NL82">
        <v>3.6819999999999999E-3</v>
      </c>
      <c r="NM82">
        <v>6.7930000000000004E-3</v>
      </c>
      <c r="NN82">
        <v>1.5247E-2</v>
      </c>
      <c r="NO82">
        <v>4.5630000000000002E-3</v>
      </c>
      <c r="NP82">
        <v>3.7079999999999999E-3</v>
      </c>
      <c r="NQ82" t="s">
        <v>114</v>
      </c>
      <c r="NR82">
        <v>6.4700000000000001E-3</v>
      </c>
      <c r="NS82">
        <v>7.9039999999999996E-3</v>
      </c>
      <c r="NT82">
        <v>5.9959999999999996E-3</v>
      </c>
      <c r="NU82">
        <v>8.4670000000000006E-3</v>
      </c>
      <c r="NV82">
        <v>4.3070000000000001E-3</v>
      </c>
      <c r="NW82">
        <v>7.2269999999999999E-3</v>
      </c>
      <c r="NX82">
        <v>7.8750000000000001E-3</v>
      </c>
      <c r="NY82" t="s">
        <v>114</v>
      </c>
      <c r="NZ82" t="s">
        <v>114</v>
      </c>
      <c r="OA82">
        <v>1.436E-2</v>
      </c>
      <c r="OB82">
        <v>4.5380000000000004E-3</v>
      </c>
      <c r="OC82">
        <v>6.3449999999999999E-3</v>
      </c>
      <c r="OD82">
        <v>9.7870000000000006E-3</v>
      </c>
      <c r="OE82">
        <v>1.0066E-2</v>
      </c>
      <c r="OF82" t="s">
        <v>114</v>
      </c>
      <c r="OG82">
        <v>3.9789999999999999E-3</v>
      </c>
      <c r="OH82">
        <v>3.222E-3</v>
      </c>
      <c r="OI82" t="s">
        <v>114</v>
      </c>
      <c r="OJ82">
        <v>3.7399999999999998E-3</v>
      </c>
      <c r="OK82">
        <v>4.1650000000000003E-3</v>
      </c>
      <c r="OL82">
        <v>5.019E-3</v>
      </c>
      <c r="OM82">
        <v>9.6380000000000007E-3</v>
      </c>
      <c r="ON82">
        <v>4.2680000000000001E-3</v>
      </c>
      <c r="OO82" t="s">
        <v>114</v>
      </c>
      <c r="OP82">
        <v>4.6239999999999996E-3</v>
      </c>
      <c r="OQ82" t="s">
        <v>114</v>
      </c>
      <c r="OR82" t="s">
        <v>114</v>
      </c>
      <c r="OS82" t="s">
        <v>114</v>
      </c>
      <c r="OT82" t="s">
        <v>114</v>
      </c>
      <c r="OU82" t="s">
        <v>114</v>
      </c>
      <c r="OV82" t="s">
        <v>114</v>
      </c>
      <c r="OW82" t="s">
        <v>114</v>
      </c>
      <c r="OX82">
        <v>2.298E-2</v>
      </c>
      <c r="OY82" t="s">
        <v>114</v>
      </c>
      <c r="OZ82" t="s">
        <v>114</v>
      </c>
      <c r="PA82" t="s">
        <v>114</v>
      </c>
      <c r="PB82">
        <v>5.1710000000000002E-3</v>
      </c>
      <c r="PC82">
        <v>4.7660000000000003E-3</v>
      </c>
      <c r="PD82" t="s">
        <v>114</v>
      </c>
      <c r="PE82">
        <v>6.5770000000000004E-3</v>
      </c>
      <c r="PF82">
        <v>2.2931E-2</v>
      </c>
      <c r="PG82">
        <v>7.9900000000000006E-3</v>
      </c>
      <c r="PH82">
        <v>6.4099999999999999E-3</v>
      </c>
      <c r="PI82">
        <v>1.8225000000000002E-2</v>
      </c>
      <c r="PJ82">
        <v>1.0529E-2</v>
      </c>
      <c r="PK82">
        <v>7.6420000000000004E-3</v>
      </c>
      <c r="PL82" t="s">
        <v>114</v>
      </c>
      <c r="PM82">
        <v>7.4580000000000002E-3</v>
      </c>
      <c r="PN82" t="s">
        <v>114</v>
      </c>
      <c r="PO82" t="s">
        <v>114</v>
      </c>
      <c r="PP82">
        <v>1.6046999999999999E-2</v>
      </c>
      <c r="PQ82">
        <v>9.9900000000000006E-3</v>
      </c>
      <c r="PR82">
        <v>8.541E-3</v>
      </c>
      <c r="PS82">
        <v>3.9230000000000003E-3</v>
      </c>
      <c r="PT82">
        <v>1.4132E-2</v>
      </c>
      <c r="PU82">
        <v>4.7019999999999996E-3</v>
      </c>
      <c r="PV82">
        <v>3.715E-3</v>
      </c>
      <c r="PW82">
        <v>4.6490000000000004E-3</v>
      </c>
      <c r="PX82">
        <v>4.1260000000000003E-3</v>
      </c>
      <c r="PY82">
        <v>8.4379999999999993E-3</v>
      </c>
      <c r="PZ82">
        <v>3.5690000000000001E-3</v>
      </c>
      <c r="QA82">
        <v>1.2237E-2</v>
      </c>
      <c r="QB82">
        <v>7.7320000000000002E-3</v>
      </c>
      <c r="QC82">
        <v>1.5247999999999999E-2</v>
      </c>
      <c r="QD82">
        <v>7.0039999999999998E-3</v>
      </c>
      <c r="QE82">
        <v>6.5230000000000002E-3</v>
      </c>
      <c r="QF82">
        <v>9.2479999999999993E-3</v>
      </c>
      <c r="QG82">
        <v>6.3249999999999999E-3</v>
      </c>
      <c r="QH82" t="s">
        <v>114</v>
      </c>
      <c r="QI82" t="s">
        <v>114</v>
      </c>
      <c r="QJ82">
        <v>4.0239999999999998E-3</v>
      </c>
      <c r="QK82">
        <v>7.9310000000000005E-3</v>
      </c>
      <c r="QL82" t="s">
        <v>114</v>
      </c>
      <c r="QM82">
        <v>8.9119999999999998E-3</v>
      </c>
      <c r="QN82" t="s">
        <v>114</v>
      </c>
      <c r="QO82">
        <v>1.0451999999999999E-2</v>
      </c>
      <c r="QP82">
        <v>4.2833000000000003E-2</v>
      </c>
      <c r="QQ82" t="s">
        <v>114</v>
      </c>
      <c r="QR82" t="s">
        <v>114</v>
      </c>
      <c r="QS82">
        <v>8.1040000000000001E-3</v>
      </c>
      <c r="QT82" t="s">
        <v>114</v>
      </c>
      <c r="QU82" t="s">
        <v>114</v>
      </c>
      <c r="QV82">
        <v>6.3359999999999996E-3</v>
      </c>
      <c r="QW82">
        <v>3.7810000000000001E-3</v>
      </c>
      <c r="QX82">
        <v>1.2467000000000001E-2</v>
      </c>
      <c r="QY82">
        <v>9.8429999999999993E-3</v>
      </c>
      <c r="QZ82">
        <v>7.2139999999999999E-3</v>
      </c>
      <c r="RA82">
        <v>5.4970000000000001E-3</v>
      </c>
      <c r="RB82">
        <v>3.539E-3</v>
      </c>
      <c r="RC82">
        <v>3.8046000000000003E-2</v>
      </c>
      <c r="RD82">
        <v>1.1143999999999999E-2</v>
      </c>
      <c r="RE82">
        <v>4.9959999999999996E-3</v>
      </c>
      <c r="RF82">
        <v>5.9940000000000002E-3</v>
      </c>
      <c r="RG82">
        <v>6.7229999999999998E-3</v>
      </c>
      <c r="RH82">
        <v>9.4560000000000009E-3</v>
      </c>
      <c r="RI82">
        <v>7.9340000000000001E-3</v>
      </c>
      <c r="RJ82">
        <v>4.3909999999999999E-3</v>
      </c>
      <c r="RK82">
        <v>6.2639999999999996E-3</v>
      </c>
      <c r="RL82">
        <v>5.9870000000000001E-3</v>
      </c>
      <c r="RM82">
        <v>4.5399999999999998E-3</v>
      </c>
      <c r="RN82">
        <v>7.7759999999999999E-3</v>
      </c>
      <c r="RO82">
        <v>4.1289999999999999E-3</v>
      </c>
      <c r="RP82" t="s">
        <v>114</v>
      </c>
      <c r="RQ82">
        <v>6.9470000000000001E-3</v>
      </c>
      <c r="RR82">
        <v>7.4790000000000004E-3</v>
      </c>
      <c r="RS82">
        <v>6.3940000000000004E-3</v>
      </c>
      <c r="RT82">
        <v>3.7810000000000001E-3</v>
      </c>
      <c r="RU82">
        <v>8.5649999999999997E-3</v>
      </c>
      <c r="RV82">
        <v>4.084E-3</v>
      </c>
      <c r="RW82">
        <v>1.0189999999999999E-2</v>
      </c>
      <c r="RX82">
        <v>1.0907E-2</v>
      </c>
      <c r="RY82">
        <v>4.2180000000000004E-3</v>
      </c>
      <c r="RZ82">
        <v>6.4460000000000003E-3</v>
      </c>
      <c r="SA82">
        <v>1.3471E-2</v>
      </c>
      <c r="SB82">
        <v>1.3047E-2</v>
      </c>
      <c r="SC82">
        <v>6.398E-3</v>
      </c>
      <c r="SD82">
        <v>5.9639999999999997E-3</v>
      </c>
      <c r="SE82">
        <v>4.058E-3</v>
      </c>
      <c r="SF82">
        <v>7.2839999999999997E-3</v>
      </c>
      <c r="SG82">
        <v>4.7730000000000003E-3</v>
      </c>
      <c r="SH82">
        <v>8.3186999999999997E-2</v>
      </c>
      <c r="SI82">
        <v>3.7569999999999999E-3</v>
      </c>
      <c r="SJ82">
        <v>9.5600000000000008E-3</v>
      </c>
      <c r="SK82" t="s">
        <v>114</v>
      </c>
      <c r="SL82" t="s">
        <v>114</v>
      </c>
      <c r="SM82">
        <v>5.0400000000000002E-3</v>
      </c>
      <c r="SN82">
        <v>4.6319999999999998E-3</v>
      </c>
      <c r="SO82" t="s">
        <v>114</v>
      </c>
      <c r="SP82">
        <v>5.8069999999999997E-3</v>
      </c>
      <c r="SQ82">
        <v>9.6399999999999993E-3</v>
      </c>
      <c r="SR82">
        <v>5.9579999999999998E-3</v>
      </c>
      <c r="SS82">
        <v>5.5710000000000004E-3</v>
      </c>
      <c r="ST82">
        <v>1.1837E-2</v>
      </c>
      <c r="SU82">
        <v>3.542E-3</v>
      </c>
      <c r="SV82" t="s">
        <v>114</v>
      </c>
      <c r="SW82">
        <v>3.761E-3</v>
      </c>
      <c r="SX82" t="s">
        <v>114</v>
      </c>
      <c r="SY82">
        <v>5.1130000000000004E-3</v>
      </c>
      <c r="SZ82">
        <v>9.5610000000000001E-3</v>
      </c>
      <c r="TA82">
        <v>3.3449999999999999E-3</v>
      </c>
      <c r="TB82">
        <v>7.4330000000000004E-3</v>
      </c>
      <c r="TC82">
        <v>3.5300000000000002E-3</v>
      </c>
      <c r="TD82">
        <v>3.3149999999999998E-3</v>
      </c>
      <c r="TE82">
        <v>4.5180000000000003E-3</v>
      </c>
      <c r="TF82">
        <v>6.025E-3</v>
      </c>
      <c r="TG82">
        <v>9.4289999999999999E-3</v>
      </c>
      <c r="TH82">
        <v>4.4539999999999996E-3</v>
      </c>
      <c r="TI82">
        <v>6.659E-3</v>
      </c>
      <c r="TJ82" t="s">
        <v>114</v>
      </c>
      <c r="TK82">
        <v>7.7289999999999998E-3</v>
      </c>
      <c r="TL82" t="s">
        <v>114</v>
      </c>
      <c r="TM82" t="s">
        <v>114</v>
      </c>
      <c r="TN82">
        <v>4.6759999999999996E-3</v>
      </c>
      <c r="TO82" t="s">
        <v>114</v>
      </c>
      <c r="TP82">
        <v>8.5800000000000008E-3</v>
      </c>
      <c r="TQ82">
        <v>6.6600000000000001E-3</v>
      </c>
      <c r="TR82">
        <v>1.0498E-2</v>
      </c>
      <c r="TS82">
        <v>7.9000000000000008E-3</v>
      </c>
      <c r="TT82">
        <v>1.0919999999999999E-2</v>
      </c>
      <c r="TU82" t="s">
        <v>114</v>
      </c>
      <c r="TV82">
        <v>5.8869999999999999E-3</v>
      </c>
      <c r="TW82">
        <v>1.4496999999999999E-2</v>
      </c>
      <c r="TX82">
        <v>3.6459999999999999E-3</v>
      </c>
      <c r="TY82" t="s">
        <v>114</v>
      </c>
      <c r="TZ82">
        <v>4.2230000000000002E-3</v>
      </c>
      <c r="UA82">
        <v>4.0679999999999996E-3</v>
      </c>
      <c r="UB82">
        <v>4.725E-3</v>
      </c>
      <c r="UC82" t="s">
        <v>114</v>
      </c>
      <c r="UD82">
        <v>5.6600000000000001E-3</v>
      </c>
      <c r="UE82">
        <v>3.8300000000000001E-3</v>
      </c>
      <c r="UF82">
        <v>5.2680000000000001E-3</v>
      </c>
      <c r="UG82">
        <v>8.6490000000000004E-3</v>
      </c>
      <c r="UH82" t="s">
        <v>114</v>
      </c>
      <c r="UI82">
        <v>4.0280000000000003E-3</v>
      </c>
      <c r="UJ82">
        <v>5.9239999999999996E-3</v>
      </c>
      <c r="UK82">
        <v>7.1830000000000001E-3</v>
      </c>
      <c r="UL82">
        <v>4.3889999999999997E-3</v>
      </c>
      <c r="UM82" t="s">
        <v>114</v>
      </c>
      <c r="UN82" t="s">
        <v>114</v>
      </c>
      <c r="UO82" t="s">
        <v>114</v>
      </c>
      <c r="UP82">
        <v>4.3740000000000003E-3</v>
      </c>
      <c r="UQ82" t="s">
        <v>114</v>
      </c>
      <c r="UR82">
        <v>4.287E-3</v>
      </c>
      <c r="US82">
        <v>4.8110000000000002E-3</v>
      </c>
      <c r="UT82">
        <v>5.3759999999999997E-3</v>
      </c>
      <c r="UU82">
        <v>3.8660000000000001E-3</v>
      </c>
      <c r="UV82">
        <v>4.2560000000000002E-3</v>
      </c>
      <c r="UW82" t="s">
        <v>114</v>
      </c>
      <c r="UX82">
        <v>3.5309999999999999E-3</v>
      </c>
      <c r="UY82">
        <v>4.0899999999999999E-3</v>
      </c>
      <c r="UZ82" t="s">
        <v>114</v>
      </c>
      <c r="VA82">
        <v>3.637E-3</v>
      </c>
      <c r="VB82">
        <v>1.3872000000000001E-2</v>
      </c>
      <c r="VC82" t="s">
        <v>114</v>
      </c>
      <c r="VD82">
        <v>9.2720000000000007E-3</v>
      </c>
      <c r="VE82">
        <v>5.6270000000000001E-3</v>
      </c>
      <c r="VF82">
        <v>4.1070000000000004E-3</v>
      </c>
      <c r="VG82">
        <v>5.8240000000000002E-3</v>
      </c>
      <c r="VH82">
        <v>2.4905E-2</v>
      </c>
      <c r="VI82" t="s">
        <v>114</v>
      </c>
      <c r="VJ82" t="s">
        <v>114</v>
      </c>
      <c r="VK82" t="s">
        <v>114</v>
      </c>
      <c r="VL82" t="s">
        <v>114</v>
      </c>
      <c r="VM82" t="s">
        <v>114</v>
      </c>
      <c r="VN82">
        <v>7.2399999999999999E-3</v>
      </c>
      <c r="VO82">
        <v>5.5560000000000002E-3</v>
      </c>
      <c r="VP82">
        <v>1.2622E-2</v>
      </c>
      <c r="VQ82">
        <v>7.025E-3</v>
      </c>
      <c r="VR82">
        <v>1.0187E-2</v>
      </c>
      <c r="VS82">
        <v>1.1429999999999999E-2</v>
      </c>
      <c r="VT82" t="s">
        <v>114</v>
      </c>
      <c r="VU82">
        <v>1.0177E-2</v>
      </c>
      <c r="VV82" t="s">
        <v>114</v>
      </c>
      <c r="VW82" t="s">
        <v>114</v>
      </c>
      <c r="VX82" t="s">
        <v>114</v>
      </c>
      <c r="VY82">
        <v>4.3489999999999996E-3</v>
      </c>
      <c r="VZ82">
        <v>3.8040000000000001E-3</v>
      </c>
      <c r="WA82" t="s">
        <v>114</v>
      </c>
      <c r="WB82" t="s">
        <v>114</v>
      </c>
      <c r="WC82" t="s">
        <v>114</v>
      </c>
      <c r="WD82">
        <v>1.7600000000000001E-2</v>
      </c>
      <c r="WE82">
        <v>2.2114999999999999E-2</v>
      </c>
      <c r="WF82">
        <v>1.1204E-2</v>
      </c>
      <c r="WG82">
        <v>7.332E-3</v>
      </c>
      <c r="WH82" t="s">
        <v>114</v>
      </c>
      <c r="WI82">
        <v>8.5190000000000005E-3</v>
      </c>
      <c r="WJ82">
        <v>6.9350000000000002E-3</v>
      </c>
      <c r="WK82">
        <v>6.3819999999999997E-3</v>
      </c>
      <c r="WL82" t="s">
        <v>114</v>
      </c>
      <c r="WM82">
        <v>8.0450000000000001E-3</v>
      </c>
      <c r="WN82">
        <v>4.2490000000000002E-3</v>
      </c>
      <c r="WO82">
        <v>5.8370000000000002E-3</v>
      </c>
      <c r="WP82">
        <v>4.7879999999999997E-3</v>
      </c>
      <c r="WQ82">
        <v>3.882E-3</v>
      </c>
      <c r="WR82" t="s">
        <v>114</v>
      </c>
      <c r="WS82">
        <v>3.7959999999999999E-3</v>
      </c>
      <c r="WT82" t="s">
        <v>114</v>
      </c>
      <c r="WU82">
        <v>6.0000000000000001E-3</v>
      </c>
      <c r="WV82" t="s">
        <v>114</v>
      </c>
      <c r="WW82">
        <v>1.439E-2</v>
      </c>
      <c r="WX82">
        <v>1.5252999999999999E-2</v>
      </c>
      <c r="WY82" t="s">
        <v>114</v>
      </c>
      <c r="WZ82">
        <v>4.5199999999999997E-3</v>
      </c>
      <c r="XA82">
        <v>1.0429000000000001E-2</v>
      </c>
      <c r="XB82" t="s">
        <v>114</v>
      </c>
      <c r="XC82">
        <v>8.1550000000000008E-3</v>
      </c>
      <c r="XD82">
        <v>2.0629999999999999E-2</v>
      </c>
      <c r="XE82">
        <v>5.4140000000000004E-3</v>
      </c>
      <c r="XF82" t="s">
        <v>114</v>
      </c>
      <c r="XG82">
        <v>5.509E-3</v>
      </c>
      <c r="XH82">
        <v>3.7200000000000002E-3</v>
      </c>
      <c r="XI82" t="s">
        <v>114</v>
      </c>
      <c r="XJ82">
        <v>1.1173000000000001E-2</v>
      </c>
      <c r="XK82">
        <v>4.8409999999999998E-3</v>
      </c>
      <c r="XL82">
        <v>7.5909999999999997E-3</v>
      </c>
      <c r="XM82">
        <v>3.9290000000000002E-3</v>
      </c>
      <c r="XN82">
        <v>5.6699999999999997E-3</v>
      </c>
      <c r="XO82">
        <v>3.4160000000000003E-2</v>
      </c>
      <c r="XP82" t="s">
        <v>114</v>
      </c>
      <c r="XQ82" t="s">
        <v>114</v>
      </c>
      <c r="XR82">
        <v>8.8430000000000002E-3</v>
      </c>
      <c r="XS82">
        <v>8.9879999999999995E-3</v>
      </c>
      <c r="XT82">
        <v>3.3679999999999999E-3</v>
      </c>
      <c r="XU82" t="s">
        <v>114</v>
      </c>
      <c r="XV82" t="s">
        <v>114</v>
      </c>
      <c r="XW82" t="s">
        <v>114</v>
      </c>
      <c r="XX82">
        <v>9.3139999999999994E-3</v>
      </c>
      <c r="XY82">
        <v>6.7739999999999996E-3</v>
      </c>
      <c r="XZ82">
        <v>7.3569999999999998E-3</v>
      </c>
      <c r="YA82">
        <v>7.4200000000000004E-3</v>
      </c>
      <c r="YB82">
        <v>1.0026999999999999E-2</v>
      </c>
      <c r="YC82">
        <v>4.5589999999999997E-3</v>
      </c>
      <c r="YD82" t="s">
        <v>114</v>
      </c>
      <c r="YE82">
        <v>1.0817999999999999E-2</v>
      </c>
      <c r="YF82" t="s">
        <v>114</v>
      </c>
      <c r="YG82">
        <v>3.777E-3</v>
      </c>
      <c r="YH82" t="s">
        <v>114</v>
      </c>
      <c r="YI82" t="s">
        <v>114</v>
      </c>
      <c r="YJ82">
        <v>3.9280000000000001E-3</v>
      </c>
      <c r="YK82">
        <v>3.9620000000000002E-3</v>
      </c>
      <c r="YL82">
        <v>5.4419999999999998E-3</v>
      </c>
      <c r="YM82">
        <v>4.3400000000000001E-3</v>
      </c>
      <c r="YN82" t="s">
        <v>114</v>
      </c>
      <c r="YO82" t="s">
        <v>114</v>
      </c>
      <c r="YP82">
        <v>0.16936000000000001</v>
      </c>
      <c r="YQ82">
        <v>4.3790000000000001E-3</v>
      </c>
      <c r="YR82">
        <v>6.4289999999999998E-3</v>
      </c>
      <c r="YS82">
        <v>9.3310000000000008E-3</v>
      </c>
      <c r="YT82" t="s">
        <v>114</v>
      </c>
      <c r="YU82">
        <v>4.7730000000000003E-3</v>
      </c>
      <c r="YV82">
        <v>4.045E-3</v>
      </c>
      <c r="YW82" t="s">
        <v>114</v>
      </c>
      <c r="YX82" t="s">
        <v>114</v>
      </c>
      <c r="YY82">
        <v>9.6399999999999993E-3</v>
      </c>
      <c r="YZ82">
        <v>1.0806E-2</v>
      </c>
      <c r="ZA82">
        <v>5.3949999999999996E-3</v>
      </c>
      <c r="ZB82">
        <v>2.632E-2</v>
      </c>
      <c r="ZC82">
        <v>6.8230000000000001E-3</v>
      </c>
      <c r="ZD82">
        <v>5.208E-3</v>
      </c>
      <c r="ZE82">
        <v>4.9020000000000001E-3</v>
      </c>
      <c r="ZF82" t="s">
        <v>114</v>
      </c>
      <c r="ZG82">
        <v>9.044E-3</v>
      </c>
      <c r="ZH82">
        <v>7.574E-3</v>
      </c>
      <c r="ZI82">
        <v>3.7400000000000003E-2</v>
      </c>
      <c r="ZJ82">
        <v>1.1016E-2</v>
      </c>
      <c r="ZK82" t="s">
        <v>114</v>
      </c>
      <c r="ZL82">
        <v>1.5225000000000001E-2</v>
      </c>
      <c r="ZM82">
        <v>9.4619999999999999E-3</v>
      </c>
      <c r="ZN82">
        <v>1.6664000000000002E-2</v>
      </c>
      <c r="ZO82">
        <v>1.7639999999999999E-2</v>
      </c>
      <c r="ZP82" t="s">
        <v>114</v>
      </c>
      <c r="ZQ82" t="s">
        <v>114</v>
      </c>
      <c r="ZR82" t="s">
        <v>114</v>
      </c>
      <c r="ZS82" t="s">
        <v>114</v>
      </c>
      <c r="ZT82" t="s">
        <v>114</v>
      </c>
      <c r="ZU82" t="s">
        <v>114</v>
      </c>
      <c r="ZV82">
        <v>5.7920000000000003E-3</v>
      </c>
      <c r="ZW82" t="s">
        <v>114</v>
      </c>
      <c r="ZX82">
        <v>2.3779999999999999E-2</v>
      </c>
      <c r="ZY82">
        <v>1.5330999999999999E-2</v>
      </c>
      <c r="ZZ82">
        <v>1.2085E-2</v>
      </c>
      <c r="AAA82">
        <v>4.4840000000000001E-3</v>
      </c>
      <c r="AAB82">
        <v>1.2555E-2</v>
      </c>
      <c r="AAC82">
        <v>1.4832E-2</v>
      </c>
      <c r="AAD82">
        <v>5.8339999999999998E-3</v>
      </c>
      <c r="AAE82">
        <v>1.0375000000000001E-2</v>
      </c>
      <c r="AAF82">
        <v>9.2440000000000005E-3</v>
      </c>
      <c r="AAG82">
        <v>1.1981E-2</v>
      </c>
      <c r="AAH82" t="s">
        <v>114</v>
      </c>
      <c r="AAI82">
        <v>3.628E-2</v>
      </c>
      <c r="AAJ82">
        <v>3.2480000000000002E-2</v>
      </c>
      <c r="AAK82" t="s">
        <v>114</v>
      </c>
      <c r="AAL82" t="s">
        <v>114</v>
      </c>
      <c r="AAM82">
        <v>9.3790000000000002E-3</v>
      </c>
      <c r="AAN82">
        <v>4.947E-3</v>
      </c>
      <c r="AAO82">
        <v>1.1426E-2</v>
      </c>
      <c r="AAP82" t="s">
        <v>114</v>
      </c>
      <c r="AAQ82">
        <v>8.9899999999999997E-3</v>
      </c>
      <c r="AAR82">
        <v>1.0227E-2</v>
      </c>
      <c r="AAS82" t="s">
        <v>114</v>
      </c>
      <c r="AAT82">
        <v>9.7280000000000005E-3</v>
      </c>
      <c r="AAU82">
        <v>1.3986999999999999E-2</v>
      </c>
      <c r="AAV82">
        <v>1.6760000000000001E-2</v>
      </c>
      <c r="AAW82">
        <v>7.7120000000000001E-3</v>
      </c>
      <c r="AAX82" t="s">
        <v>114</v>
      </c>
      <c r="AAY82" t="s">
        <v>114</v>
      </c>
      <c r="AAZ82" t="s">
        <v>114</v>
      </c>
      <c r="ABA82">
        <v>4.0080000000000003E-3</v>
      </c>
      <c r="ABB82">
        <v>6.071E-3</v>
      </c>
      <c r="ABC82">
        <v>3.6949999999999999E-3</v>
      </c>
      <c r="ABD82" t="s">
        <v>114</v>
      </c>
      <c r="ABE82">
        <v>6.6940000000000003E-3</v>
      </c>
      <c r="ABF82" t="s">
        <v>114</v>
      </c>
      <c r="ABG82">
        <v>5.1339999999999997E-3</v>
      </c>
      <c r="ABH82">
        <v>4.7889999999999999E-3</v>
      </c>
      <c r="ABI82" t="s">
        <v>114</v>
      </c>
      <c r="ABJ82">
        <v>9.3799999999999994E-3</v>
      </c>
      <c r="ABK82">
        <v>4.0220000000000004E-3</v>
      </c>
      <c r="ABL82" t="s">
        <v>114</v>
      </c>
      <c r="ABM82">
        <v>4.8599999999999997E-3</v>
      </c>
      <c r="ABN82" t="s">
        <v>114</v>
      </c>
      <c r="ABO82" t="s">
        <v>114</v>
      </c>
      <c r="ABP82">
        <v>5.4799999999999996E-3</v>
      </c>
      <c r="ABQ82" t="s">
        <v>114</v>
      </c>
      <c r="ABR82">
        <v>9.2770000000000005E-3</v>
      </c>
      <c r="ABS82">
        <v>4.0790000000000002E-3</v>
      </c>
      <c r="ABT82" t="s">
        <v>114</v>
      </c>
      <c r="ABU82" t="s">
        <v>114</v>
      </c>
      <c r="ABV82" t="s">
        <v>114</v>
      </c>
      <c r="ABW82" t="s">
        <v>114</v>
      </c>
      <c r="ABX82">
        <v>3.0200000000000001E-2</v>
      </c>
      <c r="ABY82" t="s">
        <v>114</v>
      </c>
      <c r="ABZ82">
        <v>3.3679999999999999E-3</v>
      </c>
      <c r="ACA82">
        <v>3.9789999999999999E-3</v>
      </c>
      <c r="ACB82">
        <v>2.2800000000000001E-2</v>
      </c>
      <c r="ACC82">
        <v>4.3E-3</v>
      </c>
      <c r="ACD82" t="s">
        <v>114</v>
      </c>
      <c r="ACE82">
        <v>5.1999999999999998E-3</v>
      </c>
      <c r="ACF82" t="s">
        <v>114</v>
      </c>
      <c r="ACG82" t="s">
        <v>114</v>
      </c>
      <c r="ACH82" t="s">
        <v>114</v>
      </c>
      <c r="ACI82" t="s">
        <v>114</v>
      </c>
      <c r="ACJ82" t="s">
        <v>114</v>
      </c>
      <c r="ACK82">
        <v>4.1840000000000002E-3</v>
      </c>
      <c r="ACL82">
        <v>4.4669999999999996E-3</v>
      </c>
      <c r="ACM82" t="s">
        <v>114</v>
      </c>
      <c r="ACN82">
        <v>1.4982000000000001E-2</v>
      </c>
      <c r="ACO82">
        <v>6.0470000000000003E-3</v>
      </c>
    </row>
    <row r="83" spans="1:769" x14ac:dyDescent="0.25">
      <c r="A83" t="s">
        <v>891</v>
      </c>
      <c r="B83" t="s">
        <v>114</v>
      </c>
      <c r="C83" t="s">
        <v>114</v>
      </c>
      <c r="D83">
        <v>0.77018500000000001</v>
      </c>
      <c r="E83" t="s">
        <v>114</v>
      </c>
      <c r="F83">
        <v>0.77442</v>
      </c>
      <c r="G83">
        <v>0.78299799999999997</v>
      </c>
      <c r="H83">
        <v>0.88921399999999995</v>
      </c>
      <c r="I83">
        <v>0.88816700000000004</v>
      </c>
      <c r="J83" t="s">
        <v>114</v>
      </c>
      <c r="K83">
        <v>0.89379600000000003</v>
      </c>
      <c r="L83" t="s">
        <v>114</v>
      </c>
      <c r="M83">
        <v>0.77075899999999997</v>
      </c>
      <c r="N83" t="s">
        <v>114</v>
      </c>
      <c r="O83">
        <v>0.78301500000000002</v>
      </c>
      <c r="P83">
        <v>0.85072400000000004</v>
      </c>
      <c r="Q83" t="s">
        <v>114</v>
      </c>
      <c r="R83">
        <v>0.80976000000000004</v>
      </c>
      <c r="S83">
        <v>1.001422</v>
      </c>
      <c r="T83">
        <v>0.86824199999999996</v>
      </c>
      <c r="U83">
        <v>0.72190900000000002</v>
      </c>
      <c r="V83">
        <v>0.78034099999999995</v>
      </c>
      <c r="W83" t="s">
        <v>114</v>
      </c>
      <c r="X83">
        <v>0.77140399999999998</v>
      </c>
      <c r="Y83">
        <v>0.81418900000000005</v>
      </c>
      <c r="Z83" t="s">
        <v>114</v>
      </c>
      <c r="AA83">
        <v>0.77182899999999999</v>
      </c>
      <c r="AB83">
        <v>0.83668900000000002</v>
      </c>
      <c r="AC83">
        <v>0.73999599999999999</v>
      </c>
      <c r="AD83" t="s">
        <v>114</v>
      </c>
      <c r="AE83">
        <v>0.76192400000000005</v>
      </c>
      <c r="AF83">
        <v>0.87051400000000001</v>
      </c>
      <c r="AG83">
        <v>0.72022900000000001</v>
      </c>
      <c r="AH83">
        <v>0.91354599999999997</v>
      </c>
      <c r="AI83">
        <v>0.87193100000000001</v>
      </c>
      <c r="AJ83">
        <v>0.79473899999999997</v>
      </c>
      <c r="AK83">
        <v>0.88114400000000004</v>
      </c>
      <c r="AL83">
        <v>0.77782799999999996</v>
      </c>
      <c r="AM83">
        <v>0.86452099999999998</v>
      </c>
      <c r="AN83">
        <v>0.81245599999999996</v>
      </c>
      <c r="AO83">
        <v>0.81342800000000004</v>
      </c>
      <c r="AP83">
        <v>0.84614100000000003</v>
      </c>
      <c r="AQ83">
        <v>0.78915400000000002</v>
      </c>
      <c r="AR83">
        <v>0.80009399999999997</v>
      </c>
      <c r="AS83">
        <v>0.84143299999999999</v>
      </c>
      <c r="AT83">
        <v>0.708708</v>
      </c>
      <c r="AU83">
        <v>0.85984099999999997</v>
      </c>
      <c r="AV83">
        <v>0.60157300000000002</v>
      </c>
      <c r="AW83">
        <v>0.77712700000000001</v>
      </c>
      <c r="AX83">
        <v>0.78374500000000002</v>
      </c>
      <c r="AY83">
        <v>0.87634999999999996</v>
      </c>
      <c r="AZ83">
        <v>0.82100700000000004</v>
      </c>
      <c r="BA83">
        <v>0.78510800000000003</v>
      </c>
      <c r="BB83">
        <v>0.92643500000000001</v>
      </c>
      <c r="BC83" t="s">
        <v>114</v>
      </c>
      <c r="BD83">
        <v>0.76969200000000004</v>
      </c>
      <c r="BE83">
        <v>0.81236600000000003</v>
      </c>
      <c r="BF83">
        <v>0.75321899999999997</v>
      </c>
      <c r="BG83">
        <v>0.92191299999999998</v>
      </c>
      <c r="BH83">
        <v>0.98317100000000002</v>
      </c>
      <c r="BI83">
        <v>0.77883500000000006</v>
      </c>
      <c r="BJ83">
        <v>0.77500500000000005</v>
      </c>
      <c r="BK83">
        <v>0.822573</v>
      </c>
      <c r="BL83">
        <v>0.80604799999999999</v>
      </c>
      <c r="BM83">
        <v>0.70949099999999998</v>
      </c>
      <c r="BN83">
        <v>0.89035699999999995</v>
      </c>
      <c r="BO83" t="s">
        <v>114</v>
      </c>
      <c r="BP83">
        <v>0.76561100000000004</v>
      </c>
      <c r="BQ83">
        <v>0.71434699999999995</v>
      </c>
      <c r="BR83" t="s">
        <v>114</v>
      </c>
      <c r="BS83">
        <v>0.76348700000000003</v>
      </c>
      <c r="BT83">
        <v>0.80566499999999996</v>
      </c>
      <c r="BU83" t="s">
        <v>114</v>
      </c>
      <c r="BV83">
        <v>0.81856399999999996</v>
      </c>
      <c r="BW83">
        <v>0.75357099999999999</v>
      </c>
      <c r="BX83">
        <v>0.68389100000000003</v>
      </c>
      <c r="BY83">
        <v>0.84087800000000001</v>
      </c>
      <c r="BZ83">
        <v>0.74056299999999997</v>
      </c>
      <c r="CA83">
        <v>0.75313799999999997</v>
      </c>
      <c r="CB83">
        <v>0.45833299999999999</v>
      </c>
      <c r="CC83">
        <v>0.68585600000000002</v>
      </c>
      <c r="CD83">
        <v>0.81702799999999998</v>
      </c>
      <c r="CE83">
        <v>0.83216100000000004</v>
      </c>
      <c r="CF83">
        <v>0.705121</v>
      </c>
      <c r="CG83">
        <v>0.74106099999999997</v>
      </c>
      <c r="CH83" t="s">
        <v>114</v>
      </c>
      <c r="CI83">
        <v>0.85932399999999998</v>
      </c>
      <c r="CJ83">
        <v>0.71365999999999996</v>
      </c>
      <c r="CK83">
        <v>0.74357600000000001</v>
      </c>
      <c r="CL83">
        <v>0.77765399999999996</v>
      </c>
      <c r="CM83">
        <v>0.88166699999999998</v>
      </c>
      <c r="CN83">
        <v>0.93760699999999997</v>
      </c>
      <c r="CO83">
        <v>0.79727800000000004</v>
      </c>
      <c r="CP83">
        <v>0.75244100000000003</v>
      </c>
      <c r="CQ83">
        <v>0.87490999999999997</v>
      </c>
      <c r="CR83">
        <v>0.850352</v>
      </c>
      <c r="CS83">
        <v>0.78831200000000001</v>
      </c>
      <c r="CT83" t="s">
        <v>114</v>
      </c>
      <c r="CU83">
        <v>0.72001400000000004</v>
      </c>
      <c r="CV83">
        <v>0.756467</v>
      </c>
      <c r="CW83">
        <v>0.72704899999999995</v>
      </c>
      <c r="CX83">
        <v>0.75479200000000002</v>
      </c>
      <c r="CY83">
        <v>0.80891900000000005</v>
      </c>
      <c r="CZ83">
        <v>0.76220200000000005</v>
      </c>
      <c r="DA83">
        <v>1.2130099999999999</v>
      </c>
      <c r="DB83">
        <v>0.74678299999999997</v>
      </c>
      <c r="DC83">
        <v>0.72310700000000006</v>
      </c>
      <c r="DD83">
        <v>0.78065899999999999</v>
      </c>
      <c r="DE83">
        <v>0.71389899999999995</v>
      </c>
      <c r="DF83">
        <v>0.76671599999999995</v>
      </c>
      <c r="DG83">
        <v>0.79358799999999996</v>
      </c>
      <c r="DH83">
        <v>0.89544199999999996</v>
      </c>
      <c r="DI83">
        <v>0.70313899999999996</v>
      </c>
      <c r="DJ83">
        <v>0.92905899999999997</v>
      </c>
      <c r="DK83">
        <v>0.97204400000000002</v>
      </c>
      <c r="DL83">
        <v>0.77489200000000003</v>
      </c>
      <c r="DM83">
        <v>0.78897799999999996</v>
      </c>
      <c r="DN83">
        <v>0.88365000000000005</v>
      </c>
      <c r="DO83">
        <v>0.77140799999999998</v>
      </c>
      <c r="DP83">
        <v>0.85933199999999998</v>
      </c>
      <c r="DQ83">
        <v>0.76979799999999998</v>
      </c>
      <c r="DR83">
        <v>0.75792599999999999</v>
      </c>
      <c r="DS83">
        <v>0.75399300000000002</v>
      </c>
      <c r="DT83">
        <v>0.86606300000000003</v>
      </c>
      <c r="DU83">
        <v>0.81893199999999999</v>
      </c>
      <c r="DV83" t="s">
        <v>114</v>
      </c>
      <c r="DW83" t="s">
        <v>114</v>
      </c>
      <c r="DX83">
        <v>0.79371899999999995</v>
      </c>
      <c r="DY83">
        <v>0.78523500000000002</v>
      </c>
      <c r="DZ83">
        <v>0.79617599999999999</v>
      </c>
      <c r="EA83">
        <v>0.77407000000000004</v>
      </c>
      <c r="EB83" t="s">
        <v>114</v>
      </c>
      <c r="EC83">
        <v>0.70714699999999997</v>
      </c>
      <c r="ED83" t="s">
        <v>114</v>
      </c>
      <c r="EE83">
        <v>0.81805300000000003</v>
      </c>
      <c r="EF83">
        <v>0.83594800000000002</v>
      </c>
      <c r="EG83">
        <v>0.79171400000000003</v>
      </c>
      <c r="EH83">
        <v>0.74065700000000001</v>
      </c>
      <c r="EI83">
        <v>0.76062200000000002</v>
      </c>
      <c r="EJ83">
        <v>0.83921699999999999</v>
      </c>
      <c r="EK83">
        <v>0.95424900000000001</v>
      </c>
      <c r="EL83">
        <v>0.83231999999999995</v>
      </c>
      <c r="EM83">
        <v>0.84407500000000002</v>
      </c>
      <c r="EN83">
        <v>0.86440499999999998</v>
      </c>
      <c r="EO83" t="s">
        <v>114</v>
      </c>
      <c r="EP83">
        <v>0.77213100000000001</v>
      </c>
      <c r="EQ83">
        <v>0.75597000000000003</v>
      </c>
      <c r="ER83">
        <v>0.812747</v>
      </c>
      <c r="ES83">
        <v>0.78007800000000005</v>
      </c>
      <c r="ET83">
        <v>0.88921899999999998</v>
      </c>
      <c r="EU83">
        <v>0.76071699999999998</v>
      </c>
      <c r="EV83" t="s">
        <v>114</v>
      </c>
      <c r="EW83">
        <v>0.81547999999999998</v>
      </c>
      <c r="EX83">
        <v>0.720692</v>
      </c>
      <c r="EY83">
        <v>0.80720899999999995</v>
      </c>
      <c r="EZ83">
        <v>0.82173099999999999</v>
      </c>
      <c r="FA83">
        <v>0.81898800000000005</v>
      </c>
      <c r="FB83" t="s">
        <v>114</v>
      </c>
      <c r="FC83">
        <v>0.85631900000000005</v>
      </c>
      <c r="FD83" t="s">
        <v>114</v>
      </c>
      <c r="FE83" t="s">
        <v>114</v>
      </c>
      <c r="FF83">
        <v>0.76836800000000005</v>
      </c>
      <c r="FG83">
        <v>0.78500499999999995</v>
      </c>
      <c r="FH83">
        <v>0.71931699999999998</v>
      </c>
      <c r="FI83">
        <v>0.86346699999999998</v>
      </c>
      <c r="FJ83">
        <v>0.68203999999999998</v>
      </c>
      <c r="FK83">
        <v>0.79849999999999999</v>
      </c>
      <c r="FL83">
        <v>0.78146599999999999</v>
      </c>
      <c r="FM83">
        <v>0.89741499999999996</v>
      </c>
      <c r="FN83" t="s">
        <v>114</v>
      </c>
      <c r="FO83" t="s">
        <v>114</v>
      </c>
      <c r="FP83">
        <v>0.74770099999999995</v>
      </c>
      <c r="FQ83">
        <v>0.70938699999999999</v>
      </c>
      <c r="FR83">
        <v>0.80790600000000001</v>
      </c>
      <c r="FS83">
        <v>0.75361</v>
      </c>
      <c r="FT83">
        <v>0.82977699999999999</v>
      </c>
      <c r="FU83">
        <v>0.92018900000000003</v>
      </c>
      <c r="FV83">
        <v>0.82796700000000001</v>
      </c>
      <c r="FW83">
        <v>0.81222899999999998</v>
      </c>
      <c r="FX83">
        <v>0.82152700000000001</v>
      </c>
      <c r="FY83">
        <v>0.85472700000000001</v>
      </c>
      <c r="FZ83">
        <v>0.72065400000000002</v>
      </c>
      <c r="GA83">
        <v>0.87706399999999995</v>
      </c>
      <c r="GB83">
        <v>0.78815100000000005</v>
      </c>
      <c r="GC83">
        <v>0.748054</v>
      </c>
      <c r="GD83">
        <v>0.74837299999999995</v>
      </c>
      <c r="GE83">
        <v>0.68332199999999998</v>
      </c>
      <c r="GF83">
        <v>0.956951</v>
      </c>
      <c r="GG83">
        <v>0.78470300000000004</v>
      </c>
      <c r="GH83">
        <v>0.77004700000000004</v>
      </c>
      <c r="GI83" t="s">
        <v>114</v>
      </c>
      <c r="GJ83">
        <v>0.87615900000000002</v>
      </c>
      <c r="GK83">
        <v>0.78122499999999995</v>
      </c>
      <c r="GL83">
        <v>0.94160600000000005</v>
      </c>
      <c r="GM83" t="s">
        <v>114</v>
      </c>
      <c r="GN83">
        <v>0.77703599999999995</v>
      </c>
      <c r="GO83" t="s">
        <v>114</v>
      </c>
      <c r="GP83">
        <v>0.78475399999999995</v>
      </c>
      <c r="GQ83">
        <v>0.80834499999999998</v>
      </c>
      <c r="GR83">
        <v>0.84387299999999998</v>
      </c>
      <c r="GS83">
        <v>0.90915299999999999</v>
      </c>
      <c r="GT83">
        <v>0.71918199999999999</v>
      </c>
      <c r="GU83" t="s">
        <v>114</v>
      </c>
      <c r="GV83">
        <v>0.80141499999999999</v>
      </c>
      <c r="GW83" t="s">
        <v>114</v>
      </c>
      <c r="GX83">
        <v>0.84025799999999995</v>
      </c>
      <c r="GY83">
        <v>0.85619199999999995</v>
      </c>
      <c r="GZ83">
        <v>0.81174599999999997</v>
      </c>
      <c r="HA83">
        <v>0.817581</v>
      </c>
      <c r="HB83">
        <v>0.75695800000000002</v>
      </c>
      <c r="HC83">
        <v>0.88656500000000005</v>
      </c>
      <c r="HD83">
        <v>0.83194100000000004</v>
      </c>
      <c r="HE83">
        <v>0.83173900000000001</v>
      </c>
      <c r="HF83" t="s">
        <v>114</v>
      </c>
      <c r="HG83">
        <v>0.733352</v>
      </c>
      <c r="HH83">
        <v>0.72576399999999996</v>
      </c>
      <c r="HI83">
        <v>0.77117100000000005</v>
      </c>
      <c r="HJ83">
        <v>0.79320100000000004</v>
      </c>
      <c r="HK83">
        <v>0.72034500000000001</v>
      </c>
      <c r="HL83">
        <v>0.82672699999999999</v>
      </c>
      <c r="HM83">
        <v>0.96957499999999996</v>
      </c>
      <c r="HN83">
        <v>0.90574100000000002</v>
      </c>
      <c r="HO83">
        <v>0.76007999999999998</v>
      </c>
      <c r="HP83">
        <v>0.978711</v>
      </c>
      <c r="HQ83">
        <v>0.82411000000000001</v>
      </c>
      <c r="HR83">
        <v>0.76871299999999998</v>
      </c>
      <c r="HS83">
        <v>0.89935600000000004</v>
      </c>
      <c r="HT83">
        <v>0.78166500000000005</v>
      </c>
      <c r="HU83">
        <v>0.84317900000000001</v>
      </c>
      <c r="HV83" t="s">
        <v>114</v>
      </c>
      <c r="HW83" t="s">
        <v>114</v>
      </c>
      <c r="HX83">
        <v>0.77629499999999996</v>
      </c>
      <c r="HY83">
        <v>0.76327699999999998</v>
      </c>
      <c r="HZ83">
        <v>0.76698599999999995</v>
      </c>
      <c r="IA83">
        <v>1.0767329999999999</v>
      </c>
      <c r="IB83" t="s">
        <v>114</v>
      </c>
      <c r="IC83" t="s">
        <v>114</v>
      </c>
      <c r="ID83" t="s">
        <v>114</v>
      </c>
      <c r="IE83">
        <v>0.75612100000000004</v>
      </c>
      <c r="IF83">
        <v>0.83766600000000002</v>
      </c>
      <c r="IG83" t="s">
        <v>114</v>
      </c>
      <c r="IH83">
        <v>0.85952399999999995</v>
      </c>
      <c r="II83" t="s">
        <v>114</v>
      </c>
      <c r="IJ83">
        <v>0.78817999999999999</v>
      </c>
      <c r="IK83" t="s">
        <v>114</v>
      </c>
      <c r="IL83" t="s">
        <v>114</v>
      </c>
      <c r="IM83" t="s">
        <v>114</v>
      </c>
      <c r="IN83">
        <v>0.77872200000000003</v>
      </c>
      <c r="IO83">
        <v>0.81952400000000003</v>
      </c>
      <c r="IP83">
        <v>0.75851100000000005</v>
      </c>
      <c r="IQ83" t="s">
        <v>114</v>
      </c>
      <c r="IR83">
        <v>0.73068100000000002</v>
      </c>
      <c r="IS83">
        <v>0.72641999999999995</v>
      </c>
      <c r="IT83">
        <v>0.859595</v>
      </c>
      <c r="IU83">
        <v>0.85249900000000001</v>
      </c>
      <c r="IV83">
        <v>0.85107299999999997</v>
      </c>
      <c r="IW83">
        <v>0.771652</v>
      </c>
      <c r="IX83">
        <v>0.87404199999999999</v>
      </c>
      <c r="IY83">
        <v>0.77214499999999997</v>
      </c>
      <c r="IZ83">
        <v>0.81125999999999998</v>
      </c>
      <c r="JA83">
        <v>0.92155299999999996</v>
      </c>
      <c r="JB83">
        <v>0.42508499999999999</v>
      </c>
      <c r="JC83">
        <v>0.86735700000000004</v>
      </c>
      <c r="JD83">
        <v>0.75038300000000002</v>
      </c>
      <c r="JE83">
        <v>0.87945600000000002</v>
      </c>
      <c r="JF83">
        <v>0.418958</v>
      </c>
      <c r="JG83">
        <v>0.74580999999999997</v>
      </c>
      <c r="JH83">
        <v>0.88661900000000005</v>
      </c>
      <c r="JI83">
        <v>1.056</v>
      </c>
      <c r="JJ83" t="s">
        <v>114</v>
      </c>
      <c r="JK83">
        <v>0.75020500000000001</v>
      </c>
      <c r="JL83">
        <v>0.78391299999999997</v>
      </c>
      <c r="JM83">
        <v>0.78239000000000003</v>
      </c>
      <c r="JN83">
        <v>0.70864899999999997</v>
      </c>
      <c r="JO83" t="s">
        <v>114</v>
      </c>
      <c r="JP83">
        <v>0.75306300000000004</v>
      </c>
      <c r="JQ83" t="s">
        <v>114</v>
      </c>
      <c r="JR83">
        <v>0.68734499999999998</v>
      </c>
      <c r="JS83" t="s">
        <v>114</v>
      </c>
      <c r="JT83" t="s">
        <v>114</v>
      </c>
      <c r="JU83">
        <v>0.734738</v>
      </c>
      <c r="JV83" t="s">
        <v>114</v>
      </c>
      <c r="JW83">
        <v>0.78240500000000002</v>
      </c>
      <c r="JX83" t="s">
        <v>114</v>
      </c>
      <c r="JY83">
        <v>0.81007899999999999</v>
      </c>
      <c r="JZ83" t="s">
        <v>114</v>
      </c>
      <c r="KA83" t="s">
        <v>114</v>
      </c>
      <c r="KB83" t="s">
        <v>114</v>
      </c>
      <c r="KC83" t="s">
        <v>114</v>
      </c>
      <c r="KD83">
        <v>0.72772000000000003</v>
      </c>
      <c r="KE83">
        <v>0.89354299999999998</v>
      </c>
      <c r="KF83">
        <v>0.76344299999999998</v>
      </c>
      <c r="KG83">
        <v>0.75124199999999997</v>
      </c>
      <c r="KH83" t="s">
        <v>114</v>
      </c>
      <c r="KI83">
        <v>0.80679999999999996</v>
      </c>
      <c r="KJ83">
        <v>0.94054099999999996</v>
      </c>
      <c r="KK83">
        <v>0.68303499999999995</v>
      </c>
      <c r="KL83" t="s">
        <v>114</v>
      </c>
      <c r="KM83">
        <v>0.754112</v>
      </c>
      <c r="KN83">
        <v>0.81211500000000003</v>
      </c>
      <c r="KO83" t="s">
        <v>114</v>
      </c>
      <c r="KP83">
        <v>0.66221799999999997</v>
      </c>
      <c r="KQ83">
        <v>0.49551699999999999</v>
      </c>
      <c r="KR83">
        <v>0.76421799999999995</v>
      </c>
      <c r="KS83">
        <v>0.71577299999999999</v>
      </c>
      <c r="KT83">
        <v>0.77428300000000005</v>
      </c>
      <c r="KU83" t="s">
        <v>114</v>
      </c>
      <c r="KV83">
        <v>0.83284100000000005</v>
      </c>
      <c r="KW83">
        <v>0.75497999999999998</v>
      </c>
      <c r="KX83">
        <v>1.011104</v>
      </c>
      <c r="KY83">
        <v>0.74641000000000002</v>
      </c>
      <c r="KZ83">
        <v>0.69356899999999999</v>
      </c>
      <c r="LA83">
        <v>0.70831200000000005</v>
      </c>
      <c r="LB83">
        <v>0.89103200000000005</v>
      </c>
      <c r="LC83">
        <v>0.77759900000000004</v>
      </c>
      <c r="LD83" t="s">
        <v>114</v>
      </c>
      <c r="LE83">
        <v>0.81045599999999995</v>
      </c>
      <c r="LF83">
        <v>0.92198999999999998</v>
      </c>
      <c r="LG83">
        <v>0.82673300000000005</v>
      </c>
      <c r="LH83">
        <v>0.802844</v>
      </c>
      <c r="LI83">
        <v>0.77698</v>
      </c>
      <c r="LJ83">
        <v>0.77722400000000003</v>
      </c>
      <c r="LK83">
        <v>0.712808</v>
      </c>
      <c r="LL83">
        <v>0.78748899999999999</v>
      </c>
      <c r="LM83">
        <v>0.78528699999999996</v>
      </c>
      <c r="LN83">
        <v>0.70791899999999996</v>
      </c>
      <c r="LO83">
        <v>0.80022599999999999</v>
      </c>
      <c r="LP83">
        <v>0.67366099999999995</v>
      </c>
      <c r="LQ83">
        <v>0.80862800000000001</v>
      </c>
      <c r="LR83" t="s">
        <v>114</v>
      </c>
      <c r="LS83">
        <v>0.79137500000000005</v>
      </c>
      <c r="LT83">
        <v>0.81577100000000002</v>
      </c>
      <c r="LU83">
        <v>0.88267899999999999</v>
      </c>
      <c r="LV83">
        <v>0.79359100000000005</v>
      </c>
      <c r="LW83" t="s">
        <v>114</v>
      </c>
      <c r="LX83">
        <v>0.82154300000000002</v>
      </c>
      <c r="LY83">
        <v>0.76261900000000005</v>
      </c>
      <c r="LZ83" t="s">
        <v>114</v>
      </c>
      <c r="MA83">
        <v>0.78475499999999998</v>
      </c>
      <c r="MB83">
        <v>0.86897899999999995</v>
      </c>
      <c r="MC83">
        <v>0.82864700000000002</v>
      </c>
      <c r="MD83">
        <v>0.77864900000000004</v>
      </c>
      <c r="ME83">
        <v>0.77717599999999998</v>
      </c>
      <c r="MF83">
        <v>0.79094799999999998</v>
      </c>
      <c r="MG83">
        <v>0.83308800000000005</v>
      </c>
      <c r="MH83" t="s">
        <v>114</v>
      </c>
      <c r="MI83">
        <v>0.73408300000000004</v>
      </c>
      <c r="MJ83">
        <v>0.77565499999999998</v>
      </c>
      <c r="MK83">
        <v>0.79294200000000004</v>
      </c>
      <c r="ML83" t="s">
        <v>114</v>
      </c>
      <c r="MM83">
        <v>0.84283399999999997</v>
      </c>
      <c r="MN83">
        <v>0.77095000000000002</v>
      </c>
      <c r="MO83">
        <v>0.77019899999999997</v>
      </c>
      <c r="MP83">
        <v>0.79447100000000004</v>
      </c>
      <c r="MQ83">
        <v>0.83272000000000002</v>
      </c>
      <c r="MR83">
        <v>0.82429200000000002</v>
      </c>
      <c r="MS83">
        <v>0.77274399999999999</v>
      </c>
      <c r="MT83">
        <v>0.80531799999999998</v>
      </c>
      <c r="MU83">
        <v>0.86687400000000003</v>
      </c>
      <c r="MV83">
        <v>0.80024700000000004</v>
      </c>
      <c r="MW83">
        <v>0.77213600000000004</v>
      </c>
      <c r="MX83" t="s">
        <v>114</v>
      </c>
      <c r="MY83" t="s">
        <v>114</v>
      </c>
      <c r="MZ83">
        <v>0.87136999999999998</v>
      </c>
      <c r="NA83">
        <v>0.78596600000000005</v>
      </c>
      <c r="NB83">
        <v>0.707731</v>
      </c>
      <c r="NC83">
        <v>0.88786200000000004</v>
      </c>
      <c r="ND83">
        <v>0.78097499999999997</v>
      </c>
      <c r="NE83">
        <v>0.82791300000000001</v>
      </c>
      <c r="NF83">
        <v>0.40065400000000001</v>
      </c>
      <c r="NG83">
        <v>0.84639299999999995</v>
      </c>
      <c r="NH83">
        <v>0.77879500000000002</v>
      </c>
      <c r="NI83">
        <v>0.81759199999999999</v>
      </c>
      <c r="NJ83">
        <v>0.776146</v>
      </c>
      <c r="NK83">
        <v>0.82946399999999998</v>
      </c>
      <c r="NL83">
        <v>0.74976399999999999</v>
      </c>
      <c r="NM83">
        <v>0.77007599999999998</v>
      </c>
      <c r="NN83">
        <v>0.85945700000000003</v>
      </c>
      <c r="NO83">
        <v>0.76294200000000001</v>
      </c>
      <c r="NP83">
        <v>0.78880399999999995</v>
      </c>
      <c r="NQ83" t="s">
        <v>114</v>
      </c>
      <c r="NR83">
        <v>0.78622099999999995</v>
      </c>
      <c r="NS83">
        <v>0.84373900000000002</v>
      </c>
      <c r="NT83">
        <v>0.83767599999999998</v>
      </c>
      <c r="NU83">
        <v>0.82677900000000004</v>
      </c>
      <c r="NV83">
        <v>0.73357600000000001</v>
      </c>
      <c r="NW83">
        <v>0.80771499999999996</v>
      </c>
      <c r="NX83">
        <v>0.94162100000000004</v>
      </c>
      <c r="NY83" t="s">
        <v>114</v>
      </c>
      <c r="NZ83" t="s">
        <v>114</v>
      </c>
      <c r="OA83">
        <v>0.94584599999999996</v>
      </c>
      <c r="OB83">
        <v>0.74205200000000004</v>
      </c>
      <c r="OC83">
        <v>0.80731900000000001</v>
      </c>
      <c r="OD83">
        <v>1.029495</v>
      </c>
      <c r="OE83">
        <v>0.84201000000000004</v>
      </c>
      <c r="OF83" t="s">
        <v>114</v>
      </c>
      <c r="OG83">
        <v>0.82824200000000003</v>
      </c>
      <c r="OH83">
        <v>0.79229000000000005</v>
      </c>
      <c r="OI83" t="s">
        <v>114</v>
      </c>
      <c r="OJ83">
        <v>0.84368900000000002</v>
      </c>
      <c r="OK83">
        <v>0.81637000000000004</v>
      </c>
      <c r="OL83">
        <v>0.741282</v>
      </c>
      <c r="OM83">
        <v>0.889849</v>
      </c>
      <c r="ON83">
        <v>0.73722299999999996</v>
      </c>
      <c r="OO83" t="s">
        <v>114</v>
      </c>
      <c r="OP83">
        <v>0.74676100000000001</v>
      </c>
      <c r="OQ83" t="s">
        <v>114</v>
      </c>
      <c r="OR83" t="s">
        <v>114</v>
      </c>
      <c r="OS83" t="s">
        <v>114</v>
      </c>
      <c r="OT83" t="s">
        <v>114</v>
      </c>
      <c r="OU83" t="s">
        <v>114</v>
      </c>
      <c r="OV83" t="s">
        <v>114</v>
      </c>
      <c r="OW83" t="s">
        <v>114</v>
      </c>
      <c r="OX83">
        <v>0.51636199999999999</v>
      </c>
      <c r="OY83" t="s">
        <v>114</v>
      </c>
      <c r="OZ83" t="s">
        <v>114</v>
      </c>
      <c r="PA83" t="s">
        <v>114</v>
      </c>
      <c r="PB83">
        <v>0.79240299999999997</v>
      </c>
      <c r="PC83">
        <v>0.76297499999999996</v>
      </c>
      <c r="PD83" t="s">
        <v>114</v>
      </c>
      <c r="PE83">
        <v>0.77203999999999995</v>
      </c>
      <c r="PF83">
        <v>0.76119400000000004</v>
      </c>
      <c r="PG83">
        <v>0.84825300000000003</v>
      </c>
      <c r="PH83">
        <v>0.848916</v>
      </c>
      <c r="PI83">
        <v>0.90802300000000002</v>
      </c>
      <c r="PJ83">
        <v>0.81476899999999997</v>
      </c>
      <c r="PK83">
        <v>0.82082200000000005</v>
      </c>
      <c r="PL83" t="s">
        <v>114</v>
      </c>
      <c r="PM83">
        <v>0.81518500000000005</v>
      </c>
      <c r="PN83" t="s">
        <v>114</v>
      </c>
      <c r="PO83" t="s">
        <v>114</v>
      </c>
      <c r="PP83">
        <v>0.72895900000000002</v>
      </c>
      <c r="PQ83">
        <v>0.78660200000000002</v>
      </c>
      <c r="PR83">
        <v>0.87936599999999998</v>
      </c>
      <c r="PS83">
        <v>0.72650099999999995</v>
      </c>
      <c r="PT83">
        <v>0.82975200000000005</v>
      </c>
      <c r="PU83">
        <v>0.68679800000000002</v>
      </c>
      <c r="PV83">
        <v>0.75768000000000002</v>
      </c>
      <c r="PW83">
        <v>0.72589400000000004</v>
      </c>
      <c r="PX83">
        <v>0.76287899999999997</v>
      </c>
      <c r="PY83">
        <v>0.77410500000000004</v>
      </c>
      <c r="PZ83">
        <v>0.75163899999999995</v>
      </c>
      <c r="QA83">
        <v>0.90286</v>
      </c>
      <c r="QB83">
        <v>0.75551599999999997</v>
      </c>
      <c r="QC83">
        <v>0.86795500000000003</v>
      </c>
      <c r="QD83">
        <v>0.79537899999999995</v>
      </c>
      <c r="QE83">
        <v>0.83712200000000003</v>
      </c>
      <c r="QF83">
        <v>0.83904999999999996</v>
      </c>
      <c r="QG83">
        <v>0.74497400000000003</v>
      </c>
      <c r="QH83" t="s">
        <v>114</v>
      </c>
      <c r="QI83" t="s">
        <v>114</v>
      </c>
      <c r="QJ83">
        <v>0.78095000000000003</v>
      </c>
      <c r="QK83">
        <v>0.78093500000000005</v>
      </c>
      <c r="QL83" t="s">
        <v>114</v>
      </c>
      <c r="QM83">
        <v>0.77344100000000005</v>
      </c>
      <c r="QN83" t="s">
        <v>114</v>
      </c>
      <c r="QO83">
        <v>0.93770399999999998</v>
      </c>
      <c r="QP83">
        <v>0.65904399999999996</v>
      </c>
      <c r="QQ83" t="s">
        <v>114</v>
      </c>
      <c r="QR83" t="s">
        <v>114</v>
      </c>
      <c r="QS83">
        <v>0.81326100000000001</v>
      </c>
      <c r="QT83" t="s">
        <v>114</v>
      </c>
      <c r="QU83" t="s">
        <v>114</v>
      </c>
      <c r="QV83">
        <v>0.71256699999999995</v>
      </c>
      <c r="QW83">
        <v>0.67193800000000004</v>
      </c>
      <c r="QX83">
        <v>0.87406600000000001</v>
      </c>
      <c r="QY83">
        <v>0.824515</v>
      </c>
      <c r="QZ83">
        <v>0.76386299999999996</v>
      </c>
      <c r="RA83">
        <v>0.74338199999999999</v>
      </c>
      <c r="RB83">
        <v>0.74441000000000002</v>
      </c>
      <c r="RC83">
        <v>0.65970099999999998</v>
      </c>
      <c r="RD83">
        <v>0.87731700000000001</v>
      </c>
      <c r="RE83">
        <v>0.78825599999999996</v>
      </c>
      <c r="RF83">
        <v>0.813635</v>
      </c>
      <c r="RG83">
        <v>0.78034400000000004</v>
      </c>
      <c r="RH83">
        <v>0.89709300000000003</v>
      </c>
      <c r="RI83">
        <v>0.85922500000000002</v>
      </c>
      <c r="RJ83">
        <v>0.75833499999999998</v>
      </c>
      <c r="RK83">
        <v>0.83176700000000003</v>
      </c>
      <c r="RL83">
        <v>0.93202700000000005</v>
      </c>
      <c r="RM83">
        <v>0.680446</v>
      </c>
      <c r="RN83">
        <v>0.80787100000000001</v>
      </c>
      <c r="RO83">
        <v>0.75651299999999999</v>
      </c>
      <c r="RP83" t="s">
        <v>114</v>
      </c>
      <c r="RQ83">
        <v>0.72912399999999999</v>
      </c>
      <c r="RR83">
        <v>0.80184500000000003</v>
      </c>
      <c r="RS83">
        <v>0.83101899999999995</v>
      </c>
      <c r="RT83">
        <v>0.77996799999999999</v>
      </c>
      <c r="RU83">
        <v>0.82874099999999995</v>
      </c>
      <c r="RV83">
        <v>0.75807100000000005</v>
      </c>
      <c r="RW83">
        <v>0.63887899999999997</v>
      </c>
      <c r="RX83">
        <v>1.015368</v>
      </c>
      <c r="RY83">
        <v>0.73545400000000005</v>
      </c>
      <c r="RZ83">
        <v>0.81445400000000001</v>
      </c>
      <c r="SA83">
        <v>0.87504300000000002</v>
      </c>
      <c r="SB83">
        <v>0.78157699999999997</v>
      </c>
      <c r="SC83">
        <v>0.83105499999999999</v>
      </c>
      <c r="SD83">
        <v>0.78889900000000002</v>
      </c>
      <c r="SE83">
        <v>0.75596099999999999</v>
      </c>
      <c r="SF83">
        <v>0.82644099999999998</v>
      </c>
      <c r="SG83">
        <v>0.75408900000000001</v>
      </c>
      <c r="SH83">
        <v>0.828959</v>
      </c>
      <c r="SI83">
        <v>0.70333800000000002</v>
      </c>
      <c r="SJ83">
        <v>0.94493099999999997</v>
      </c>
      <c r="SK83" t="s">
        <v>114</v>
      </c>
      <c r="SL83" t="s">
        <v>114</v>
      </c>
      <c r="SM83">
        <v>0.78749999999999998</v>
      </c>
      <c r="SN83">
        <v>0.75731499999999996</v>
      </c>
      <c r="SO83" t="s">
        <v>114</v>
      </c>
      <c r="SP83">
        <v>0.65768199999999999</v>
      </c>
      <c r="SQ83">
        <v>0.72047799999999995</v>
      </c>
      <c r="SR83">
        <v>0.702457</v>
      </c>
      <c r="SS83">
        <v>0.74657200000000001</v>
      </c>
      <c r="ST83">
        <v>0.84854300000000005</v>
      </c>
      <c r="SU83">
        <v>0.76290400000000003</v>
      </c>
      <c r="SV83" t="s">
        <v>114</v>
      </c>
      <c r="SW83">
        <v>0.758073</v>
      </c>
      <c r="SX83" t="s">
        <v>114</v>
      </c>
      <c r="SY83">
        <v>0.82492500000000002</v>
      </c>
      <c r="SZ83">
        <v>0.78656700000000002</v>
      </c>
      <c r="TA83">
        <v>0.79418999999999995</v>
      </c>
      <c r="TB83">
        <v>0.88700999999999997</v>
      </c>
      <c r="TC83">
        <v>0.82080399999999998</v>
      </c>
      <c r="TD83">
        <v>0.75368199999999996</v>
      </c>
      <c r="TE83">
        <v>0.80131799999999997</v>
      </c>
      <c r="TF83">
        <v>0.85026100000000004</v>
      </c>
      <c r="TG83">
        <v>0.81936799999999999</v>
      </c>
      <c r="TH83">
        <v>0.78059400000000001</v>
      </c>
      <c r="TI83">
        <v>0.85378399999999999</v>
      </c>
      <c r="TJ83" t="s">
        <v>114</v>
      </c>
      <c r="TK83">
        <v>0.904613</v>
      </c>
      <c r="TL83" t="s">
        <v>114</v>
      </c>
      <c r="TM83" t="s">
        <v>114</v>
      </c>
      <c r="TN83">
        <v>0.75869299999999995</v>
      </c>
      <c r="TO83" t="s">
        <v>114</v>
      </c>
      <c r="TP83">
        <v>0.82802299999999995</v>
      </c>
      <c r="TQ83">
        <v>0.80157599999999996</v>
      </c>
      <c r="TR83">
        <v>0.90426499999999999</v>
      </c>
      <c r="TS83">
        <v>0.65118900000000002</v>
      </c>
      <c r="TT83">
        <v>0.64615400000000001</v>
      </c>
      <c r="TU83" t="s">
        <v>114</v>
      </c>
      <c r="TV83">
        <v>0.80979999999999996</v>
      </c>
      <c r="TW83">
        <v>0.77958300000000003</v>
      </c>
      <c r="TX83">
        <v>0.72860999999999998</v>
      </c>
      <c r="TY83" t="s">
        <v>114</v>
      </c>
      <c r="TZ83">
        <v>0.72754300000000005</v>
      </c>
      <c r="UA83">
        <v>0.74242600000000003</v>
      </c>
      <c r="UB83">
        <v>0.80899799999999999</v>
      </c>
      <c r="UC83" t="s">
        <v>114</v>
      </c>
      <c r="UD83">
        <v>0.75772399999999995</v>
      </c>
      <c r="UE83">
        <v>0.74468900000000005</v>
      </c>
      <c r="UF83">
        <v>0.82211199999999995</v>
      </c>
      <c r="UG83">
        <v>0.74328000000000005</v>
      </c>
      <c r="UH83" t="s">
        <v>114</v>
      </c>
      <c r="UI83">
        <v>0.712422</v>
      </c>
      <c r="UJ83">
        <v>0.81196699999999999</v>
      </c>
      <c r="UK83">
        <v>0.77023200000000003</v>
      </c>
      <c r="UL83">
        <v>0.74306000000000005</v>
      </c>
      <c r="UM83" t="s">
        <v>114</v>
      </c>
      <c r="UN83" t="s">
        <v>114</v>
      </c>
      <c r="UO83" t="s">
        <v>114</v>
      </c>
      <c r="UP83">
        <v>0.81043799999999999</v>
      </c>
      <c r="UQ83" t="s">
        <v>114</v>
      </c>
      <c r="UR83">
        <v>0.75887499999999997</v>
      </c>
      <c r="US83">
        <v>0.72354700000000005</v>
      </c>
      <c r="UT83">
        <v>0.88871299999999998</v>
      </c>
      <c r="UU83">
        <v>0.791126</v>
      </c>
      <c r="UV83">
        <v>0.78748300000000004</v>
      </c>
      <c r="UW83" t="s">
        <v>114</v>
      </c>
      <c r="UX83">
        <v>0.745699</v>
      </c>
      <c r="UY83">
        <v>0.77466400000000002</v>
      </c>
      <c r="UZ83" t="s">
        <v>114</v>
      </c>
      <c r="VA83">
        <v>0.71632200000000001</v>
      </c>
      <c r="VB83">
        <v>0.68660200000000005</v>
      </c>
      <c r="VC83" t="s">
        <v>114</v>
      </c>
      <c r="VD83">
        <v>0.94135500000000005</v>
      </c>
      <c r="VE83">
        <v>0.78504099999999999</v>
      </c>
      <c r="VF83">
        <v>0.72265000000000001</v>
      </c>
      <c r="VG83">
        <v>0.85313000000000005</v>
      </c>
      <c r="VH83">
        <v>0.82734399999999997</v>
      </c>
      <c r="VI83" t="s">
        <v>114</v>
      </c>
      <c r="VJ83" t="s">
        <v>114</v>
      </c>
      <c r="VK83" t="s">
        <v>114</v>
      </c>
      <c r="VL83" t="s">
        <v>114</v>
      </c>
      <c r="VM83" t="s">
        <v>114</v>
      </c>
      <c r="VN83">
        <v>0.93496699999999999</v>
      </c>
      <c r="VO83">
        <v>0.718302</v>
      </c>
      <c r="VP83">
        <v>0.76282300000000003</v>
      </c>
      <c r="VQ83">
        <v>0.81322899999999998</v>
      </c>
      <c r="VR83">
        <v>0.62197499999999994</v>
      </c>
      <c r="VS83">
        <v>0.75031000000000003</v>
      </c>
      <c r="VT83" t="s">
        <v>114</v>
      </c>
      <c r="VU83">
        <v>0.84741200000000005</v>
      </c>
      <c r="VV83" t="s">
        <v>114</v>
      </c>
      <c r="VW83" t="s">
        <v>114</v>
      </c>
      <c r="VX83" t="s">
        <v>114</v>
      </c>
      <c r="VY83">
        <v>0.74326199999999998</v>
      </c>
      <c r="VZ83">
        <v>0.77604799999999996</v>
      </c>
      <c r="WA83" t="s">
        <v>114</v>
      </c>
      <c r="WB83" t="s">
        <v>114</v>
      </c>
      <c r="WC83" t="s">
        <v>114</v>
      </c>
      <c r="WD83">
        <v>0.83906400000000003</v>
      </c>
      <c r="WE83">
        <v>0.93102300000000004</v>
      </c>
      <c r="WF83">
        <v>0.74651699999999999</v>
      </c>
      <c r="WG83">
        <v>0.77533099999999999</v>
      </c>
      <c r="WH83" t="s">
        <v>114</v>
      </c>
      <c r="WI83">
        <v>0.81178700000000004</v>
      </c>
      <c r="WJ83">
        <v>0.76181699999999997</v>
      </c>
      <c r="WK83">
        <v>0.70580600000000004</v>
      </c>
      <c r="WL83" t="s">
        <v>114</v>
      </c>
      <c r="WM83">
        <v>0.86374399999999996</v>
      </c>
      <c r="WN83">
        <v>0.75099700000000003</v>
      </c>
      <c r="WO83">
        <v>0.72070900000000004</v>
      </c>
      <c r="WP83">
        <v>0.82081599999999999</v>
      </c>
      <c r="WQ83">
        <v>0.82507299999999995</v>
      </c>
      <c r="WR83" t="s">
        <v>114</v>
      </c>
      <c r="WS83">
        <v>0.77028300000000005</v>
      </c>
      <c r="WT83" t="s">
        <v>114</v>
      </c>
      <c r="WU83">
        <v>0.69405099999999997</v>
      </c>
      <c r="WV83" t="s">
        <v>114</v>
      </c>
      <c r="WW83">
        <v>0.84011599999999997</v>
      </c>
      <c r="WX83">
        <v>0.92468600000000001</v>
      </c>
      <c r="WY83" t="s">
        <v>114</v>
      </c>
      <c r="WZ83">
        <v>1.0441849999999999</v>
      </c>
      <c r="XA83">
        <v>0.80876599999999998</v>
      </c>
      <c r="XB83" t="s">
        <v>114</v>
      </c>
      <c r="XC83">
        <v>0.92203000000000002</v>
      </c>
      <c r="XD83">
        <v>0.87600900000000004</v>
      </c>
      <c r="XE83">
        <v>0.77454000000000001</v>
      </c>
      <c r="XF83" t="s">
        <v>114</v>
      </c>
      <c r="XG83">
        <v>0.75770599999999999</v>
      </c>
      <c r="XH83">
        <v>0.76220699999999997</v>
      </c>
      <c r="XI83" t="s">
        <v>114</v>
      </c>
      <c r="XJ83">
        <v>0.73664700000000005</v>
      </c>
      <c r="XK83">
        <v>0.73959799999999998</v>
      </c>
      <c r="XL83">
        <v>0.87712000000000001</v>
      </c>
      <c r="XM83">
        <v>0.71396400000000004</v>
      </c>
      <c r="XN83">
        <v>0.71953699999999998</v>
      </c>
      <c r="XO83">
        <v>0.96783200000000003</v>
      </c>
      <c r="XP83" t="s">
        <v>114</v>
      </c>
      <c r="XQ83" t="s">
        <v>114</v>
      </c>
      <c r="XR83">
        <v>0.79839000000000004</v>
      </c>
      <c r="XS83">
        <v>0.83058299999999996</v>
      </c>
      <c r="XT83">
        <v>0.785968</v>
      </c>
      <c r="XU83" t="s">
        <v>114</v>
      </c>
      <c r="XV83" t="s">
        <v>114</v>
      </c>
      <c r="XW83" t="s">
        <v>114</v>
      </c>
      <c r="XX83">
        <v>0.85766900000000001</v>
      </c>
      <c r="XY83">
        <v>0.82003800000000004</v>
      </c>
      <c r="XZ83">
        <v>0.88499799999999995</v>
      </c>
      <c r="YA83">
        <v>0.94597299999999995</v>
      </c>
      <c r="YB83">
        <v>0.82253399999999999</v>
      </c>
      <c r="YC83">
        <v>0.78395599999999999</v>
      </c>
      <c r="YD83" t="s">
        <v>114</v>
      </c>
      <c r="YE83">
        <v>0.87424000000000002</v>
      </c>
      <c r="YF83" t="s">
        <v>114</v>
      </c>
      <c r="YG83">
        <v>0.78462299999999996</v>
      </c>
      <c r="YH83" t="s">
        <v>114</v>
      </c>
      <c r="YI83" t="s">
        <v>114</v>
      </c>
      <c r="YJ83">
        <v>0.78628699999999996</v>
      </c>
      <c r="YK83">
        <v>0.79197600000000001</v>
      </c>
      <c r="YL83">
        <v>0.74601899999999999</v>
      </c>
      <c r="YM83">
        <v>0.75631999999999999</v>
      </c>
      <c r="YN83" t="s">
        <v>114</v>
      </c>
      <c r="YO83" t="s">
        <v>114</v>
      </c>
      <c r="YP83">
        <v>0.82425499999999996</v>
      </c>
      <c r="YQ83">
        <v>0.714696</v>
      </c>
      <c r="YR83">
        <v>0.81058399999999997</v>
      </c>
      <c r="YS83">
        <v>0.79331099999999999</v>
      </c>
      <c r="YT83" t="s">
        <v>114</v>
      </c>
      <c r="YU83">
        <v>0.74787000000000003</v>
      </c>
      <c r="YV83">
        <v>0.71807399999999999</v>
      </c>
      <c r="YW83" t="s">
        <v>114</v>
      </c>
      <c r="YX83" t="s">
        <v>114</v>
      </c>
      <c r="YY83">
        <v>0.97323400000000004</v>
      </c>
      <c r="YZ83">
        <v>0.81081000000000003</v>
      </c>
      <c r="ZA83">
        <v>0.70945400000000003</v>
      </c>
      <c r="ZB83">
        <v>0.54580099999999998</v>
      </c>
      <c r="ZC83">
        <v>0.76477799999999996</v>
      </c>
      <c r="ZD83">
        <v>0.77024300000000001</v>
      </c>
      <c r="ZE83">
        <v>0.77484299999999995</v>
      </c>
      <c r="ZF83" t="s">
        <v>114</v>
      </c>
      <c r="ZG83">
        <v>0.81386199999999997</v>
      </c>
      <c r="ZH83">
        <v>0.77173599999999998</v>
      </c>
      <c r="ZI83">
        <v>0.82202799999999998</v>
      </c>
      <c r="ZJ83">
        <v>0.91691500000000004</v>
      </c>
      <c r="ZK83" t="s">
        <v>114</v>
      </c>
      <c r="ZL83">
        <v>0.94596899999999995</v>
      </c>
      <c r="ZM83">
        <v>0.84095699999999995</v>
      </c>
      <c r="ZN83">
        <v>0.87942799999999999</v>
      </c>
      <c r="ZO83">
        <v>0.95921699999999999</v>
      </c>
      <c r="ZP83" t="s">
        <v>114</v>
      </c>
      <c r="ZQ83" t="s">
        <v>114</v>
      </c>
      <c r="ZR83" t="s">
        <v>114</v>
      </c>
      <c r="ZS83" t="s">
        <v>114</v>
      </c>
      <c r="ZT83" t="s">
        <v>114</v>
      </c>
      <c r="ZU83" t="s">
        <v>114</v>
      </c>
      <c r="ZV83">
        <v>0.72961600000000004</v>
      </c>
      <c r="ZW83" t="s">
        <v>114</v>
      </c>
      <c r="ZX83">
        <v>0.64725100000000002</v>
      </c>
      <c r="ZY83">
        <v>0.85157099999999997</v>
      </c>
      <c r="ZZ83">
        <v>0.85584199999999999</v>
      </c>
      <c r="AAA83">
        <v>0.59888399999999997</v>
      </c>
      <c r="AAB83">
        <v>0.78038099999999999</v>
      </c>
      <c r="AAC83">
        <v>0.87264699999999995</v>
      </c>
      <c r="AAD83">
        <v>0.77910199999999996</v>
      </c>
      <c r="AAE83">
        <v>0.84982199999999997</v>
      </c>
      <c r="AAF83">
        <v>0.81245299999999998</v>
      </c>
      <c r="AAG83">
        <v>0.88155099999999997</v>
      </c>
      <c r="AAH83" t="s">
        <v>114</v>
      </c>
      <c r="AAI83">
        <v>0.89996399999999999</v>
      </c>
      <c r="AAJ83">
        <v>1.1227879999999999</v>
      </c>
      <c r="AAK83" t="s">
        <v>114</v>
      </c>
      <c r="AAL83" t="s">
        <v>114</v>
      </c>
      <c r="AAM83">
        <v>0.71584400000000004</v>
      </c>
      <c r="AAN83">
        <v>0.74146100000000004</v>
      </c>
      <c r="AAO83">
        <v>0.90964500000000004</v>
      </c>
      <c r="AAP83" t="s">
        <v>114</v>
      </c>
      <c r="AAQ83">
        <v>0.70143500000000003</v>
      </c>
      <c r="AAR83">
        <v>0.82203400000000004</v>
      </c>
      <c r="AAS83" t="s">
        <v>114</v>
      </c>
      <c r="AAT83">
        <v>0.97721800000000003</v>
      </c>
      <c r="AAU83">
        <v>1.024027</v>
      </c>
      <c r="AAV83">
        <v>0.93526799999999999</v>
      </c>
      <c r="AAW83">
        <v>0.78739300000000001</v>
      </c>
      <c r="AAX83" t="s">
        <v>114</v>
      </c>
      <c r="AAY83" t="s">
        <v>114</v>
      </c>
      <c r="AAZ83" t="s">
        <v>114</v>
      </c>
      <c r="ABA83">
        <v>0.75763800000000003</v>
      </c>
      <c r="ABB83">
        <v>0.87351800000000002</v>
      </c>
      <c r="ABC83">
        <v>0.78113500000000002</v>
      </c>
      <c r="ABD83" t="s">
        <v>114</v>
      </c>
      <c r="ABE83">
        <v>0.84116400000000002</v>
      </c>
      <c r="ABF83" t="s">
        <v>114</v>
      </c>
      <c r="ABG83">
        <v>0.777339</v>
      </c>
      <c r="ABH83">
        <v>0.76107800000000003</v>
      </c>
      <c r="ABI83" t="s">
        <v>114</v>
      </c>
      <c r="ABJ83">
        <v>0.87338000000000005</v>
      </c>
      <c r="ABK83">
        <v>0.77525999999999995</v>
      </c>
      <c r="ABL83" t="s">
        <v>114</v>
      </c>
      <c r="ABM83">
        <v>0.75124800000000003</v>
      </c>
      <c r="ABN83" t="s">
        <v>114</v>
      </c>
      <c r="ABO83" t="s">
        <v>114</v>
      </c>
      <c r="ABP83">
        <v>1.003809</v>
      </c>
      <c r="ABQ83" t="s">
        <v>114</v>
      </c>
      <c r="ABR83">
        <v>0.73331199999999996</v>
      </c>
      <c r="ABS83">
        <v>0.76921300000000004</v>
      </c>
      <c r="ABT83" t="s">
        <v>114</v>
      </c>
      <c r="ABU83" t="s">
        <v>114</v>
      </c>
      <c r="ABV83" t="s">
        <v>114</v>
      </c>
      <c r="ABW83" t="s">
        <v>114</v>
      </c>
      <c r="ABX83">
        <v>0.99276799999999998</v>
      </c>
      <c r="ABY83" t="s">
        <v>114</v>
      </c>
      <c r="ABZ83">
        <v>0.78752</v>
      </c>
      <c r="ACA83">
        <v>0.75645600000000002</v>
      </c>
      <c r="ACB83">
        <v>0.66495599999999999</v>
      </c>
      <c r="ACC83">
        <v>0.74021400000000004</v>
      </c>
      <c r="ACD83" t="s">
        <v>114</v>
      </c>
      <c r="ACE83">
        <v>0.670103</v>
      </c>
      <c r="ACF83" t="s">
        <v>114</v>
      </c>
      <c r="ACG83" t="s">
        <v>114</v>
      </c>
      <c r="ACH83" t="s">
        <v>114</v>
      </c>
      <c r="ACI83" t="s">
        <v>114</v>
      </c>
      <c r="ACJ83" t="s">
        <v>114</v>
      </c>
      <c r="ACK83">
        <v>0.72581200000000001</v>
      </c>
      <c r="ACL83">
        <v>0.80132999999999999</v>
      </c>
      <c r="ACM83" t="s">
        <v>114</v>
      </c>
      <c r="ACN83">
        <v>0.70785399999999998</v>
      </c>
      <c r="ACO83">
        <v>0.74473199999999995</v>
      </c>
    </row>
    <row r="84" spans="1:769" x14ac:dyDescent="0.25">
      <c r="A84" t="s">
        <v>91</v>
      </c>
      <c r="B84" t="s">
        <v>114</v>
      </c>
      <c r="C84" t="s">
        <v>114</v>
      </c>
      <c r="D84">
        <v>3.9893529999999999</v>
      </c>
      <c r="E84" t="s">
        <v>114</v>
      </c>
      <c r="F84">
        <v>4.4002090000000003</v>
      </c>
      <c r="G84">
        <v>4.2141650000000004</v>
      </c>
      <c r="H84">
        <v>9.284713</v>
      </c>
      <c r="I84">
        <v>22.61825</v>
      </c>
      <c r="J84" t="s">
        <v>114</v>
      </c>
      <c r="K84">
        <v>18.919414</v>
      </c>
      <c r="L84" t="s">
        <v>114</v>
      </c>
      <c r="M84">
        <v>5.0375589999999999</v>
      </c>
      <c r="N84" t="s">
        <v>114</v>
      </c>
      <c r="O84">
        <v>5.2466369999999998</v>
      </c>
      <c r="P84">
        <v>9.3097820000000002</v>
      </c>
      <c r="Q84" t="s">
        <v>114</v>
      </c>
      <c r="R84">
        <v>77.827520000000007</v>
      </c>
      <c r="S84">
        <v>112.14314</v>
      </c>
      <c r="T84">
        <v>29.853649000000001</v>
      </c>
      <c r="U84">
        <v>4.6938870000000001</v>
      </c>
      <c r="V84">
        <v>16.280421</v>
      </c>
      <c r="W84" t="s">
        <v>114</v>
      </c>
      <c r="X84">
        <v>6.774375</v>
      </c>
      <c r="Y84">
        <v>19.465661999999998</v>
      </c>
      <c r="Z84" t="s">
        <v>114</v>
      </c>
      <c r="AA84">
        <v>4.4488890000000003</v>
      </c>
      <c r="AB84">
        <v>5.7878030000000003</v>
      </c>
      <c r="AC84">
        <v>5.4479709999999999</v>
      </c>
      <c r="AD84" t="s">
        <v>114</v>
      </c>
      <c r="AE84">
        <v>4.3199480000000001</v>
      </c>
      <c r="AF84">
        <v>71.842259999999996</v>
      </c>
      <c r="AG84">
        <v>9.9878520000000002</v>
      </c>
      <c r="AH84">
        <v>22.047433999999999</v>
      </c>
      <c r="AI84">
        <v>5.9619470000000003</v>
      </c>
      <c r="AJ84">
        <v>4.4019700000000004</v>
      </c>
      <c r="AK84">
        <v>18.567447999999999</v>
      </c>
      <c r="AL84">
        <v>4.6065779999999998</v>
      </c>
      <c r="AM84">
        <v>22.623946</v>
      </c>
      <c r="AN84">
        <v>7.245635</v>
      </c>
      <c r="AO84">
        <v>4.434768</v>
      </c>
      <c r="AP84">
        <v>8.1427800000000001</v>
      </c>
      <c r="AQ84">
        <v>23.79223</v>
      </c>
      <c r="AR84">
        <v>4.3695500000000003</v>
      </c>
      <c r="AS84">
        <v>5.212885</v>
      </c>
      <c r="AT84" t="s">
        <v>114</v>
      </c>
      <c r="AU84">
        <v>15.711084</v>
      </c>
      <c r="AV84">
        <v>182.82696000000001</v>
      </c>
      <c r="AW84">
        <v>4.8709769999999999</v>
      </c>
      <c r="AX84">
        <v>4.5727669999999998</v>
      </c>
      <c r="AY84">
        <v>47.628627000000002</v>
      </c>
      <c r="AZ84">
        <v>5.827922</v>
      </c>
      <c r="BA84">
        <v>5.0377679999999998</v>
      </c>
      <c r="BB84">
        <v>50.218879999999999</v>
      </c>
      <c r="BC84" t="s">
        <v>114</v>
      </c>
      <c r="BD84">
        <v>10.429273</v>
      </c>
      <c r="BE84">
        <v>4.3390690000000003</v>
      </c>
      <c r="BF84">
        <v>4.9954239999999999</v>
      </c>
      <c r="BG84">
        <v>12.647586</v>
      </c>
      <c r="BH84">
        <v>25.163169</v>
      </c>
      <c r="BI84">
        <v>7.7200119999999997</v>
      </c>
      <c r="BJ84">
        <v>4.832929</v>
      </c>
      <c r="BK84">
        <v>6.6791729999999996</v>
      </c>
      <c r="BL84">
        <v>65.405223000000007</v>
      </c>
      <c r="BM84">
        <v>4.6806140000000003</v>
      </c>
      <c r="BN84">
        <v>187.52511999999999</v>
      </c>
      <c r="BO84" t="s">
        <v>114</v>
      </c>
      <c r="BP84">
        <v>13.005436</v>
      </c>
      <c r="BQ84">
        <v>9.0006730000000008</v>
      </c>
      <c r="BR84" t="s">
        <v>114</v>
      </c>
      <c r="BS84">
        <v>8.2495720000000006</v>
      </c>
      <c r="BT84">
        <v>14.630966000000001</v>
      </c>
      <c r="BU84" t="s">
        <v>114</v>
      </c>
      <c r="BV84">
        <v>16.255709</v>
      </c>
      <c r="BW84">
        <v>9.1379400000000004</v>
      </c>
      <c r="BX84" t="s">
        <v>114</v>
      </c>
      <c r="BY84">
        <v>83.834040000000002</v>
      </c>
      <c r="BZ84">
        <v>11.207248</v>
      </c>
      <c r="CA84">
        <v>47.730057000000002</v>
      </c>
      <c r="CB84" t="s">
        <v>114</v>
      </c>
      <c r="CC84">
        <v>13.93441</v>
      </c>
      <c r="CD84">
        <v>22.480065</v>
      </c>
      <c r="CE84">
        <v>14.256226</v>
      </c>
      <c r="CF84">
        <v>22.480591</v>
      </c>
      <c r="CG84">
        <v>9.2778100000000006</v>
      </c>
      <c r="CH84" t="s">
        <v>114</v>
      </c>
      <c r="CI84">
        <v>11.239992000000001</v>
      </c>
      <c r="CJ84">
        <v>6.948283</v>
      </c>
      <c r="CK84">
        <v>154.5412</v>
      </c>
      <c r="CL84">
        <v>7.6704939999999997</v>
      </c>
      <c r="CM84">
        <v>10.626887</v>
      </c>
      <c r="CN84">
        <v>50.612676</v>
      </c>
      <c r="CO84">
        <v>9.5253969999999999</v>
      </c>
      <c r="CP84">
        <v>7.0311779999999997</v>
      </c>
      <c r="CQ84">
        <v>13.592150999999999</v>
      </c>
      <c r="CR84">
        <v>8.7235119999999995</v>
      </c>
      <c r="CS84">
        <v>11.689619</v>
      </c>
      <c r="CT84" t="s">
        <v>114</v>
      </c>
      <c r="CU84">
        <v>9.5260789999999993</v>
      </c>
      <c r="CV84">
        <v>9.086411</v>
      </c>
      <c r="CW84">
        <v>11.598561999999999</v>
      </c>
      <c r="CX84">
        <v>9.3747760000000007</v>
      </c>
      <c r="CY84">
        <v>14.143611999999999</v>
      </c>
      <c r="CZ84">
        <v>9.3746410000000004</v>
      </c>
      <c r="DA84">
        <v>143.81208000000001</v>
      </c>
      <c r="DB84">
        <v>9.8438239999999997</v>
      </c>
      <c r="DC84">
        <v>9.3750669999999996</v>
      </c>
      <c r="DD84">
        <v>9.6823829999999997</v>
      </c>
      <c r="DE84">
        <v>14.869605999999999</v>
      </c>
      <c r="DF84">
        <v>9.2267799999999998</v>
      </c>
      <c r="DG84">
        <v>11.581073</v>
      </c>
      <c r="DH84">
        <v>10.183055</v>
      </c>
      <c r="DI84">
        <v>9.0863910000000008</v>
      </c>
      <c r="DJ84">
        <v>10.737481000000001</v>
      </c>
      <c r="DK84">
        <v>39.951492999999999</v>
      </c>
      <c r="DL84">
        <v>5.6243480000000003</v>
      </c>
      <c r="DM84">
        <v>6.710744</v>
      </c>
      <c r="DN84">
        <v>22.878126999999999</v>
      </c>
      <c r="DO84">
        <v>7.5712089999999996</v>
      </c>
      <c r="DP84">
        <v>9.2274560000000001</v>
      </c>
      <c r="DQ84">
        <v>6.2907539999999997</v>
      </c>
      <c r="DR84">
        <v>5.7898110000000003</v>
      </c>
      <c r="DS84">
        <v>4.2342310000000003</v>
      </c>
      <c r="DT84">
        <v>211.12576000000001</v>
      </c>
      <c r="DU84">
        <v>6.4896419999999999</v>
      </c>
      <c r="DV84" t="s">
        <v>114</v>
      </c>
      <c r="DW84" t="s">
        <v>114</v>
      </c>
      <c r="DX84">
        <v>6.7945640000000003</v>
      </c>
      <c r="DY84">
        <v>8.5590240000000009</v>
      </c>
      <c r="DZ84">
        <v>8.4702059999999992</v>
      </c>
      <c r="EA84">
        <v>3.8721320000000001</v>
      </c>
      <c r="EB84" t="s">
        <v>114</v>
      </c>
      <c r="EC84">
        <v>162.784187</v>
      </c>
      <c r="ED84" t="s">
        <v>114</v>
      </c>
      <c r="EE84">
        <v>13.18249</v>
      </c>
      <c r="EF84">
        <v>8.0366599999999995</v>
      </c>
      <c r="EG84">
        <v>4.2900999999999998</v>
      </c>
      <c r="EH84">
        <v>279.88463999999999</v>
      </c>
      <c r="EI84">
        <v>4.4174030000000002</v>
      </c>
      <c r="EJ84">
        <v>56.379261999999997</v>
      </c>
      <c r="EK84">
        <v>72.144549999999995</v>
      </c>
      <c r="EL84">
        <v>10.154074</v>
      </c>
      <c r="EM84">
        <v>5.2312409999999998</v>
      </c>
      <c r="EN84">
        <v>62.249679999999998</v>
      </c>
      <c r="EO84" t="s">
        <v>114</v>
      </c>
      <c r="EP84">
        <v>10.107721</v>
      </c>
      <c r="EQ84">
        <v>10.633957000000001</v>
      </c>
      <c r="ER84">
        <v>10.856422</v>
      </c>
      <c r="ES84">
        <v>27.917714</v>
      </c>
      <c r="ET84">
        <v>44.537579999999998</v>
      </c>
      <c r="EU84">
        <v>9.3040369999999992</v>
      </c>
      <c r="EV84" t="s">
        <v>114</v>
      </c>
      <c r="EW84">
        <v>34.484884999999998</v>
      </c>
      <c r="EX84">
        <v>14.656044</v>
      </c>
      <c r="EY84">
        <v>124.47864</v>
      </c>
      <c r="EZ84">
        <v>44.687229000000002</v>
      </c>
      <c r="FA84">
        <v>8.6301190000000005</v>
      </c>
      <c r="FB84" t="s">
        <v>114</v>
      </c>
      <c r="FC84">
        <v>27.228982999999999</v>
      </c>
      <c r="FD84" t="s">
        <v>114</v>
      </c>
      <c r="FE84" t="s">
        <v>114</v>
      </c>
      <c r="FF84">
        <v>12.759914999999999</v>
      </c>
      <c r="FG84">
        <v>11.738459000000001</v>
      </c>
      <c r="FH84">
        <v>10.869279000000001</v>
      </c>
      <c r="FI84">
        <v>132.82686000000001</v>
      </c>
      <c r="FJ84">
        <v>14.673616000000001</v>
      </c>
      <c r="FK84">
        <v>13.043701</v>
      </c>
      <c r="FL84">
        <v>11.508874</v>
      </c>
      <c r="FM84">
        <v>15.446204</v>
      </c>
      <c r="FN84" t="s">
        <v>114</v>
      </c>
      <c r="FO84" t="s">
        <v>114</v>
      </c>
      <c r="FP84">
        <v>11.28748</v>
      </c>
      <c r="FQ84">
        <v>26.137428</v>
      </c>
      <c r="FR84">
        <v>11.074509000000001</v>
      </c>
      <c r="FS84">
        <v>10.671696000000001</v>
      </c>
      <c r="FT84">
        <v>30.138762</v>
      </c>
      <c r="FU84">
        <v>14.75975</v>
      </c>
      <c r="FV84">
        <v>7.8280849999999997</v>
      </c>
      <c r="FW84">
        <v>11.74263</v>
      </c>
      <c r="FX84">
        <v>9.173508</v>
      </c>
      <c r="FY84">
        <v>11.511881000000001</v>
      </c>
      <c r="FZ84">
        <v>6.2994130000000004</v>
      </c>
      <c r="GA84">
        <v>11.742388999999999</v>
      </c>
      <c r="GB84">
        <v>37.448588999999998</v>
      </c>
      <c r="GC84">
        <v>9.9519669999999998</v>
      </c>
      <c r="GD84">
        <v>5.4341809999999997</v>
      </c>
      <c r="GE84">
        <v>5.5879320000000003</v>
      </c>
      <c r="GF84">
        <v>25.358248</v>
      </c>
      <c r="GG84">
        <v>50.957039999999999</v>
      </c>
      <c r="GH84">
        <v>7.6902850000000003</v>
      </c>
      <c r="GI84" t="s">
        <v>114</v>
      </c>
      <c r="GJ84">
        <v>14.677265999999999</v>
      </c>
      <c r="GK84">
        <v>13.653243</v>
      </c>
      <c r="GL84" t="s">
        <v>114</v>
      </c>
      <c r="GM84" t="s">
        <v>114</v>
      </c>
      <c r="GN84">
        <v>20.513898000000001</v>
      </c>
      <c r="GO84" t="s">
        <v>114</v>
      </c>
      <c r="GP84">
        <v>7.1801219999999999</v>
      </c>
      <c r="GQ84">
        <v>7.2690419999999998</v>
      </c>
      <c r="GR84">
        <v>14.581458</v>
      </c>
      <c r="GS84">
        <v>120.31349299999999</v>
      </c>
      <c r="GT84">
        <v>11.436237</v>
      </c>
      <c r="GU84" t="s">
        <v>114</v>
      </c>
      <c r="GV84">
        <v>21.909818000000001</v>
      </c>
      <c r="GW84" t="s">
        <v>114</v>
      </c>
      <c r="GX84">
        <v>10.232431999999999</v>
      </c>
      <c r="GY84">
        <v>16.664325000000002</v>
      </c>
      <c r="GZ84">
        <v>6.9269819999999998</v>
      </c>
      <c r="HA84">
        <v>15.185579000000001</v>
      </c>
      <c r="HB84">
        <v>8.2956070000000004</v>
      </c>
      <c r="HC84">
        <v>16.822870999999999</v>
      </c>
      <c r="HD84">
        <v>10.333156000000001</v>
      </c>
      <c r="HE84">
        <v>122.03757299999999</v>
      </c>
      <c r="HF84" t="s">
        <v>114</v>
      </c>
      <c r="HG84">
        <v>6.7531600000000003</v>
      </c>
      <c r="HH84">
        <v>7.0746789999999997</v>
      </c>
      <c r="HI84">
        <v>16.827757999999999</v>
      </c>
      <c r="HJ84">
        <v>6.991657</v>
      </c>
      <c r="HK84">
        <v>15.920132000000001</v>
      </c>
      <c r="HL84">
        <v>15.052766</v>
      </c>
      <c r="HM84">
        <v>461.69567999999998</v>
      </c>
      <c r="HN84">
        <v>19.633935999999999</v>
      </c>
      <c r="HO84">
        <v>6.6775570000000002</v>
      </c>
      <c r="HP84" t="s">
        <v>114</v>
      </c>
      <c r="HQ84">
        <v>16.830185</v>
      </c>
      <c r="HR84">
        <v>47.812126999999997</v>
      </c>
      <c r="HS84">
        <v>257.11272000000002</v>
      </c>
      <c r="HT84">
        <v>5.5494269999999997</v>
      </c>
      <c r="HU84">
        <v>7.2627110000000004</v>
      </c>
      <c r="HV84" t="s">
        <v>114</v>
      </c>
      <c r="HW84" t="s">
        <v>114</v>
      </c>
      <c r="HX84">
        <v>5.7095440000000002</v>
      </c>
      <c r="HY84">
        <v>5.0320960000000001</v>
      </c>
      <c r="HZ84">
        <v>9.4247390000000006</v>
      </c>
      <c r="IA84">
        <v>103.19101999999999</v>
      </c>
      <c r="IB84" t="s">
        <v>114</v>
      </c>
      <c r="IC84" t="s">
        <v>114</v>
      </c>
      <c r="ID84" t="s">
        <v>114</v>
      </c>
      <c r="IE84">
        <v>5.3015439999999998</v>
      </c>
      <c r="IF84">
        <v>13.660852999999999</v>
      </c>
      <c r="IG84" t="s">
        <v>114</v>
      </c>
      <c r="IH84">
        <v>9.6948410000000003</v>
      </c>
      <c r="II84" t="s">
        <v>114</v>
      </c>
      <c r="IJ84">
        <v>4.584524</v>
      </c>
      <c r="IK84" t="s">
        <v>114</v>
      </c>
      <c r="IL84" t="s">
        <v>114</v>
      </c>
      <c r="IM84" t="s">
        <v>114</v>
      </c>
      <c r="IN84">
        <v>4.4801339999999996</v>
      </c>
      <c r="IO84">
        <v>4.6202629999999996</v>
      </c>
      <c r="IP84">
        <v>4.4843599999999997</v>
      </c>
      <c r="IQ84" t="s">
        <v>114</v>
      </c>
      <c r="IR84">
        <v>4.4509129999999999</v>
      </c>
      <c r="IS84">
        <v>4.5184290000000003</v>
      </c>
      <c r="IT84">
        <v>23.140246000000001</v>
      </c>
      <c r="IU84">
        <v>81.383893</v>
      </c>
      <c r="IV84">
        <v>23.470344000000001</v>
      </c>
      <c r="IW84">
        <v>75.988367999999994</v>
      </c>
      <c r="IX84">
        <v>12.909668</v>
      </c>
      <c r="IY84">
        <v>4.0420160000000003</v>
      </c>
      <c r="IZ84">
        <v>11.992990000000001</v>
      </c>
      <c r="JA84">
        <v>9.7574749999999995</v>
      </c>
      <c r="JB84" t="s">
        <v>114</v>
      </c>
      <c r="JC84">
        <v>38.783987000000003</v>
      </c>
      <c r="JD84">
        <v>4.8027490000000004</v>
      </c>
      <c r="JE84">
        <v>166.74888000000001</v>
      </c>
      <c r="JF84" t="s">
        <v>114</v>
      </c>
      <c r="JG84">
        <v>4.2441769999999996</v>
      </c>
      <c r="JH84">
        <v>70.922433999999996</v>
      </c>
      <c r="JI84" t="s">
        <v>114</v>
      </c>
      <c r="JJ84" t="s">
        <v>114</v>
      </c>
      <c r="JK84">
        <v>56.650480000000002</v>
      </c>
      <c r="JL84">
        <v>4.27475</v>
      </c>
      <c r="JM84">
        <v>5.078392</v>
      </c>
      <c r="JN84">
        <v>6.781854</v>
      </c>
      <c r="JO84" t="s">
        <v>114</v>
      </c>
      <c r="JP84">
        <v>80.533017000000001</v>
      </c>
      <c r="JQ84" t="s">
        <v>114</v>
      </c>
      <c r="JR84">
        <v>10.000261999999999</v>
      </c>
      <c r="JS84" t="s">
        <v>114</v>
      </c>
      <c r="JT84" t="s">
        <v>114</v>
      </c>
      <c r="JU84">
        <v>13.746634</v>
      </c>
      <c r="JV84" t="s">
        <v>114</v>
      </c>
      <c r="JW84">
        <v>52.447609</v>
      </c>
      <c r="JX84" t="s">
        <v>114</v>
      </c>
      <c r="JY84">
        <v>111.50846</v>
      </c>
      <c r="JZ84" t="s">
        <v>114</v>
      </c>
      <c r="KA84" t="s">
        <v>114</v>
      </c>
      <c r="KB84" t="s">
        <v>114</v>
      </c>
      <c r="KC84" t="s">
        <v>114</v>
      </c>
      <c r="KD84">
        <v>6.9415389999999997</v>
      </c>
      <c r="KE84">
        <v>26.795970000000001</v>
      </c>
      <c r="KF84">
        <v>8.0994379999999992</v>
      </c>
      <c r="KG84">
        <v>6.9410189999999998</v>
      </c>
      <c r="KH84" t="s">
        <v>114</v>
      </c>
      <c r="KI84">
        <v>20.644569000000001</v>
      </c>
      <c r="KJ84" t="s">
        <v>114</v>
      </c>
      <c r="KK84">
        <v>6.7832710000000001</v>
      </c>
      <c r="KL84" t="s">
        <v>114</v>
      </c>
      <c r="KM84">
        <v>13.271686000000001</v>
      </c>
      <c r="KN84">
        <v>13.438229</v>
      </c>
      <c r="KO84" t="s">
        <v>114</v>
      </c>
      <c r="KP84">
        <v>44.776139999999998</v>
      </c>
      <c r="KQ84">
        <v>21.763698000000002</v>
      </c>
      <c r="KR84">
        <v>19.934317</v>
      </c>
      <c r="KS84">
        <v>9.8548690000000008</v>
      </c>
      <c r="KT84">
        <v>10.053725</v>
      </c>
      <c r="KU84" t="s">
        <v>114</v>
      </c>
      <c r="KV84">
        <v>63.049588999999997</v>
      </c>
      <c r="KW84">
        <v>5.647761</v>
      </c>
      <c r="KX84">
        <v>57.832115999999999</v>
      </c>
      <c r="KY84">
        <v>12.357808</v>
      </c>
      <c r="KZ84">
        <v>82.695800000000006</v>
      </c>
      <c r="LA84">
        <v>9.0050279999999994</v>
      </c>
      <c r="LB84">
        <v>28.613246</v>
      </c>
      <c r="LC84">
        <v>8.4740500000000001</v>
      </c>
      <c r="LD84" t="s">
        <v>114</v>
      </c>
      <c r="LE84">
        <v>18.300187000000001</v>
      </c>
      <c r="LF84">
        <v>26.478659</v>
      </c>
      <c r="LG84">
        <v>7.4147749999999997</v>
      </c>
      <c r="LH84">
        <v>21.115076999999999</v>
      </c>
      <c r="LI84">
        <v>9.5674250000000001</v>
      </c>
      <c r="LJ84">
        <v>14.335596000000001</v>
      </c>
      <c r="LK84">
        <v>8.4784210000000009</v>
      </c>
      <c r="LL84">
        <v>8.7286420000000007</v>
      </c>
      <c r="LM84">
        <v>8.4787210000000002</v>
      </c>
      <c r="LN84">
        <v>39.294826999999998</v>
      </c>
      <c r="LO84">
        <v>9.5724300000000007</v>
      </c>
      <c r="LP84">
        <v>15.000228999999999</v>
      </c>
      <c r="LQ84">
        <v>8.7279239999999998</v>
      </c>
      <c r="LR84" t="s">
        <v>114</v>
      </c>
      <c r="LS84">
        <v>21.339615999999999</v>
      </c>
      <c r="LT84">
        <v>12.466332</v>
      </c>
      <c r="LU84">
        <v>13.663698999999999</v>
      </c>
      <c r="LV84">
        <v>8.3598680000000005</v>
      </c>
      <c r="LW84" t="s">
        <v>114</v>
      </c>
      <c r="LX84">
        <v>12.200608000000001</v>
      </c>
      <c r="LY84">
        <v>8.2432280000000002</v>
      </c>
      <c r="LZ84" t="s">
        <v>114</v>
      </c>
      <c r="MA84">
        <v>10.426674999999999</v>
      </c>
      <c r="MB84">
        <v>9.1436569999999993</v>
      </c>
      <c r="MC84">
        <v>23.537863999999999</v>
      </c>
      <c r="MD84">
        <v>11.429569000000001</v>
      </c>
      <c r="ME84">
        <v>8.2547580000000007</v>
      </c>
      <c r="MF84">
        <v>8.1416299999999993</v>
      </c>
      <c r="MG84">
        <v>181.53456</v>
      </c>
      <c r="MH84" t="s">
        <v>114</v>
      </c>
      <c r="MI84">
        <v>8.1412849999999999</v>
      </c>
      <c r="MJ84">
        <v>13.026498</v>
      </c>
      <c r="MK84">
        <v>8.1412680000000002</v>
      </c>
      <c r="ML84" t="s">
        <v>114</v>
      </c>
      <c r="MM84">
        <v>8.4904309999999992</v>
      </c>
      <c r="MN84">
        <v>8.2544979999999999</v>
      </c>
      <c r="MO84">
        <v>8.1412530000000007</v>
      </c>
      <c r="MP84">
        <v>5.1533129999999998</v>
      </c>
      <c r="MQ84">
        <v>87.706226999999998</v>
      </c>
      <c r="MR84">
        <v>11.449725000000001</v>
      </c>
      <c r="MS84" t="s">
        <v>114</v>
      </c>
      <c r="MT84">
        <v>6.0472679999999999</v>
      </c>
      <c r="MU84">
        <v>8.1180850000000007</v>
      </c>
      <c r="MV84">
        <v>5.4869960000000004</v>
      </c>
      <c r="MW84">
        <v>6.4881060000000002</v>
      </c>
      <c r="MX84" t="s">
        <v>114</v>
      </c>
      <c r="MY84" t="s">
        <v>114</v>
      </c>
      <c r="MZ84">
        <v>8.8473050000000004</v>
      </c>
      <c r="NA84">
        <v>11.62058</v>
      </c>
      <c r="NB84" t="s">
        <v>114</v>
      </c>
      <c r="NC84">
        <v>20.136246</v>
      </c>
      <c r="ND84">
        <v>5.1538700000000004</v>
      </c>
      <c r="NE84">
        <v>15.874943999999999</v>
      </c>
      <c r="NF84" t="s">
        <v>114</v>
      </c>
      <c r="NG84">
        <v>55.753352</v>
      </c>
      <c r="NH84">
        <v>11.363495</v>
      </c>
      <c r="NI84">
        <v>7.6656750000000002</v>
      </c>
      <c r="NJ84">
        <v>5.4055090000000003</v>
      </c>
      <c r="NK84">
        <v>76.269440000000003</v>
      </c>
      <c r="NL84">
        <v>4.7078829999999998</v>
      </c>
      <c r="NM84">
        <v>12.310328</v>
      </c>
      <c r="NN84">
        <v>57.027472000000003</v>
      </c>
      <c r="NO84">
        <v>6.1010280000000003</v>
      </c>
      <c r="NP84">
        <v>4.5641389999999999</v>
      </c>
      <c r="NQ84" t="s">
        <v>114</v>
      </c>
      <c r="NR84">
        <v>7.9272629999999999</v>
      </c>
      <c r="NS84">
        <v>11.659238</v>
      </c>
      <c r="NT84">
        <v>11.677448</v>
      </c>
      <c r="NU84">
        <v>21.776402999999998</v>
      </c>
      <c r="NV84">
        <v>4.5414300000000001</v>
      </c>
      <c r="NW84">
        <v>12.826915</v>
      </c>
      <c r="NX84">
        <v>20.013658</v>
      </c>
      <c r="NY84" t="s">
        <v>114</v>
      </c>
      <c r="NZ84" t="s">
        <v>114</v>
      </c>
      <c r="OA84">
        <v>111.34614000000001</v>
      </c>
      <c r="OB84">
        <v>3.9662350000000002</v>
      </c>
      <c r="OC84">
        <v>8.1950679999999991</v>
      </c>
      <c r="OD84">
        <v>154.98787999999999</v>
      </c>
      <c r="OE84">
        <v>22.749580999999999</v>
      </c>
      <c r="OF84" t="s">
        <v>114</v>
      </c>
      <c r="OG84">
        <v>3.8819400000000002</v>
      </c>
      <c r="OH84">
        <v>3.3803999999999998</v>
      </c>
      <c r="OI84" t="s">
        <v>114</v>
      </c>
      <c r="OJ84">
        <v>4.2450109999999999</v>
      </c>
      <c r="OK84">
        <v>3.9868809999999999</v>
      </c>
      <c r="OL84">
        <v>7.4265119999999998</v>
      </c>
      <c r="OM84">
        <v>27.627844</v>
      </c>
      <c r="ON84">
        <v>7.0728759999999999</v>
      </c>
      <c r="OO84" t="s">
        <v>114</v>
      </c>
      <c r="OP84">
        <v>5.9410920000000003</v>
      </c>
      <c r="OQ84" t="s">
        <v>114</v>
      </c>
      <c r="OR84" t="s">
        <v>114</v>
      </c>
      <c r="OS84" t="s">
        <v>114</v>
      </c>
      <c r="OT84" t="s">
        <v>114</v>
      </c>
      <c r="OU84" t="s">
        <v>114</v>
      </c>
      <c r="OV84" t="s">
        <v>114</v>
      </c>
      <c r="OW84" t="s">
        <v>114</v>
      </c>
      <c r="OX84">
        <v>234.50448</v>
      </c>
      <c r="OY84" t="s">
        <v>114</v>
      </c>
      <c r="OZ84" t="s">
        <v>114</v>
      </c>
      <c r="PA84" t="s">
        <v>114</v>
      </c>
      <c r="PB84">
        <v>6.9349990000000004</v>
      </c>
      <c r="PC84">
        <v>6.416855</v>
      </c>
      <c r="PD84" t="s">
        <v>114</v>
      </c>
      <c r="PE84">
        <v>11.789498999999999</v>
      </c>
      <c r="PF84">
        <v>44.647157</v>
      </c>
      <c r="PG84">
        <v>13.099458</v>
      </c>
      <c r="PH84">
        <v>13.099529</v>
      </c>
      <c r="PI84">
        <v>54.479680000000002</v>
      </c>
      <c r="PJ84">
        <v>31.516009</v>
      </c>
      <c r="PK84">
        <v>13.746248</v>
      </c>
      <c r="PL84" t="s">
        <v>114</v>
      </c>
      <c r="PM84">
        <v>15.512511999999999</v>
      </c>
      <c r="PN84" t="s">
        <v>114</v>
      </c>
      <c r="PO84" t="s">
        <v>114</v>
      </c>
      <c r="PP84">
        <v>53.653551999999998</v>
      </c>
      <c r="PQ84">
        <v>11.350182</v>
      </c>
      <c r="PR84">
        <v>31.705795999999999</v>
      </c>
      <c r="PS84">
        <v>7.0704589999999996</v>
      </c>
      <c r="PT84">
        <v>54.984586999999998</v>
      </c>
      <c r="PU84">
        <v>7.332077</v>
      </c>
      <c r="PV84">
        <v>6.3155029999999996</v>
      </c>
      <c r="PW84">
        <v>6.9032559999999998</v>
      </c>
      <c r="PX84">
        <v>7.2428850000000002</v>
      </c>
      <c r="PY84">
        <v>14.635528000000001</v>
      </c>
      <c r="PZ84">
        <v>6.1839880000000003</v>
      </c>
      <c r="QA84">
        <v>42.012388000000001</v>
      </c>
      <c r="QB84">
        <v>15.839266</v>
      </c>
      <c r="QC84">
        <v>64.817261999999999</v>
      </c>
      <c r="QD84">
        <v>10.854547</v>
      </c>
      <c r="QE84">
        <v>14.584784000000001</v>
      </c>
      <c r="QF84">
        <v>60.023626999999998</v>
      </c>
      <c r="QG84">
        <v>6.5130889999999999</v>
      </c>
      <c r="QH84" t="s">
        <v>114</v>
      </c>
      <c r="QI84" t="s">
        <v>114</v>
      </c>
      <c r="QJ84">
        <v>6.0455540000000001</v>
      </c>
      <c r="QK84">
        <v>10.579757000000001</v>
      </c>
      <c r="QL84" t="s">
        <v>114</v>
      </c>
      <c r="QM84">
        <v>25.097283000000001</v>
      </c>
      <c r="QN84" t="s">
        <v>114</v>
      </c>
      <c r="QO84">
        <v>48.104486999999999</v>
      </c>
      <c r="QP84">
        <v>104.13587200000001</v>
      </c>
      <c r="QQ84" t="s">
        <v>114</v>
      </c>
      <c r="QR84" t="s">
        <v>114</v>
      </c>
      <c r="QS84">
        <v>13.534974999999999</v>
      </c>
      <c r="QT84" t="s">
        <v>114</v>
      </c>
      <c r="QU84" t="s">
        <v>114</v>
      </c>
      <c r="QV84">
        <v>6.2368639999999997</v>
      </c>
      <c r="QW84">
        <v>5.8664480000000001</v>
      </c>
      <c r="QX84">
        <v>153.72595999999999</v>
      </c>
      <c r="QY84">
        <v>25.611854999999998</v>
      </c>
      <c r="QZ84">
        <v>7.0530350000000004</v>
      </c>
      <c r="RA84">
        <v>6.8892429999999996</v>
      </c>
      <c r="RB84">
        <v>6.3028500000000003</v>
      </c>
      <c r="RC84">
        <v>31.183242</v>
      </c>
      <c r="RD84">
        <v>54.023671</v>
      </c>
      <c r="RE84">
        <v>6.8889760000000004</v>
      </c>
      <c r="RF84">
        <v>12.879773999999999</v>
      </c>
      <c r="RG84">
        <v>7.6943609999999998</v>
      </c>
      <c r="RH84">
        <v>33.004674000000001</v>
      </c>
      <c r="RI84">
        <v>25.61168</v>
      </c>
      <c r="RJ84">
        <v>6.8103210000000001</v>
      </c>
      <c r="RK84">
        <v>16.927309999999999</v>
      </c>
      <c r="RL84">
        <v>17.425386</v>
      </c>
      <c r="RM84">
        <v>6.3025580000000003</v>
      </c>
      <c r="RN84">
        <v>88.885959999999997</v>
      </c>
      <c r="RO84">
        <v>8.0947879999999994</v>
      </c>
      <c r="RP84" t="s">
        <v>114</v>
      </c>
      <c r="RQ84">
        <v>11.208133999999999</v>
      </c>
      <c r="RR84">
        <v>15.751663000000001</v>
      </c>
      <c r="RS84">
        <v>40.741790999999999</v>
      </c>
      <c r="RT84">
        <v>7.5689219999999997</v>
      </c>
      <c r="RU84">
        <v>34.684618999999998</v>
      </c>
      <c r="RV84">
        <v>7.5686999999999998</v>
      </c>
      <c r="RW84">
        <v>12.951077</v>
      </c>
      <c r="RX84">
        <v>130.93172000000001</v>
      </c>
      <c r="RY84">
        <v>6.4756010000000002</v>
      </c>
      <c r="RZ84">
        <v>8.570411</v>
      </c>
      <c r="SA84">
        <v>47.60145</v>
      </c>
      <c r="SB84">
        <v>57.602096000000003</v>
      </c>
      <c r="SC84">
        <v>14.569713999999999</v>
      </c>
      <c r="SD84">
        <v>7.8652699999999998</v>
      </c>
      <c r="SE84">
        <v>4.5375290000000001</v>
      </c>
      <c r="SF84">
        <v>10.104143000000001</v>
      </c>
      <c r="SG84">
        <v>5.74559</v>
      </c>
      <c r="SH84">
        <v>147.18711999999999</v>
      </c>
      <c r="SI84">
        <v>4.7176299999999998</v>
      </c>
      <c r="SJ84">
        <v>162.05688000000001</v>
      </c>
      <c r="SK84" t="s">
        <v>114</v>
      </c>
      <c r="SL84" t="s">
        <v>114</v>
      </c>
      <c r="SM84" t="s">
        <v>114</v>
      </c>
      <c r="SN84">
        <v>5.5553299999999997</v>
      </c>
      <c r="SO84" t="s">
        <v>114</v>
      </c>
      <c r="SP84">
        <v>48.820355999999997</v>
      </c>
      <c r="SQ84" t="s">
        <v>114</v>
      </c>
      <c r="SR84">
        <v>7.9256140000000004</v>
      </c>
      <c r="SS84">
        <v>6.3236090000000003</v>
      </c>
      <c r="ST84">
        <v>41.211328999999999</v>
      </c>
      <c r="SU84">
        <v>5.4539119999999999</v>
      </c>
      <c r="SV84" t="s">
        <v>114</v>
      </c>
      <c r="SW84">
        <v>5.4540280000000001</v>
      </c>
      <c r="SX84" t="s">
        <v>114</v>
      </c>
      <c r="SY84">
        <v>8.2566079999999999</v>
      </c>
      <c r="SZ84">
        <v>9.5890079999999998</v>
      </c>
      <c r="TA84">
        <v>5.2612589999999999</v>
      </c>
      <c r="TB84">
        <v>10.172396000000001</v>
      </c>
      <c r="TC84">
        <v>5.260891</v>
      </c>
      <c r="TD84">
        <v>5.2147709999999998</v>
      </c>
      <c r="TE84">
        <v>6.3922489999999996</v>
      </c>
      <c r="TF84">
        <v>9.359553</v>
      </c>
      <c r="TG84">
        <v>29.204418</v>
      </c>
      <c r="TH84">
        <v>7.0770809999999997</v>
      </c>
      <c r="TI84">
        <v>11.793714</v>
      </c>
      <c r="TJ84" t="s">
        <v>114</v>
      </c>
      <c r="TK84">
        <v>12.077804</v>
      </c>
      <c r="TL84" t="s">
        <v>114</v>
      </c>
      <c r="TM84" t="s">
        <v>114</v>
      </c>
      <c r="TN84">
        <v>5.859362</v>
      </c>
      <c r="TO84" t="s">
        <v>114</v>
      </c>
      <c r="TP84">
        <v>14.618684999999999</v>
      </c>
      <c r="TQ84">
        <v>6.8813930000000001</v>
      </c>
      <c r="TR84">
        <v>32.164710999999997</v>
      </c>
      <c r="TS84">
        <v>65.136568999999994</v>
      </c>
      <c r="TT84" t="s">
        <v>114</v>
      </c>
      <c r="TU84" t="s">
        <v>114</v>
      </c>
      <c r="TV84">
        <v>12.861629000000001</v>
      </c>
      <c r="TW84">
        <v>67.813946999999999</v>
      </c>
      <c r="TX84">
        <v>4.0023619999999998</v>
      </c>
      <c r="TY84" t="s">
        <v>114</v>
      </c>
      <c r="TZ84">
        <v>8.2771360000000005</v>
      </c>
      <c r="UA84">
        <v>7.3514499999999998</v>
      </c>
      <c r="UB84">
        <v>9.6219350000000006</v>
      </c>
      <c r="UC84" t="s">
        <v>114</v>
      </c>
      <c r="UD84">
        <v>9.1897990000000007</v>
      </c>
      <c r="UE84">
        <v>8.7392719999999997</v>
      </c>
      <c r="UF84">
        <v>12.683636</v>
      </c>
      <c r="UG84">
        <v>16.911529999999999</v>
      </c>
      <c r="UH84" t="s">
        <v>114</v>
      </c>
      <c r="UI84">
        <v>8.8021320000000003</v>
      </c>
      <c r="UJ84">
        <v>8.8020289999999992</v>
      </c>
      <c r="UK84">
        <v>15.082995</v>
      </c>
      <c r="UL84">
        <v>7.1760060000000001</v>
      </c>
      <c r="UM84" t="s">
        <v>114</v>
      </c>
      <c r="UN84" t="s">
        <v>114</v>
      </c>
      <c r="UO84" t="s">
        <v>114</v>
      </c>
      <c r="UP84">
        <v>8.5416690000000006</v>
      </c>
      <c r="UQ84" t="s">
        <v>114</v>
      </c>
      <c r="UR84">
        <v>6.4253450000000001</v>
      </c>
      <c r="US84">
        <v>6.5667210000000003</v>
      </c>
      <c r="UT84">
        <v>13.866291</v>
      </c>
      <c r="UU84">
        <v>7.5757029999999999</v>
      </c>
      <c r="UV84">
        <v>10.187974000000001</v>
      </c>
      <c r="UW84" t="s">
        <v>114</v>
      </c>
      <c r="UX84">
        <v>6.495393</v>
      </c>
      <c r="UY84">
        <v>7.1197049999999997</v>
      </c>
      <c r="UZ84" t="s">
        <v>114</v>
      </c>
      <c r="VA84">
        <v>6.4255170000000001</v>
      </c>
      <c r="VB84">
        <v>84.278639999999996</v>
      </c>
      <c r="VC84" t="s">
        <v>114</v>
      </c>
      <c r="VD84">
        <v>59.025599999999997</v>
      </c>
      <c r="VE84">
        <v>6.9523529999999996</v>
      </c>
      <c r="VF84">
        <v>5.3379649999999996</v>
      </c>
      <c r="VG84">
        <v>16.952919999999999</v>
      </c>
      <c r="VH84">
        <v>16.458167</v>
      </c>
      <c r="VI84" t="s">
        <v>114</v>
      </c>
      <c r="VJ84" t="s">
        <v>114</v>
      </c>
      <c r="VK84" t="s">
        <v>114</v>
      </c>
      <c r="VL84" t="s">
        <v>114</v>
      </c>
      <c r="VM84" t="s">
        <v>114</v>
      </c>
      <c r="VN84">
        <v>289.46480000000003</v>
      </c>
      <c r="VO84">
        <v>5.8091609999999996</v>
      </c>
      <c r="VP84">
        <v>10.580776</v>
      </c>
      <c r="VQ84">
        <v>14.388142</v>
      </c>
      <c r="VR84">
        <v>22.047322999999999</v>
      </c>
      <c r="VS84">
        <v>29.175132000000001</v>
      </c>
      <c r="VT84" t="s">
        <v>114</v>
      </c>
      <c r="VU84">
        <v>18.704837000000001</v>
      </c>
      <c r="VV84" t="s">
        <v>114</v>
      </c>
      <c r="VW84" t="s">
        <v>114</v>
      </c>
      <c r="VX84" t="s">
        <v>114</v>
      </c>
      <c r="VY84">
        <v>6.3705939999999996</v>
      </c>
      <c r="VZ84">
        <v>5.6405120000000002</v>
      </c>
      <c r="WA84" t="s">
        <v>114</v>
      </c>
      <c r="WB84" t="s">
        <v>114</v>
      </c>
      <c r="WC84" t="s">
        <v>114</v>
      </c>
      <c r="WD84">
        <v>35.207723999999999</v>
      </c>
      <c r="WE84">
        <v>16.597021000000002</v>
      </c>
      <c r="WF84">
        <v>8.2475140000000007</v>
      </c>
      <c r="WG84">
        <v>22.177935999999999</v>
      </c>
      <c r="WH84" t="s">
        <v>114</v>
      </c>
      <c r="WI84">
        <v>9.944248</v>
      </c>
      <c r="WJ84">
        <v>41.686343999999998</v>
      </c>
      <c r="WK84">
        <v>6.438809</v>
      </c>
      <c r="WL84" t="s">
        <v>114</v>
      </c>
      <c r="WM84">
        <v>15.158566</v>
      </c>
      <c r="WN84">
        <v>8.3272150000000007</v>
      </c>
      <c r="WO84">
        <v>9.8534670000000002</v>
      </c>
      <c r="WP84">
        <v>9.0958559999999995</v>
      </c>
      <c r="WQ84">
        <v>9.6924849999999996</v>
      </c>
      <c r="WR84" t="s">
        <v>114</v>
      </c>
      <c r="WS84">
        <v>6.5692740000000001</v>
      </c>
      <c r="WT84" t="s">
        <v>114</v>
      </c>
      <c r="WU84">
        <v>27.35904</v>
      </c>
      <c r="WV84" t="s">
        <v>114</v>
      </c>
      <c r="WW84">
        <v>27.420207999999999</v>
      </c>
      <c r="WX84">
        <v>163.35272000000001</v>
      </c>
      <c r="WY84" t="s">
        <v>114</v>
      </c>
      <c r="WZ84">
        <v>92.429360000000003</v>
      </c>
      <c r="XA84">
        <v>26.419938999999999</v>
      </c>
      <c r="XB84" t="s">
        <v>114</v>
      </c>
      <c r="XC84">
        <v>59.362651</v>
      </c>
      <c r="XD84">
        <v>146.148933</v>
      </c>
      <c r="XE84">
        <v>7.7527359999999996</v>
      </c>
      <c r="XF84" t="s">
        <v>114</v>
      </c>
      <c r="XG84">
        <v>7.5536390000000004</v>
      </c>
      <c r="XH84">
        <v>5.1188159999999998</v>
      </c>
      <c r="XI84" t="s">
        <v>114</v>
      </c>
      <c r="XJ84">
        <v>134.316</v>
      </c>
      <c r="XK84">
        <v>7.6516359999999999</v>
      </c>
      <c r="XL84">
        <v>22.474661999999999</v>
      </c>
      <c r="XM84">
        <v>4.1235109999999997</v>
      </c>
      <c r="XN84">
        <v>6.5972860000000004</v>
      </c>
      <c r="XO84" t="s">
        <v>114</v>
      </c>
      <c r="XP84" t="s">
        <v>114</v>
      </c>
      <c r="XQ84" t="s">
        <v>114</v>
      </c>
      <c r="XR84">
        <v>48.882959999999997</v>
      </c>
      <c r="XS84">
        <v>11.211135000000001</v>
      </c>
      <c r="XT84">
        <v>4.5366080000000002</v>
      </c>
      <c r="XU84" t="s">
        <v>114</v>
      </c>
      <c r="XV84" t="s">
        <v>114</v>
      </c>
      <c r="XW84" t="s">
        <v>114</v>
      </c>
      <c r="XX84">
        <v>11.783626</v>
      </c>
      <c r="XY84">
        <v>10.629222</v>
      </c>
      <c r="XZ84">
        <v>21.645828000000002</v>
      </c>
      <c r="YA84">
        <v>61.413271000000002</v>
      </c>
      <c r="YB84">
        <v>21.196147</v>
      </c>
      <c r="YC84">
        <v>5.4551449999999999</v>
      </c>
      <c r="YD84" t="s">
        <v>114</v>
      </c>
      <c r="YE84">
        <v>14.894844000000001</v>
      </c>
      <c r="YF84" t="s">
        <v>114</v>
      </c>
      <c r="YG84">
        <v>4.8690759999999997</v>
      </c>
      <c r="YH84" t="s">
        <v>114</v>
      </c>
      <c r="YI84" t="s">
        <v>114</v>
      </c>
      <c r="YJ84">
        <v>5.3336759999999996</v>
      </c>
      <c r="YK84">
        <v>5.1945680000000003</v>
      </c>
      <c r="YL84">
        <v>6.0956429999999999</v>
      </c>
      <c r="YM84">
        <v>6.0340730000000002</v>
      </c>
      <c r="YN84" t="s">
        <v>114</v>
      </c>
      <c r="YO84" t="s">
        <v>114</v>
      </c>
      <c r="YP84">
        <v>225.55887999999999</v>
      </c>
      <c r="YQ84">
        <v>4.817571</v>
      </c>
      <c r="YR84">
        <v>9.6352890000000002</v>
      </c>
      <c r="YS84">
        <v>31.342226</v>
      </c>
      <c r="YT84" t="s">
        <v>114</v>
      </c>
      <c r="YU84">
        <v>5.5830060000000001</v>
      </c>
      <c r="YV84">
        <v>5.6894349999999996</v>
      </c>
      <c r="YW84" t="s">
        <v>114</v>
      </c>
      <c r="YX84" t="s">
        <v>114</v>
      </c>
      <c r="YY84">
        <v>328.58519999999999</v>
      </c>
      <c r="YZ84">
        <v>15.335917999999999</v>
      </c>
      <c r="ZA84">
        <v>5.1255499999999996</v>
      </c>
      <c r="ZB84" t="s">
        <v>114</v>
      </c>
      <c r="ZC84">
        <v>7.0751730000000004</v>
      </c>
      <c r="ZD84">
        <v>4.5327599999999997</v>
      </c>
      <c r="ZE84">
        <v>4.3366619999999996</v>
      </c>
      <c r="ZF84" t="s">
        <v>114</v>
      </c>
      <c r="ZG84">
        <v>13.135786</v>
      </c>
      <c r="ZH84">
        <v>22.653403000000001</v>
      </c>
      <c r="ZI84">
        <v>116.87754</v>
      </c>
      <c r="ZJ84">
        <v>32.868118000000003</v>
      </c>
      <c r="ZK84" t="s">
        <v>114</v>
      </c>
      <c r="ZL84">
        <v>72.018125999999995</v>
      </c>
      <c r="ZM84">
        <v>25.887992000000001</v>
      </c>
      <c r="ZN84">
        <v>36.070245999999997</v>
      </c>
      <c r="ZO84">
        <v>421.02823999999998</v>
      </c>
      <c r="ZP84" t="s">
        <v>114</v>
      </c>
      <c r="ZQ84" t="s">
        <v>114</v>
      </c>
      <c r="ZR84" t="s">
        <v>114</v>
      </c>
      <c r="ZS84" t="s">
        <v>114</v>
      </c>
      <c r="ZT84" t="s">
        <v>114</v>
      </c>
      <c r="ZU84" t="s">
        <v>114</v>
      </c>
      <c r="ZV84">
        <v>9.2885159999999996</v>
      </c>
      <c r="ZW84" t="s">
        <v>114</v>
      </c>
      <c r="ZX84">
        <v>152.01562699999999</v>
      </c>
      <c r="ZY84">
        <v>15.436882000000001</v>
      </c>
      <c r="ZZ84">
        <v>25.931287999999999</v>
      </c>
      <c r="AAA84">
        <v>5.8546079999999998</v>
      </c>
      <c r="AAB84">
        <v>25.372145</v>
      </c>
      <c r="AAC84">
        <v>38.895513999999999</v>
      </c>
      <c r="AAD84">
        <v>5.0195040000000004</v>
      </c>
      <c r="AAE84">
        <v>44.827353000000002</v>
      </c>
      <c r="AAF84">
        <v>62.757289999999998</v>
      </c>
      <c r="AAG84">
        <v>37.713977</v>
      </c>
      <c r="AAH84" t="s">
        <v>114</v>
      </c>
      <c r="AAI84" t="s">
        <v>114</v>
      </c>
      <c r="AAJ84" t="s">
        <v>114</v>
      </c>
      <c r="AAK84" t="s">
        <v>114</v>
      </c>
      <c r="AAL84" t="s">
        <v>114</v>
      </c>
      <c r="AAM84">
        <v>15.726856</v>
      </c>
      <c r="AAN84">
        <v>6.9212360000000004</v>
      </c>
      <c r="AAO84">
        <v>40.426831</v>
      </c>
      <c r="AAP84" t="s">
        <v>114</v>
      </c>
      <c r="AAQ84">
        <v>17.499758</v>
      </c>
      <c r="AAR84">
        <v>19.087534000000002</v>
      </c>
      <c r="AAS84" t="s">
        <v>114</v>
      </c>
      <c r="AAT84">
        <v>137.34244000000001</v>
      </c>
      <c r="AAU84">
        <v>284.11295999999999</v>
      </c>
      <c r="AAV84" t="s">
        <v>114</v>
      </c>
      <c r="AAW84">
        <v>12.186302</v>
      </c>
      <c r="AAX84" t="s">
        <v>114</v>
      </c>
      <c r="AAY84" t="s">
        <v>114</v>
      </c>
      <c r="AAZ84" t="s">
        <v>114</v>
      </c>
      <c r="ABA84">
        <v>5.2842570000000002</v>
      </c>
      <c r="ABB84">
        <v>17.562536000000001</v>
      </c>
      <c r="ABC84">
        <v>5.2842190000000002</v>
      </c>
      <c r="ABD84" t="s">
        <v>114</v>
      </c>
      <c r="ABE84">
        <v>11.266418</v>
      </c>
      <c r="ABF84" t="s">
        <v>114</v>
      </c>
      <c r="ABG84">
        <v>5.4283780000000004</v>
      </c>
      <c r="ABH84">
        <v>6.352373</v>
      </c>
      <c r="ABI84" t="s">
        <v>114</v>
      </c>
      <c r="ABJ84">
        <v>23.568345999999998</v>
      </c>
      <c r="ABK84">
        <v>7.5667169999999997</v>
      </c>
      <c r="ABL84" t="s">
        <v>114</v>
      </c>
      <c r="ABM84">
        <v>5.8600390000000004</v>
      </c>
      <c r="ABN84" t="s">
        <v>114</v>
      </c>
      <c r="ABO84" t="s">
        <v>114</v>
      </c>
      <c r="ABP84">
        <v>169.31322700000001</v>
      </c>
      <c r="ABQ84" t="s">
        <v>114</v>
      </c>
      <c r="ABR84">
        <v>20.162277</v>
      </c>
      <c r="ABS84">
        <v>4.7066439999999998</v>
      </c>
      <c r="ABT84" t="s">
        <v>114</v>
      </c>
      <c r="ABU84" t="s">
        <v>114</v>
      </c>
      <c r="ABV84" t="s">
        <v>114</v>
      </c>
      <c r="ABW84" t="s">
        <v>114</v>
      </c>
      <c r="ABX84" t="s">
        <v>114</v>
      </c>
      <c r="ABY84" t="s">
        <v>114</v>
      </c>
      <c r="ABZ84">
        <v>3.508966</v>
      </c>
      <c r="ACA84">
        <v>5.6137600000000001</v>
      </c>
      <c r="ACB84" t="s">
        <v>114</v>
      </c>
      <c r="ACC84">
        <v>6.5568559999999998</v>
      </c>
      <c r="ACD84" t="s">
        <v>114</v>
      </c>
      <c r="ACE84" t="s">
        <v>114</v>
      </c>
      <c r="ACF84" t="s">
        <v>114</v>
      </c>
      <c r="ACG84" t="s">
        <v>114</v>
      </c>
      <c r="ACH84" t="s">
        <v>114</v>
      </c>
      <c r="ACI84" t="s">
        <v>114</v>
      </c>
      <c r="ACJ84" t="s">
        <v>114</v>
      </c>
      <c r="ACK84">
        <v>4.9963749999999996</v>
      </c>
      <c r="ACL84">
        <v>3.904461</v>
      </c>
      <c r="ACM84" t="s">
        <v>114</v>
      </c>
      <c r="ACN84">
        <v>57.728189999999998</v>
      </c>
      <c r="ACO84">
        <v>6.2721869999999997</v>
      </c>
    </row>
    <row r="85" spans="1:769" x14ac:dyDescent="0.25">
      <c r="A85" t="s">
        <v>892</v>
      </c>
      <c r="B85" t="s">
        <v>114</v>
      </c>
      <c r="C85" t="s">
        <v>114</v>
      </c>
      <c r="D85">
        <v>0.25166699999999997</v>
      </c>
      <c r="E85" t="s">
        <v>114</v>
      </c>
      <c r="F85">
        <v>0.22833300000000001</v>
      </c>
      <c r="G85">
        <v>0.23833299999999999</v>
      </c>
      <c r="H85">
        <v>0.108333</v>
      </c>
      <c r="I85">
        <v>4.3333000000000003E-2</v>
      </c>
      <c r="J85" t="s">
        <v>114</v>
      </c>
      <c r="K85">
        <v>5.3332999999999998E-2</v>
      </c>
      <c r="L85" t="s">
        <v>114</v>
      </c>
      <c r="M85">
        <v>0.19833300000000001</v>
      </c>
      <c r="N85" t="s">
        <v>114</v>
      </c>
      <c r="O85">
        <v>0.191667</v>
      </c>
      <c r="P85">
        <v>0.106667</v>
      </c>
      <c r="Q85" t="s">
        <v>114</v>
      </c>
      <c r="R85">
        <v>1.1667E-2</v>
      </c>
      <c r="S85">
        <v>8.3330000000000001E-3</v>
      </c>
      <c r="T85">
        <v>3.1667000000000001E-2</v>
      </c>
      <c r="U85">
        <v>0.21333299999999999</v>
      </c>
      <c r="V85">
        <v>0.06</v>
      </c>
      <c r="W85" t="s">
        <v>114</v>
      </c>
      <c r="X85">
        <v>0.14833299999999999</v>
      </c>
      <c r="Y85">
        <v>2.3333E-2</v>
      </c>
      <c r="Z85" t="s">
        <v>114</v>
      </c>
      <c r="AA85">
        <v>0.22500000000000001</v>
      </c>
      <c r="AB85">
        <v>0.17333299999999999</v>
      </c>
      <c r="AC85">
        <v>0.181667</v>
      </c>
      <c r="AD85" t="s">
        <v>114</v>
      </c>
      <c r="AE85">
        <v>0.23166700000000001</v>
      </c>
      <c r="AF85">
        <v>1.4999999999999999E-2</v>
      </c>
      <c r="AG85">
        <v>9.8333000000000004E-2</v>
      </c>
      <c r="AH85">
        <v>4.3333000000000003E-2</v>
      </c>
      <c r="AI85">
        <v>0.16666700000000001</v>
      </c>
      <c r="AJ85">
        <v>0.22666700000000001</v>
      </c>
      <c r="AK85">
        <v>5.3332999999999998E-2</v>
      </c>
      <c r="AL85">
        <v>0.216667</v>
      </c>
      <c r="AM85">
        <v>4.3333000000000003E-2</v>
      </c>
      <c r="AN85">
        <v>0.13500000000000001</v>
      </c>
      <c r="AO85">
        <v>0.22500000000000001</v>
      </c>
      <c r="AP85">
        <v>0.121667</v>
      </c>
      <c r="AQ85">
        <v>4.1667000000000003E-2</v>
      </c>
      <c r="AR85">
        <v>0.22833300000000001</v>
      </c>
      <c r="AS85">
        <v>0.191667</v>
      </c>
      <c r="AT85">
        <v>1.6670000000000001E-3</v>
      </c>
      <c r="AU85">
        <v>6.1667E-2</v>
      </c>
      <c r="AV85">
        <v>3.333E-3</v>
      </c>
      <c r="AW85">
        <v>0.20499999999999999</v>
      </c>
      <c r="AX85">
        <v>0.218333</v>
      </c>
      <c r="AY85">
        <v>2.1666999999999999E-2</v>
      </c>
      <c r="AZ85">
        <v>0.17166699999999999</v>
      </c>
      <c r="BA85">
        <v>0.19833300000000001</v>
      </c>
      <c r="BB85">
        <v>1.8332999999999999E-2</v>
      </c>
      <c r="BC85" t="s">
        <v>114</v>
      </c>
      <c r="BD85">
        <v>9.6667000000000003E-2</v>
      </c>
      <c r="BE85">
        <v>0.23</v>
      </c>
      <c r="BF85">
        <v>0.2</v>
      </c>
      <c r="BG85">
        <v>0.08</v>
      </c>
      <c r="BH85">
        <v>0.04</v>
      </c>
      <c r="BI85">
        <v>0.13</v>
      </c>
      <c r="BJ85">
        <v>0.20666699999999999</v>
      </c>
      <c r="BK85">
        <v>0.15</v>
      </c>
      <c r="BL85">
        <v>1.3332999999999999E-2</v>
      </c>
      <c r="BM85">
        <v>0.21333299999999999</v>
      </c>
      <c r="BN85">
        <v>5.0000000000000001E-3</v>
      </c>
      <c r="BO85" t="s">
        <v>114</v>
      </c>
      <c r="BP85">
        <v>7.6666999999999999E-2</v>
      </c>
      <c r="BQ85">
        <v>0.111667</v>
      </c>
      <c r="BR85" t="s">
        <v>114</v>
      </c>
      <c r="BS85">
        <v>0.121667</v>
      </c>
      <c r="BT85">
        <v>6.8333000000000005E-2</v>
      </c>
      <c r="BU85" t="s">
        <v>114</v>
      </c>
      <c r="BV85">
        <v>6.1667E-2</v>
      </c>
      <c r="BW85">
        <v>0.11</v>
      </c>
      <c r="BX85">
        <v>1.6670000000000001E-3</v>
      </c>
      <c r="BY85">
        <v>5.0000000000000001E-3</v>
      </c>
      <c r="BZ85">
        <v>0.09</v>
      </c>
      <c r="CA85">
        <v>1.3332999999999999E-2</v>
      </c>
      <c r="CB85">
        <v>1.6670000000000001E-3</v>
      </c>
      <c r="CC85">
        <v>7.1666999999999995E-2</v>
      </c>
      <c r="CD85">
        <v>4.4999999999999998E-2</v>
      </c>
      <c r="CE85">
        <v>7.0000000000000007E-2</v>
      </c>
      <c r="CF85">
        <v>4.4999999999999998E-2</v>
      </c>
      <c r="CG85">
        <v>0.106667</v>
      </c>
      <c r="CH85" t="s">
        <v>114</v>
      </c>
      <c r="CI85">
        <v>8.8332999999999995E-2</v>
      </c>
      <c r="CJ85">
        <v>0.14333299999999999</v>
      </c>
      <c r="CK85">
        <v>5.0000000000000001E-3</v>
      </c>
      <c r="CL85">
        <v>0.13</v>
      </c>
      <c r="CM85">
        <v>9.3332999999999999E-2</v>
      </c>
      <c r="CN85">
        <v>1.6667000000000001E-2</v>
      </c>
      <c r="CO85">
        <v>0.105</v>
      </c>
      <c r="CP85">
        <v>0.14166699999999999</v>
      </c>
      <c r="CQ85">
        <v>7.3332999999999995E-2</v>
      </c>
      <c r="CR85">
        <v>0.113333</v>
      </c>
      <c r="CS85">
        <v>8.5000000000000006E-2</v>
      </c>
      <c r="CT85" t="s">
        <v>114</v>
      </c>
      <c r="CU85">
        <v>0.105</v>
      </c>
      <c r="CV85">
        <v>0.11</v>
      </c>
      <c r="CW85">
        <v>8.5000000000000006E-2</v>
      </c>
      <c r="CX85">
        <v>0.106667</v>
      </c>
      <c r="CY85">
        <v>7.0000000000000007E-2</v>
      </c>
      <c r="CZ85">
        <v>0.106667</v>
      </c>
      <c r="DA85">
        <v>3.333E-3</v>
      </c>
      <c r="DB85">
        <v>0.10166699999999999</v>
      </c>
      <c r="DC85">
        <v>0.106667</v>
      </c>
      <c r="DD85">
        <v>0.10333299999999999</v>
      </c>
      <c r="DE85">
        <v>6.6667000000000004E-2</v>
      </c>
      <c r="DF85">
        <v>0.108333</v>
      </c>
      <c r="DG85">
        <v>8.6666999999999994E-2</v>
      </c>
      <c r="DH85">
        <v>9.8333000000000004E-2</v>
      </c>
      <c r="DI85">
        <v>0.11</v>
      </c>
      <c r="DJ85">
        <v>9.3332999999999999E-2</v>
      </c>
      <c r="DK85">
        <v>6.6670000000000002E-3</v>
      </c>
      <c r="DL85">
        <v>0.17666699999999999</v>
      </c>
      <c r="DM85">
        <v>0.14833299999999999</v>
      </c>
      <c r="DN85">
        <v>4.1667000000000003E-2</v>
      </c>
      <c r="DO85">
        <v>0.13166700000000001</v>
      </c>
      <c r="DP85">
        <v>0.108333</v>
      </c>
      <c r="DQ85">
        <v>0.158333</v>
      </c>
      <c r="DR85">
        <v>0.17166699999999999</v>
      </c>
      <c r="DS85">
        <v>0.23499999999999999</v>
      </c>
      <c r="DT85">
        <v>5.0000000000000001E-3</v>
      </c>
      <c r="DU85">
        <v>0.153333</v>
      </c>
      <c r="DV85" t="s">
        <v>114</v>
      </c>
      <c r="DW85" t="s">
        <v>114</v>
      </c>
      <c r="DX85">
        <v>0.14666699999999999</v>
      </c>
      <c r="DY85">
        <v>0.11666700000000001</v>
      </c>
      <c r="DZ85">
        <v>0.115</v>
      </c>
      <c r="EA85">
        <v>0.25833299999999998</v>
      </c>
      <c r="EB85" t="s">
        <v>114</v>
      </c>
      <c r="EC85">
        <v>6.6670000000000002E-3</v>
      </c>
      <c r="ED85" t="s">
        <v>114</v>
      </c>
      <c r="EE85">
        <v>7.0000000000000007E-2</v>
      </c>
      <c r="EF85">
        <v>0.121667</v>
      </c>
      <c r="EG85">
        <v>0.23333300000000001</v>
      </c>
      <c r="EH85">
        <v>5.0000000000000001E-3</v>
      </c>
      <c r="EI85">
        <v>0.22666700000000001</v>
      </c>
      <c r="EJ85">
        <v>1.6667000000000001E-2</v>
      </c>
      <c r="EK85">
        <v>1.4999999999999999E-2</v>
      </c>
      <c r="EL85">
        <v>9.3332999999999999E-2</v>
      </c>
      <c r="EM85">
        <v>0.191667</v>
      </c>
      <c r="EN85">
        <v>1.1667E-2</v>
      </c>
      <c r="EO85" t="s">
        <v>114</v>
      </c>
      <c r="EP85">
        <v>9.8333000000000004E-2</v>
      </c>
      <c r="EQ85">
        <v>9.5000000000000001E-2</v>
      </c>
      <c r="ER85">
        <v>9.1666999999999998E-2</v>
      </c>
      <c r="ES85">
        <v>3.6666999999999998E-2</v>
      </c>
      <c r="ET85">
        <v>1.4999999999999999E-2</v>
      </c>
      <c r="EU85">
        <v>0.108333</v>
      </c>
      <c r="EV85" t="s">
        <v>114</v>
      </c>
      <c r="EW85">
        <v>0.03</v>
      </c>
      <c r="EX85">
        <v>6.8333000000000005E-2</v>
      </c>
      <c r="EY85">
        <v>6.6670000000000002E-3</v>
      </c>
      <c r="EZ85">
        <v>0.02</v>
      </c>
      <c r="FA85">
        <v>0.11666700000000001</v>
      </c>
      <c r="FB85" t="s">
        <v>114</v>
      </c>
      <c r="FC85">
        <v>3.6666999999999998E-2</v>
      </c>
      <c r="FD85" t="s">
        <v>114</v>
      </c>
      <c r="FE85" t="s">
        <v>114</v>
      </c>
      <c r="FF85">
        <v>7.8333E-2</v>
      </c>
      <c r="FG85">
        <v>8.5000000000000006E-2</v>
      </c>
      <c r="FH85">
        <v>9.1666999999999998E-2</v>
      </c>
      <c r="FI85">
        <v>8.3330000000000001E-3</v>
      </c>
      <c r="FJ85">
        <v>6.8333000000000005E-2</v>
      </c>
      <c r="FK85">
        <v>7.6666999999999999E-2</v>
      </c>
      <c r="FL85">
        <v>8.6666999999999994E-2</v>
      </c>
      <c r="FM85">
        <v>6.5000000000000002E-2</v>
      </c>
      <c r="FN85" t="s">
        <v>114</v>
      </c>
      <c r="FO85" t="s">
        <v>114</v>
      </c>
      <c r="FP85">
        <v>8.8332999999999995E-2</v>
      </c>
      <c r="FQ85">
        <v>3.5000000000000003E-2</v>
      </c>
      <c r="FR85">
        <v>0.09</v>
      </c>
      <c r="FS85">
        <v>9.3332999999999999E-2</v>
      </c>
      <c r="FT85">
        <v>3.3333000000000002E-2</v>
      </c>
      <c r="FU85">
        <v>6.6667000000000004E-2</v>
      </c>
      <c r="FV85">
        <v>0.126667</v>
      </c>
      <c r="FW85">
        <v>8.5000000000000006E-2</v>
      </c>
      <c r="FX85">
        <v>0.108333</v>
      </c>
      <c r="FY85">
        <v>8.6666999999999994E-2</v>
      </c>
      <c r="FZ85">
        <v>0.158333</v>
      </c>
      <c r="GA85">
        <v>8.5000000000000006E-2</v>
      </c>
      <c r="GB85">
        <v>2.5000000000000001E-2</v>
      </c>
      <c r="GC85">
        <v>0.1</v>
      </c>
      <c r="GD85">
        <v>0.183333</v>
      </c>
      <c r="GE85">
        <v>0.17833299999999999</v>
      </c>
      <c r="GF85">
        <v>3.5000000000000003E-2</v>
      </c>
      <c r="GG85">
        <v>1.8332999999999999E-2</v>
      </c>
      <c r="GH85">
        <v>0.13</v>
      </c>
      <c r="GI85" t="s">
        <v>114</v>
      </c>
      <c r="GJ85">
        <v>6.8333000000000005E-2</v>
      </c>
      <c r="GK85">
        <v>7.3332999999999995E-2</v>
      </c>
      <c r="GL85">
        <v>1.6670000000000001E-3</v>
      </c>
      <c r="GM85" t="s">
        <v>114</v>
      </c>
      <c r="GN85">
        <v>4.4999999999999998E-2</v>
      </c>
      <c r="GO85" t="s">
        <v>114</v>
      </c>
      <c r="GP85">
        <v>0.13833300000000001</v>
      </c>
      <c r="GQ85">
        <v>0.13666700000000001</v>
      </c>
      <c r="GR85">
        <v>6.8333000000000005E-2</v>
      </c>
      <c r="GS85">
        <v>6.6670000000000002E-3</v>
      </c>
      <c r="GT85">
        <v>8.6666999999999994E-2</v>
      </c>
      <c r="GU85" t="s">
        <v>114</v>
      </c>
      <c r="GV85">
        <v>4.4999999999999998E-2</v>
      </c>
      <c r="GW85" t="s">
        <v>114</v>
      </c>
      <c r="GX85">
        <v>9.6667000000000003E-2</v>
      </c>
      <c r="GY85">
        <v>0.06</v>
      </c>
      <c r="GZ85">
        <v>0.14333299999999999</v>
      </c>
      <c r="HA85">
        <v>6.5000000000000002E-2</v>
      </c>
      <c r="HB85">
        <v>0.12</v>
      </c>
      <c r="HC85">
        <v>5.8333000000000003E-2</v>
      </c>
      <c r="HD85">
        <v>9.6667000000000003E-2</v>
      </c>
      <c r="HE85">
        <v>6.6670000000000002E-3</v>
      </c>
      <c r="HF85" t="s">
        <v>114</v>
      </c>
      <c r="HG85">
        <v>0.14833299999999999</v>
      </c>
      <c r="HH85">
        <v>0.14166699999999999</v>
      </c>
      <c r="HI85">
        <v>0.06</v>
      </c>
      <c r="HJ85">
        <v>0.14333299999999999</v>
      </c>
      <c r="HK85">
        <v>6.3333E-2</v>
      </c>
      <c r="HL85">
        <v>6.5000000000000002E-2</v>
      </c>
      <c r="HM85">
        <v>3.333E-3</v>
      </c>
      <c r="HN85">
        <v>5.1666999999999998E-2</v>
      </c>
      <c r="HO85">
        <v>0.15</v>
      </c>
      <c r="HP85">
        <v>1.6670000000000001E-3</v>
      </c>
      <c r="HQ85">
        <v>0.06</v>
      </c>
      <c r="HR85">
        <v>2.1666999999999999E-2</v>
      </c>
      <c r="HS85">
        <v>3.333E-3</v>
      </c>
      <c r="HT85">
        <v>0.18</v>
      </c>
      <c r="HU85">
        <v>0.13333300000000001</v>
      </c>
      <c r="HV85" t="s">
        <v>114</v>
      </c>
      <c r="HW85" t="s">
        <v>114</v>
      </c>
      <c r="HX85">
        <v>0.17499999999999999</v>
      </c>
      <c r="HY85">
        <v>0.19833300000000001</v>
      </c>
      <c r="HZ85">
        <v>0.106667</v>
      </c>
      <c r="IA85">
        <v>8.3330000000000001E-3</v>
      </c>
      <c r="IB85" t="s">
        <v>114</v>
      </c>
      <c r="IC85" t="s">
        <v>114</v>
      </c>
      <c r="ID85" t="s">
        <v>114</v>
      </c>
      <c r="IE85">
        <v>0.188333</v>
      </c>
      <c r="IF85">
        <v>7.1666999999999995E-2</v>
      </c>
      <c r="IG85" t="s">
        <v>114</v>
      </c>
      <c r="IH85">
        <v>0.10333299999999999</v>
      </c>
      <c r="II85" t="s">
        <v>114</v>
      </c>
      <c r="IJ85">
        <v>0.216667</v>
      </c>
      <c r="IK85" t="s">
        <v>114</v>
      </c>
      <c r="IL85" t="s">
        <v>114</v>
      </c>
      <c r="IM85" t="s">
        <v>114</v>
      </c>
      <c r="IN85">
        <v>0.221667</v>
      </c>
      <c r="IO85">
        <v>0.215</v>
      </c>
      <c r="IP85">
        <v>0.223333</v>
      </c>
      <c r="IQ85" t="s">
        <v>114</v>
      </c>
      <c r="IR85">
        <v>0.22500000000000001</v>
      </c>
      <c r="IS85">
        <v>0.221667</v>
      </c>
      <c r="IT85">
        <v>4.3333000000000003E-2</v>
      </c>
      <c r="IU85">
        <v>1.1667E-2</v>
      </c>
      <c r="IV85">
        <v>0.04</v>
      </c>
      <c r="IW85">
        <v>0.01</v>
      </c>
      <c r="IX85">
        <v>7.6666999999999999E-2</v>
      </c>
      <c r="IY85">
        <v>0.246667</v>
      </c>
      <c r="IZ85">
        <v>8.1667000000000003E-2</v>
      </c>
      <c r="JA85">
        <v>0.10166699999999999</v>
      </c>
      <c r="JB85">
        <v>1.6670000000000001E-3</v>
      </c>
      <c r="JC85">
        <v>2.1666999999999999E-2</v>
      </c>
      <c r="JD85">
        <v>0.20666699999999999</v>
      </c>
      <c r="JE85">
        <v>5.0000000000000001E-3</v>
      </c>
      <c r="JF85">
        <v>1.6670000000000001E-3</v>
      </c>
      <c r="JG85">
        <v>0.23499999999999999</v>
      </c>
      <c r="JH85">
        <v>1.3332999999999999E-2</v>
      </c>
      <c r="JI85">
        <v>1.6670000000000001E-3</v>
      </c>
      <c r="JJ85" t="s">
        <v>114</v>
      </c>
      <c r="JK85">
        <v>1.4999999999999999E-2</v>
      </c>
      <c r="JL85">
        <v>0.23333300000000001</v>
      </c>
      <c r="JM85">
        <v>0.19666700000000001</v>
      </c>
      <c r="JN85">
        <v>0.14666699999999999</v>
      </c>
      <c r="JO85" t="s">
        <v>114</v>
      </c>
      <c r="JP85">
        <v>1.3332999999999999E-2</v>
      </c>
      <c r="JQ85" t="s">
        <v>114</v>
      </c>
      <c r="JR85">
        <v>0.1</v>
      </c>
      <c r="JS85" t="s">
        <v>114</v>
      </c>
      <c r="JT85" t="s">
        <v>114</v>
      </c>
      <c r="JU85">
        <v>7.1666999999999995E-2</v>
      </c>
      <c r="JV85" t="s">
        <v>114</v>
      </c>
      <c r="JW85">
        <v>1.6667000000000001E-2</v>
      </c>
      <c r="JX85" t="s">
        <v>114</v>
      </c>
      <c r="JY85">
        <v>8.3330000000000001E-3</v>
      </c>
      <c r="JZ85" t="s">
        <v>114</v>
      </c>
      <c r="KA85" t="s">
        <v>114</v>
      </c>
      <c r="KB85" t="s">
        <v>114</v>
      </c>
      <c r="KC85" t="s">
        <v>114</v>
      </c>
      <c r="KD85">
        <v>0.14499999999999999</v>
      </c>
      <c r="KE85">
        <v>3.6666999999999998E-2</v>
      </c>
      <c r="KF85">
        <v>0.123333</v>
      </c>
      <c r="KG85">
        <v>0.14499999999999999</v>
      </c>
      <c r="KH85" t="s">
        <v>114</v>
      </c>
      <c r="KI85">
        <v>4.8333000000000001E-2</v>
      </c>
      <c r="KJ85">
        <v>1.6670000000000001E-3</v>
      </c>
      <c r="KK85">
        <v>0.14833299999999999</v>
      </c>
      <c r="KL85" t="s">
        <v>114</v>
      </c>
      <c r="KM85">
        <v>7.3332999999999995E-2</v>
      </c>
      <c r="KN85">
        <v>7.4999999999999997E-2</v>
      </c>
      <c r="KO85" t="s">
        <v>114</v>
      </c>
      <c r="KP85">
        <v>2.1666999999999999E-2</v>
      </c>
      <c r="KQ85">
        <v>2.3333E-2</v>
      </c>
      <c r="KR85">
        <v>0.05</v>
      </c>
      <c r="KS85">
        <v>0.10166699999999999</v>
      </c>
      <c r="KT85">
        <v>0.1</v>
      </c>
      <c r="KU85" t="s">
        <v>114</v>
      </c>
      <c r="KV85">
        <v>1.3332999999999999E-2</v>
      </c>
      <c r="KW85">
        <v>0.17666699999999999</v>
      </c>
      <c r="KX85">
        <v>1.6667000000000001E-2</v>
      </c>
      <c r="KY85">
        <v>8.1667000000000003E-2</v>
      </c>
      <c r="KZ85">
        <v>5.0000000000000001E-3</v>
      </c>
      <c r="LA85">
        <v>0.11</v>
      </c>
      <c r="LB85">
        <v>3.3333000000000002E-2</v>
      </c>
      <c r="LC85">
        <v>0.11833299999999999</v>
      </c>
      <c r="LD85" t="s">
        <v>114</v>
      </c>
      <c r="LE85">
        <v>5.1666999999999998E-2</v>
      </c>
      <c r="LF85">
        <v>3.6666999999999998E-2</v>
      </c>
      <c r="LG85">
        <v>0.13500000000000001</v>
      </c>
      <c r="LH85">
        <v>4.4999999999999998E-2</v>
      </c>
      <c r="LI85">
        <v>0.105</v>
      </c>
      <c r="LJ85">
        <v>6.8333000000000005E-2</v>
      </c>
      <c r="LK85">
        <v>0.11833299999999999</v>
      </c>
      <c r="LL85">
        <v>0.115</v>
      </c>
      <c r="LM85">
        <v>0.11833299999999999</v>
      </c>
      <c r="LN85">
        <v>6.6670000000000002E-3</v>
      </c>
      <c r="LO85">
        <v>0.105</v>
      </c>
      <c r="LP85">
        <v>6.3333E-2</v>
      </c>
      <c r="LQ85">
        <v>0.115</v>
      </c>
      <c r="LR85" t="s">
        <v>114</v>
      </c>
      <c r="LS85">
        <v>4.3333000000000003E-2</v>
      </c>
      <c r="LT85">
        <v>7.8333E-2</v>
      </c>
      <c r="LU85">
        <v>7.3332999999999995E-2</v>
      </c>
      <c r="LV85">
        <v>0.12</v>
      </c>
      <c r="LW85" t="s">
        <v>114</v>
      </c>
      <c r="LX85">
        <v>0.08</v>
      </c>
      <c r="LY85">
        <v>0.121667</v>
      </c>
      <c r="LZ85" t="s">
        <v>114</v>
      </c>
      <c r="MA85">
        <v>9.6667000000000003E-2</v>
      </c>
      <c r="MB85">
        <v>0.11</v>
      </c>
      <c r="MC85">
        <v>0.04</v>
      </c>
      <c r="MD85">
        <v>8.8332999999999995E-2</v>
      </c>
      <c r="ME85">
        <v>0.121667</v>
      </c>
      <c r="MF85">
        <v>0.123333</v>
      </c>
      <c r="MG85">
        <v>3.333E-3</v>
      </c>
      <c r="MH85" t="s">
        <v>114</v>
      </c>
      <c r="MI85">
        <v>0.123333</v>
      </c>
      <c r="MJ85">
        <v>7.6666999999999999E-2</v>
      </c>
      <c r="MK85">
        <v>0.123333</v>
      </c>
      <c r="ML85" t="s">
        <v>114</v>
      </c>
      <c r="MM85">
        <v>0.11833299999999999</v>
      </c>
      <c r="MN85">
        <v>0.121667</v>
      </c>
      <c r="MO85">
        <v>0.123333</v>
      </c>
      <c r="MP85">
        <v>0.193333</v>
      </c>
      <c r="MQ85">
        <v>1.1667E-2</v>
      </c>
      <c r="MR85">
        <v>8.6666999999999994E-2</v>
      </c>
      <c r="MS85">
        <v>1.6670000000000001E-3</v>
      </c>
      <c r="MT85">
        <v>0.16500000000000001</v>
      </c>
      <c r="MU85">
        <v>0.123333</v>
      </c>
      <c r="MV85">
        <v>0.181667</v>
      </c>
      <c r="MW85">
        <v>0.151667</v>
      </c>
      <c r="MX85" t="s">
        <v>114</v>
      </c>
      <c r="MY85" t="s">
        <v>114</v>
      </c>
      <c r="MZ85">
        <v>0.111667</v>
      </c>
      <c r="NA85">
        <v>8.6666999999999994E-2</v>
      </c>
      <c r="NB85">
        <v>1.6670000000000001E-3</v>
      </c>
      <c r="NC85">
        <v>0.05</v>
      </c>
      <c r="ND85">
        <v>0.193333</v>
      </c>
      <c r="NE85">
        <v>6.1667E-2</v>
      </c>
      <c r="NF85">
        <v>1.6670000000000001E-3</v>
      </c>
      <c r="NG85">
        <v>1.8332999999999999E-2</v>
      </c>
      <c r="NH85">
        <v>8.8332999999999995E-2</v>
      </c>
      <c r="NI85">
        <v>0.13166700000000001</v>
      </c>
      <c r="NJ85">
        <v>0.185</v>
      </c>
      <c r="NK85">
        <v>5.0000000000000001E-3</v>
      </c>
      <c r="NL85">
        <v>0.21333299999999999</v>
      </c>
      <c r="NM85">
        <v>8.1667000000000003E-2</v>
      </c>
      <c r="NN85">
        <v>0.01</v>
      </c>
      <c r="NO85">
        <v>0.16500000000000001</v>
      </c>
      <c r="NP85">
        <v>0.22</v>
      </c>
      <c r="NQ85" t="s">
        <v>114</v>
      </c>
      <c r="NR85">
        <v>0.126667</v>
      </c>
      <c r="NS85">
        <v>8.6666999999999994E-2</v>
      </c>
      <c r="NT85">
        <v>8.5000000000000006E-2</v>
      </c>
      <c r="NU85">
        <v>4.1667000000000003E-2</v>
      </c>
      <c r="NV85">
        <v>0.22</v>
      </c>
      <c r="NW85">
        <v>7.8333E-2</v>
      </c>
      <c r="NX85">
        <v>0.05</v>
      </c>
      <c r="NY85" t="s">
        <v>114</v>
      </c>
      <c r="NZ85" t="s">
        <v>114</v>
      </c>
      <c r="OA85">
        <v>8.3330000000000001E-3</v>
      </c>
      <c r="OB85">
        <v>0.25166699999999997</v>
      </c>
      <c r="OC85">
        <v>0.121667</v>
      </c>
      <c r="OD85">
        <v>5.0000000000000001E-3</v>
      </c>
      <c r="OE85">
        <v>4.3333000000000003E-2</v>
      </c>
      <c r="OF85" t="s">
        <v>114</v>
      </c>
      <c r="OG85">
        <v>0.255</v>
      </c>
      <c r="OH85">
        <v>0.29499999999999998</v>
      </c>
      <c r="OI85" t="s">
        <v>114</v>
      </c>
      <c r="OJ85">
        <v>0.23333300000000001</v>
      </c>
      <c r="OK85">
        <v>0.248333</v>
      </c>
      <c r="OL85">
        <v>0.13500000000000001</v>
      </c>
      <c r="OM85">
        <v>3.5000000000000003E-2</v>
      </c>
      <c r="ON85">
        <v>0.14166699999999999</v>
      </c>
      <c r="OO85" t="s">
        <v>114</v>
      </c>
      <c r="OP85">
        <v>0.16833300000000001</v>
      </c>
      <c r="OQ85" t="s">
        <v>114</v>
      </c>
      <c r="OR85" t="s">
        <v>114</v>
      </c>
      <c r="OS85" t="s">
        <v>114</v>
      </c>
      <c r="OT85" t="s">
        <v>114</v>
      </c>
      <c r="OU85" t="s">
        <v>114</v>
      </c>
      <c r="OV85" t="s">
        <v>114</v>
      </c>
      <c r="OW85" t="s">
        <v>114</v>
      </c>
      <c r="OX85">
        <v>3.333E-3</v>
      </c>
      <c r="OY85" t="s">
        <v>114</v>
      </c>
      <c r="OZ85" t="s">
        <v>114</v>
      </c>
      <c r="PA85" t="s">
        <v>114</v>
      </c>
      <c r="PB85">
        <v>0.14333299999999999</v>
      </c>
      <c r="PC85">
        <v>0.155</v>
      </c>
      <c r="PD85" t="s">
        <v>114</v>
      </c>
      <c r="PE85">
        <v>8.5000000000000006E-2</v>
      </c>
      <c r="PF85">
        <v>2.3333E-2</v>
      </c>
      <c r="PG85">
        <v>7.6666999999999999E-2</v>
      </c>
      <c r="PH85">
        <v>7.6666999999999999E-2</v>
      </c>
      <c r="PI85">
        <v>1.8332999999999999E-2</v>
      </c>
      <c r="PJ85">
        <v>0.03</v>
      </c>
      <c r="PK85">
        <v>7.0000000000000007E-2</v>
      </c>
      <c r="PL85" t="s">
        <v>114</v>
      </c>
      <c r="PM85">
        <v>6.5000000000000002E-2</v>
      </c>
      <c r="PN85" t="s">
        <v>114</v>
      </c>
      <c r="PO85" t="s">
        <v>114</v>
      </c>
      <c r="PP85">
        <v>1.8332999999999999E-2</v>
      </c>
      <c r="PQ85">
        <v>8.1667000000000003E-2</v>
      </c>
      <c r="PR85">
        <v>3.1667000000000001E-2</v>
      </c>
      <c r="PS85">
        <v>0.14166699999999999</v>
      </c>
      <c r="PT85">
        <v>1.6667000000000001E-2</v>
      </c>
      <c r="PU85">
        <v>0.13666700000000001</v>
      </c>
      <c r="PV85">
        <v>0.158333</v>
      </c>
      <c r="PW85">
        <v>0.14499999999999999</v>
      </c>
      <c r="PX85">
        <v>0.13833300000000001</v>
      </c>
      <c r="PY85">
        <v>6.6667000000000004E-2</v>
      </c>
      <c r="PZ85">
        <v>0.16166700000000001</v>
      </c>
      <c r="QA85">
        <v>2.3333E-2</v>
      </c>
      <c r="QB85">
        <v>0.06</v>
      </c>
      <c r="QC85">
        <v>1.6667000000000001E-2</v>
      </c>
      <c r="QD85">
        <v>9.1666999999999998E-2</v>
      </c>
      <c r="QE85">
        <v>6.8333000000000005E-2</v>
      </c>
      <c r="QF85">
        <v>1.6667000000000001E-2</v>
      </c>
      <c r="QG85">
        <v>0.151667</v>
      </c>
      <c r="QH85" t="s">
        <v>114</v>
      </c>
      <c r="QI85" t="s">
        <v>114</v>
      </c>
      <c r="QJ85">
        <v>0.16500000000000001</v>
      </c>
      <c r="QK85">
        <v>9.5000000000000001E-2</v>
      </c>
      <c r="QL85" t="s">
        <v>114</v>
      </c>
      <c r="QM85">
        <v>0.04</v>
      </c>
      <c r="QN85" t="s">
        <v>114</v>
      </c>
      <c r="QO85">
        <v>2.1666999999999999E-2</v>
      </c>
      <c r="QP85">
        <v>0.01</v>
      </c>
      <c r="QQ85" t="s">
        <v>114</v>
      </c>
      <c r="QR85" t="s">
        <v>114</v>
      </c>
      <c r="QS85">
        <v>7.3332999999999995E-2</v>
      </c>
      <c r="QT85" t="s">
        <v>114</v>
      </c>
      <c r="QU85" t="s">
        <v>114</v>
      </c>
      <c r="QV85">
        <v>0.16</v>
      </c>
      <c r="QW85">
        <v>0.17</v>
      </c>
      <c r="QX85">
        <v>5.0000000000000001E-3</v>
      </c>
      <c r="QY85">
        <v>3.8332999999999999E-2</v>
      </c>
      <c r="QZ85">
        <v>0.14166699999999999</v>
      </c>
      <c r="RA85">
        <v>0.14499999999999999</v>
      </c>
      <c r="RB85">
        <v>0.158333</v>
      </c>
      <c r="RC85">
        <v>3.3333000000000002E-2</v>
      </c>
      <c r="RD85">
        <v>1.6667000000000001E-2</v>
      </c>
      <c r="RE85">
        <v>0.14499999999999999</v>
      </c>
      <c r="RF85">
        <v>7.8333E-2</v>
      </c>
      <c r="RG85">
        <v>0.13</v>
      </c>
      <c r="RH85">
        <v>2.5000000000000001E-2</v>
      </c>
      <c r="RI85">
        <v>3.8332999999999999E-2</v>
      </c>
      <c r="RJ85">
        <v>0.14666699999999999</v>
      </c>
      <c r="RK85">
        <v>0.06</v>
      </c>
      <c r="RL85">
        <v>5.8333000000000003E-2</v>
      </c>
      <c r="RM85">
        <v>0.158333</v>
      </c>
      <c r="RN85">
        <v>8.3330000000000001E-3</v>
      </c>
      <c r="RO85">
        <v>0.121667</v>
      </c>
      <c r="RP85" t="s">
        <v>114</v>
      </c>
      <c r="RQ85">
        <v>8.8332999999999995E-2</v>
      </c>
      <c r="RR85">
        <v>6.3333E-2</v>
      </c>
      <c r="RS85">
        <v>2.3333E-2</v>
      </c>
      <c r="RT85">
        <v>0.13</v>
      </c>
      <c r="RU85">
        <v>2.6667E-2</v>
      </c>
      <c r="RV85">
        <v>0.13</v>
      </c>
      <c r="RW85">
        <v>7.6666999999999999E-2</v>
      </c>
      <c r="RX85">
        <v>5.0000000000000001E-3</v>
      </c>
      <c r="RY85">
        <v>0.151667</v>
      </c>
      <c r="RZ85">
        <v>0.115</v>
      </c>
      <c r="SA85">
        <v>1.4999999999999999E-2</v>
      </c>
      <c r="SB85">
        <v>0.01</v>
      </c>
      <c r="SC85">
        <v>6.8333000000000005E-2</v>
      </c>
      <c r="SD85">
        <v>0.126667</v>
      </c>
      <c r="SE85">
        <v>0.22</v>
      </c>
      <c r="SF85">
        <v>9.8333000000000004E-2</v>
      </c>
      <c r="SG85">
        <v>0.17166699999999999</v>
      </c>
      <c r="SH85">
        <v>5.0000000000000001E-3</v>
      </c>
      <c r="SI85">
        <v>0.21166699999999999</v>
      </c>
      <c r="SJ85">
        <v>3.333E-3</v>
      </c>
      <c r="SK85" t="s">
        <v>114</v>
      </c>
      <c r="SL85" t="s">
        <v>114</v>
      </c>
      <c r="SM85">
        <v>1.6670000000000001E-3</v>
      </c>
      <c r="SN85">
        <v>0.18</v>
      </c>
      <c r="SO85" t="s">
        <v>114</v>
      </c>
      <c r="SP85">
        <v>0.02</v>
      </c>
      <c r="SQ85">
        <v>1.6670000000000001E-3</v>
      </c>
      <c r="SR85">
        <v>0.126667</v>
      </c>
      <c r="SS85">
        <v>0.158333</v>
      </c>
      <c r="ST85">
        <v>2.3333E-2</v>
      </c>
      <c r="SU85">
        <v>0.183333</v>
      </c>
      <c r="SV85" t="s">
        <v>114</v>
      </c>
      <c r="SW85">
        <v>0.183333</v>
      </c>
      <c r="SX85" t="s">
        <v>114</v>
      </c>
      <c r="SY85">
        <v>0.121667</v>
      </c>
      <c r="SZ85">
        <v>0.105</v>
      </c>
      <c r="TA85">
        <v>0.19</v>
      </c>
      <c r="TB85">
        <v>9.8333000000000004E-2</v>
      </c>
      <c r="TC85">
        <v>0.19</v>
      </c>
      <c r="TD85">
        <v>0.191667</v>
      </c>
      <c r="TE85">
        <v>0.156667</v>
      </c>
      <c r="TF85">
        <v>0.106667</v>
      </c>
      <c r="TG85">
        <v>3.1667000000000001E-2</v>
      </c>
      <c r="TH85">
        <v>0.14166699999999999</v>
      </c>
      <c r="TI85">
        <v>8.5000000000000006E-2</v>
      </c>
      <c r="TJ85" t="s">
        <v>114</v>
      </c>
      <c r="TK85">
        <v>8.3333000000000004E-2</v>
      </c>
      <c r="TL85" t="s">
        <v>114</v>
      </c>
      <c r="TM85" t="s">
        <v>114</v>
      </c>
      <c r="TN85">
        <v>0.17</v>
      </c>
      <c r="TO85" t="s">
        <v>114</v>
      </c>
      <c r="TP85">
        <v>6.6667000000000004E-2</v>
      </c>
      <c r="TQ85">
        <v>0.14499999999999999</v>
      </c>
      <c r="TR85">
        <v>0.03</v>
      </c>
      <c r="TS85">
        <v>1.6667000000000001E-2</v>
      </c>
      <c r="TT85">
        <v>1.6670000000000001E-3</v>
      </c>
      <c r="TU85" t="s">
        <v>114</v>
      </c>
      <c r="TV85">
        <v>7.4999999999999997E-2</v>
      </c>
      <c r="TW85">
        <v>1.1667E-2</v>
      </c>
      <c r="TX85">
        <v>0.25</v>
      </c>
      <c r="TY85" t="s">
        <v>114</v>
      </c>
      <c r="TZ85">
        <v>0.11833299999999999</v>
      </c>
      <c r="UA85">
        <v>0.13666700000000001</v>
      </c>
      <c r="UB85">
        <v>9.8333000000000004E-2</v>
      </c>
      <c r="UC85" t="s">
        <v>114</v>
      </c>
      <c r="UD85">
        <v>0.105</v>
      </c>
      <c r="UE85">
        <v>0.113333</v>
      </c>
      <c r="UF85">
        <v>7.4999999999999997E-2</v>
      </c>
      <c r="UG85">
        <v>5.6667000000000002E-2</v>
      </c>
      <c r="UH85" t="s">
        <v>114</v>
      </c>
      <c r="UI85">
        <v>0.111667</v>
      </c>
      <c r="UJ85">
        <v>0.111667</v>
      </c>
      <c r="UK85">
        <v>6.3333E-2</v>
      </c>
      <c r="UL85">
        <v>0.14000000000000001</v>
      </c>
      <c r="UM85" t="s">
        <v>114</v>
      </c>
      <c r="UN85" t="s">
        <v>114</v>
      </c>
      <c r="UO85" t="s">
        <v>114</v>
      </c>
      <c r="UP85">
        <v>0.115</v>
      </c>
      <c r="UQ85" t="s">
        <v>114</v>
      </c>
      <c r="UR85">
        <v>0.156667</v>
      </c>
      <c r="US85">
        <v>0.153333</v>
      </c>
      <c r="UT85">
        <v>7.0000000000000007E-2</v>
      </c>
      <c r="UU85">
        <v>0.13166700000000001</v>
      </c>
      <c r="UV85">
        <v>9.8333000000000004E-2</v>
      </c>
      <c r="UW85" t="s">
        <v>114</v>
      </c>
      <c r="UX85">
        <v>0.155</v>
      </c>
      <c r="UY85">
        <v>0.14000000000000001</v>
      </c>
      <c r="UZ85" t="s">
        <v>114</v>
      </c>
      <c r="VA85">
        <v>0.156667</v>
      </c>
      <c r="VB85">
        <v>8.3330000000000001E-3</v>
      </c>
      <c r="VC85" t="s">
        <v>114</v>
      </c>
      <c r="VD85">
        <v>8.3330000000000001E-3</v>
      </c>
      <c r="VE85">
        <v>0.14333299999999999</v>
      </c>
      <c r="VF85">
        <v>0.186667</v>
      </c>
      <c r="VG85">
        <v>5.8333000000000003E-2</v>
      </c>
      <c r="VH85">
        <v>6.1667E-2</v>
      </c>
      <c r="VI85" t="s">
        <v>114</v>
      </c>
      <c r="VJ85" t="s">
        <v>114</v>
      </c>
      <c r="VK85" t="s">
        <v>114</v>
      </c>
      <c r="VL85" t="s">
        <v>114</v>
      </c>
      <c r="VM85" t="s">
        <v>114</v>
      </c>
      <c r="VN85">
        <v>3.333E-3</v>
      </c>
      <c r="VO85">
        <v>0.17166699999999999</v>
      </c>
      <c r="VP85">
        <v>9.5000000000000001E-2</v>
      </c>
      <c r="VQ85">
        <v>6.6667000000000004E-2</v>
      </c>
      <c r="VR85">
        <v>4.4999999999999998E-2</v>
      </c>
      <c r="VS85">
        <v>3.5000000000000003E-2</v>
      </c>
      <c r="VT85" t="s">
        <v>114</v>
      </c>
      <c r="VU85">
        <v>5.1666999999999998E-2</v>
      </c>
      <c r="VV85" t="s">
        <v>114</v>
      </c>
      <c r="VW85" t="s">
        <v>114</v>
      </c>
      <c r="VX85" t="s">
        <v>114</v>
      </c>
      <c r="VY85">
        <v>0.156667</v>
      </c>
      <c r="VZ85">
        <v>0.17666699999999999</v>
      </c>
      <c r="WA85" t="s">
        <v>114</v>
      </c>
      <c r="WB85" t="s">
        <v>114</v>
      </c>
      <c r="WC85" t="s">
        <v>114</v>
      </c>
      <c r="WD85">
        <v>1.6667000000000001E-2</v>
      </c>
      <c r="WE85">
        <v>5.6667000000000002E-2</v>
      </c>
      <c r="WF85">
        <v>0.12</v>
      </c>
      <c r="WG85">
        <v>4.3333000000000003E-2</v>
      </c>
      <c r="WH85" t="s">
        <v>114</v>
      </c>
      <c r="WI85">
        <v>0.1</v>
      </c>
      <c r="WJ85">
        <v>1.8332999999999999E-2</v>
      </c>
      <c r="WK85">
        <v>0.155</v>
      </c>
      <c r="WL85" t="s">
        <v>114</v>
      </c>
      <c r="WM85">
        <v>6.6667000000000004E-2</v>
      </c>
      <c r="WN85">
        <v>0.12</v>
      </c>
      <c r="WO85">
        <v>0.10166699999999999</v>
      </c>
      <c r="WP85">
        <v>0.11</v>
      </c>
      <c r="WQ85">
        <v>0.10333299999999999</v>
      </c>
      <c r="WR85" t="s">
        <v>114</v>
      </c>
      <c r="WS85">
        <v>0.151667</v>
      </c>
      <c r="WT85" t="s">
        <v>114</v>
      </c>
      <c r="WU85">
        <v>3.333E-3</v>
      </c>
      <c r="WV85" t="s">
        <v>114</v>
      </c>
      <c r="WW85">
        <v>3.5000000000000003E-2</v>
      </c>
      <c r="WX85">
        <v>5.0000000000000001E-3</v>
      </c>
      <c r="WY85" t="s">
        <v>114</v>
      </c>
      <c r="WZ85">
        <v>3.333E-3</v>
      </c>
      <c r="XA85">
        <v>3.6666999999999998E-2</v>
      </c>
      <c r="XB85" t="s">
        <v>114</v>
      </c>
      <c r="XC85">
        <v>1.3332999999999999E-2</v>
      </c>
      <c r="XD85">
        <v>6.6670000000000002E-3</v>
      </c>
      <c r="XE85">
        <v>0.128333</v>
      </c>
      <c r="XF85" t="s">
        <v>114</v>
      </c>
      <c r="XG85">
        <v>0.13166700000000001</v>
      </c>
      <c r="XH85">
        <v>0.19500000000000001</v>
      </c>
      <c r="XI85" t="s">
        <v>114</v>
      </c>
      <c r="XJ85">
        <v>5.0000000000000001E-3</v>
      </c>
      <c r="XK85">
        <v>0.13</v>
      </c>
      <c r="XL85">
        <v>4.4999999999999998E-2</v>
      </c>
      <c r="XM85">
        <v>0.24166699999999999</v>
      </c>
      <c r="XN85">
        <v>0.151667</v>
      </c>
      <c r="XO85">
        <v>1.6670000000000001E-3</v>
      </c>
      <c r="XP85" t="s">
        <v>114</v>
      </c>
      <c r="XQ85" t="s">
        <v>114</v>
      </c>
      <c r="XR85">
        <v>0.02</v>
      </c>
      <c r="XS85">
        <v>8.8332999999999995E-2</v>
      </c>
      <c r="XT85">
        <v>0.22</v>
      </c>
      <c r="XU85" t="s">
        <v>114</v>
      </c>
      <c r="XV85" t="s">
        <v>114</v>
      </c>
      <c r="XW85" t="s">
        <v>114</v>
      </c>
      <c r="XX85">
        <v>8.5000000000000006E-2</v>
      </c>
      <c r="XY85">
        <v>8.8332999999999995E-2</v>
      </c>
      <c r="XZ85">
        <v>4.6667E-2</v>
      </c>
      <c r="YA85">
        <v>1.6667000000000001E-2</v>
      </c>
      <c r="YB85">
        <v>4.1667000000000003E-2</v>
      </c>
      <c r="YC85">
        <v>0.181667</v>
      </c>
      <c r="YD85" t="s">
        <v>114</v>
      </c>
      <c r="YE85">
        <v>6.1667E-2</v>
      </c>
      <c r="YF85" t="s">
        <v>114</v>
      </c>
      <c r="YG85">
        <v>0.20333300000000001</v>
      </c>
      <c r="YH85" t="s">
        <v>114</v>
      </c>
      <c r="YI85" t="s">
        <v>114</v>
      </c>
      <c r="YJ85">
        <v>0.188333</v>
      </c>
      <c r="YK85">
        <v>0.193333</v>
      </c>
      <c r="YL85">
        <v>0.16500000000000001</v>
      </c>
      <c r="YM85">
        <v>0.16666700000000001</v>
      </c>
      <c r="YN85" t="s">
        <v>114</v>
      </c>
      <c r="YO85" t="s">
        <v>114</v>
      </c>
      <c r="YP85">
        <v>3.333E-3</v>
      </c>
      <c r="YQ85">
        <v>0.20833299999999999</v>
      </c>
      <c r="YR85">
        <v>0.105</v>
      </c>
      <c r="YS85">
        <v>0.03</v>
      </c>
      <c r="YT85" t="s">
        <v>114</v>
      </c>
      <c r="YU85">
        <v>0.18</v>
      </c>
      <c r="YV85">
        <v>0.17666699999999999</v>
      </c>
      <c r="YW85" t="s">
        <v>114</v>
      </c>
      <c r="YX85" t="s">
        <v>114</v>
      </c>
      <c r="YY85">
        <v>3.333E-3</v>
      </c>
      <c r="YZ85">
        <v>6.5000000000000002E-2</v>
      </c>
      <c r="ZA85">
        <v>0.19500000000000001</v>
      </c>
      <c r="ZB85">
        <v>1.6670000000000001E-3</v>
      </c>
      <c r="ZC85">
        <v>0.14166699999999999</v>
      </c>
      <c r="ZD85">
        <v>0.22</v>
      </c>
      <c r="ZE85">
        <v>0.22833300000000001</v>
      </c>
      <c r="ZF85" t="s">
        <v>114</v>
      </c>
      <c r="ZG85">
        <v>7.3332999999999995E-2</v>
      </c>
      <c r="ZH85">
        <v>4.1667000000000003E-2</v>
      </c>
      <c r="ZI85">
        <v>8.3330000000000001E-3</v>
      </c>
      <c r="ZJ85">
        <v>0.03</v>
      </c>
      <c r="ZK85" t="s">
        <v>114</v>
      </c>
      <c r="ZL85">
        <v>1.3332999999999999E-2</v>
      </c>
      <c r="ZM85">
        <v>3.3333000000000002E-2</v>
      </c>
      <c r="ZN85">
        <v>2.5000000000000001E-2</v>
      </c>
      <c r="ZO85">
        <v>3.333E-3</v>
      </c>
      <c r="ZP85" t="s">
        <v>114</v>
      </c>
      <c r="ZQ85" t="s">
        <v>114</v>
      </c>
      <c r="ZR85" t="s">
        <v>114</v>
      </c>
      <c r="ZS85" t="s">
        <v>114</v>
      </c>
      <c r="ZT85" t="s">
        <v>114</v>
      </c>
      <c r="ZU85" t="s">
        <v>114</v>
      </c>
      <c r="ZV85">
        <v>0.108333</v>
      </c>
      <c r="ZW85" t="s">
        <v>114</v>
      </c>
      <c r="ZX85">
        <v>6.6670000000000002E-3</v>
      </c>
      <c r="ZY85">
        <v>0.06</v>
      </c>
      <c r="ZZ85">
        <v>3.6666999999999998E-2</v>
      </c>
      <c r="AAA85">
        <v>0.17166699999999999</v>
      </c>
      <c r="AAB85">
        <v>3.8332999999999999E-2</v>
      </c>
      <c r="AAC85">
        <v>2.5000000000000001E-2</v>
      </c>
      <c r="AAD85">
        <v>0.19833300000000001</v>
      </c>
      <c r="AAE85">
        <v>2.1666999999999999E-2</v>
      </c>
      <c r="AAF85">
        <v>1.4999999999999999E-2</v>
      </c>
      <c r="AAG85">
        <v>2.5000000000000001E-2</v>
      </c>
      <c r="AAH85" t="s">
        <v>114</v>
      </c>
      <c r="AAI85">
        <v>1.6670000000000001E-3</v>
      </c>
      <c r="AAJ85">
        <v>1.6670000000000001E-3</v>
      </c>
      <c r="AAK85" t="s">
        <v>114</v>
      </c>
      <c r="AAL85" t="s">
        <v>114</v>
      </c>
      <c r="AAM85">
        <v>6.1667E-2</v>
      </c>
      <c r="AAN85">
        <v>0.14333299999999999</v>
      </c>
      <c r="AAO85">
        <v>2.3333E-2</v>
      </c>
      <c r="AAP85" t="s">
        <v>114</v>
      </c>
      <c r="AAQ85">
        <v>5.5E-2</v>
      </c>
      <c r="AAR85">
        <v>0.05</v>
      </c>
      <c r="AAS85" t="s">
        <v>114</v>
      </c>
      <c r="AAT85">
        <v>8.3330000000000001E-3</v>
      </c>
      <c r="AAU85">
        <v>5.0000000000000001E-3</v>
      </c>
      <c r="AAV85">
        <v>1.6670000000000001E-3</v>
      </c>
      <c r="AAW85">
        <v>8.3333000000000004E-2</v>
      </c>
      <c r="AAX85" t="s">
        <v>114</v>
      </c>
      <c r="AAY85" t="s">
        <v>114</v>
      </c>
      <c r="AAZ85" t="s">
        <v>114</v>
      </c>
      <c r="ABA85">
        <v>0.19</v>
      </c>
      <c r="ABB85">
        <v>5.8333000000000003E-2</v>
      </c>
      <c r="ABC85">
        <v>0.19</v>
      </c>
      <c r="ABD85" t="s">
        <v>114</v>
      </c>
      <c r="ABE85">
        <v>0.09</v>
      </c>
      <c r="ABF85" t="s">
        <v>114</v>
      </c>
      <c r="ABG85">
        <v>0.185</v>
      </c>
      <c r="ABH85">
        <v>0.158333</v>
      </c>
      <c r="ABI85" t="s">
        <v>114</v>
      </c>
      <c r="ABJ85">
        <v>4.3333000000000003E-2</v>
      </c>
      <c r="ABK85">
        <v>0.13333300000000001</v>
      </c>
      <c r="ABL85" t="s">
        <v>114</v>
      </c>
      <c r="ABM85">
        <v>0.17166699999999999</v>
      </c>
      <c r="ABN85" t="s">
        <v>114</v>
      </c>
      <c r="ABO85" t="s">
        <v>114</v>
      </c>
      <c r="ABP85">
        <v>6.6670000000000002E-3</v>
      </c>
      <c r="ABQ85" t="s">
        <v>114</v>
      </c>
      <c r="ABR85">
        <v>4.8333000000000001E-2</v>
      </c>
      <c r="ABS85">
        <v>0.21333299999999999</v>
      </c>
      <c r="ABT85" t="s">
        <v>114</v>
      </c>
      <c r="ABU85" t="s">
        <v>114</v>
      </c>
      <c r="ABV85" t="s">
        <v>114</v>
      </c>
      <c r="ABW85" t="s">
        <v>114</v>
      </c>
      <c r="ABX85">
        <v>1.6670000000000001E-3</v>
      </c>
      <c r="ABY85" t="s">
        <v>114</v>
      </c>
      <c r="ABZ85">
        <v>0.283333</v>
      </c>
      <c r="ACA85">
        <v>0.17333299999999999</v>
      </c>
      <c r="ACB85">
        <v>1.6670000000000001E-3</v>
      </c>
      <c r="ACC85">
        <v>0.153333</v>
      </c>
      <c r="ACD85" t="s">
        <v>114</v>
      </c>
      <c r="ACE85">
        <v>1.6670000000000001E-3</v>
      </c>
      <c r="ACF85" t="s">
        <v>114</v>
      </c>
      <c r="ACG85" t="s">
        <v>114</v>
      </c>
      <c r="ACH85" t="s">
        <v>114</v>
      </c>
      <c r="ACI85" t="s">
        <v>114</v>
      </c>
      <c r="ACJ85" t="s">
        <v>114</v>
      </c>
      <c r="ACK85">
        <v>0.19833300000000001</v>
      </c>
      <c r="ACL85">
        <v>0.25333299999999997</v>
      </c>
      <c r="ACM85" t="s">
        <v>114</v>
      </c>
      <c r="ACN85">
        <v>1.4999999999999999E-2</v>
      </c>
      <c r="ACO85">
        <v>0.158333</v>
      </c>
    </row>
    <row r="86" spans="1:769" x14ac:dyDescent="0.25">
      <c r="A86" t="s">
        <v>893</v>
      </c>
      <c r="B86" t="s">
        <v>114</v>
      </c>
      <c r="C86" t="s">
        <v>114</v>
      </c>
      <c r="D86">
        <v>0.485842</v>
      </c>
      <c r="E86" t="s">
        <v>114</v>
      </c>
      <c r="F86">
        <v>0.49696800000000002</v>
      </c>
      <c r="G86">
        <v>0.44081700000000001</v>
      </c>
      <c r="H86">
        <v>0.889069</v>
      </c>
      <c r="I86">
        <v>0.824264</v>
      </c>
      <c r="J86" t="s">
        <v>114</v>
      </c>
      <c r="K86">
        <v>0.722858</v>
      </c>
      <c r="L86" t="s">
        <v>114</v>
      </c>
      <c r="M86">
        <v>0.48283500000000001</v>
      </c>
      <c r="N86" t="s">
        <v>114</v>
      </c>
      <c r="O86">
        <v>0.496222</v>
      </c>
      <c r="P86">
        <v>0.62409700000000001</v>
      </c>
      <c r="Q86" t="s">
        <v>114</v>
      </c>
      <c r="R86">
        <v>0.68565500000000001</v>
      </c>
      <c r="S86">
        <v>0.84002600000000005</v>
      </c>
      <c r="T86">
        <v>0.71495500000000001</v>
      </c>
      <c r="U86">
        <v>0.42557499999999998</v>
      </c>
      <c r="V86">
        <v>0.696689</v>
      </c>
      <c r="W86" t="s">
        <v>114</v>
      </c>
      <c r="X86">
        <v>0.659026</v>
      </c>
      <c r="Y86">
        <v>0.94876499999999997</v>
      </c>
      <c r="Z86" t="s">
        <v>114</v>
      </c>
      <c r="AA86">
        <v>0.40704200000000001</v>
      </c>
      <c r="AB86">
        <v>0.49164200000000002</v>
      </c>
      <c r="AC86">
        <v>0.51105900000000004</v>
      </c>
      <c r="AD86" t="s">
        <v>114</v>
      </c>
      <c r="AE86">
        <v>0.39648099999999997</v>
      </c>
      <c r="AF86">
        <v>1.030856</v>
      </c>
      <c r="AG86">
        <v>0.69376700000000002</v>
      </c>
      <c r="AH86">
        <v>1.002937</v>
      </c>
      <c r="AI86">
        <v>0.470142</v>
      </c>
      <c r="AJ86">
        <v>0.44295499999999999</v>
      </c>
      <c r="AK86">
        <v>1.1005149999999999</v>
      </c>
      <c r="AL86">
        <v>0.46958699999999998</v>
      </c>
      <c r="AM86">
        <v>0.88115900000000003</v>
      </c>
      <c r="AN86">
        <v>0.53957100000000002</v>
      </c>
      <c r="AO86">
        <v>0.43033100000000002</v>
      </c>
      <c r="AP86">
        <v>0.57287299999999997</v>
      </c>
      <c r="AQ86">
        <v>1.3842399999999999</v>
      </c>
      <c r="AR86">
        <v>0.43631500000000001</v>
      </c>
      <c r="AS86">
        <v>0.51832299999999998</v>
      </c>
      <c r="AT86" t="s">
        <v>114</v>
      </c>
      <c r="AU86">
        <v>0.75940200000000002</v>
      </c>
      <c r="AV86" t="s">
        <v>114</v>
      </c>
      <c r="AW86">
        <v>0.47109400000000001</v>
      </c>
      <c r="AX86">
        <v>0.30786000000000002</v>
      </c>
      <c r="AY86">
        <v>1.1041449999999999</v>
      </c>
      <c r="AZ86">
        <v>0.41309800000000002</v>
      </c>
      <c r="BA86">
        <v>0.33133899999999999</v>
      </c>
      <c r="BB86">
        <v>0.76897099999999996</v>
      </c>
      <c r="BC86" t="s">
        <v>114</v>
      </c>
      <c r="BD86">
        <v>0.49686000000000002</v>
      </c>
      <c r="BE86">
        <v>0.32119599999999998</v>
      </c>
      <c r="BF86">
        <v>0.35298400000000002</v>
      </c>
      <c r="BG86">
        <v>0.51467099999999999</v>
      </c>
      <c r="BH86">
        <v>0.710866</v>
      </c>
      <c r="BI86">
        <v>0.466304</v>
      </c>
      <c r="BJ86">
        <v>0.35077000000000003</v>
      </c>
      <c r="BK86">
        <v>0.452573</v>
      </c>
      <c r="BL86">
        <v>1.1613500000000001</v>
      </c>
      <c r="BM86">
        <v>0.29073399999999999</v>
      </c>
      <c r="BN86">
        <v>0.248781</v>
      </c>
      <c r="BO86" t="s">
        <v>114</v>
      </c>
      <c r="BP86">
        <v>0.52430600000000005</v>
      </c>
      <c r="BQ86">
        <v>0.30994699999999997</v>
      </c>
      <c r="BR86" t="s">
        <v>114</v>
      </c>
      <c r="BS86">
        <v>0.32492399999999999</v>
      </c>
      <c r="BT86">
        <v>0.77853700000000003</v>
      </c>
      <c r="BU86" t="s">
        <v>114</v>
      </c>
      <c r="BV86">
        <v>0.54416600000000004</v>
      </c>
      <c r="BW86">
        <v>0.32266099999999998</v>
      </c>
      <c r="BX86" t="s">
        <v>114</v>
      </c>
      <c r="BY86">
        <v>0.114316</v>
      </c>
      <c r="BZ86">
        <v>0.46886899999999998</v>
      </c>
      <c r="CA86">
        <v>1.7117690000000001</v>
      </c>
      <c r="CB86" t="s">
        <v>114</v>
      </c>
      <c r="CC86">
        <v>0.76103299999999996</v>
      </c>
      <c r="CD86">
        <v>0.72673900000000002</v>
      </c>
      <c r="CE86">
        <v>0.482435</v>
      </c>
      <c r="CF86">
        <v>0.79923299999999997</v>
      </c>
      <c r="CG86">
        <v>0.44225999999999999</v>
      </c>
      <c r="CH86" t="s">
        <v>114</v>
      </c>
      <c r="CI86">
        <v>0.35937799999999998</v>
      </c>
      <c r="CJ86">
        <v>0.301008</v>
      </c>
      <c r="CK86">
        <v>0.202658</v>
      </c>
      <c r="CL86">
        <v>0.29232799999999998</v>
      </c>
      <c r="CM86">
        <v>0.39983999999999997</v>
      </c>
      <c r="CN86">
        <v>0.72236999999999996</v>
      </c>
      <c r="CO86">
        <v>0.372809</v>
      </c>
      <c r="CP86">
        <v>0.29739700000000002</v>
      </c>
      <c r="CQ86">
        <v>0.54369000000000001</v>
      </c>
      <c r="CR86">
        <v>0.36253200000000002</v>
      </c>
      <c r="CS86">
        <v>0.39584399999999997</v>
      </c>
      <c r="CT86" t="s">
        <v>114</v>
      </c>
      <c r="CU86">
        <v>0.21729499999999999</v>
      </c>
      <c r="CV86">
        <v>0.22461700000000001</v>
      </c>
      <c r="CW86">
        <v>0.60902299999999998</v>
      </c>
      <c r="CX86">
        <v>0.20429800000000001</v>
      </c>
      <c r="CY86">
        <v>0.61299899999999996</v>
      </c>
      <c r="CZ86">
        <v>0.25501800000000002</v>
      </c>
      <c r="DA86" t="s">
        <v>114</v>
      </c>
      <c r="DB86">
        <v>0.31392500000000001</v>
      </c>
      <c r="DC86">
        <v>0.229127</v>
      </c>
      <c r="DD86">
        <v>0.25364799999999998</v>
      </c>
      <c r="DE86">
        <v>0.56107499999999999</v>
      </c>
      <c r="DF86">
        <v>0.23880899999999999</v>
      </c>
      <c r="DG86">
        <v>0.44644899999999998</v>
      </c>
      <c r="DH86">
        <v>0.34406900000000001</v>
      </c>
      <c r="DI86">
        <v>0.223935</v>
      </c>
      <c r="DJ86">
        <v>1.001417</v>
      </c>
      <c r="DK86">
        <v>0.88973100000000005</v>
      </c>
      <c r="DL86">
        <v>0.41712900000000003</v>
      </c>
      <c r="DM86">
        <v>0.48326200000000002</v>
      </c>
      <c r="DN86">
        <v>1.7392080000000001</v>
      </c>
      <c r="DO86">
        <v>1.004885</v>
      </c>
      <c r="DP86">
        <v>1.2830699999999999</v>
      </c>
      <c r="DQ86">
        <v>0.33720899999999998</v>
      </c>
      <c r="DR86">
        <v>0.38030599999999998</v>
      </c>
      <c r="DS86">
        <v>0.66027999999999998</v>
      </c>
      <c r="DT86">
        <v>0.49525799999999998</v>
      </c>
      <c r="DU86">
        <v>0.32409700000000002</v>
      </c>
      <c r="DV86" t="s">
        <v>114</v>
      </c>
      <c r="DW86" t="s">
        <v>114</v>
      </c>
      <c r="DX86">
        <v>0.45640799999999998</v>
      </c>
      <c r="DY86">
        <v>0.978522</v>
      </c>
      <c r="DZ86">
        <v>0.71389199999999997</v>
      </c>
      <c r="EA86">
        <v>0.44445000000000001</v>
      </c>
      <c r="EB86" t="s">
        <v>114</v>
      </c>
      <c r="EC86">
        <v>0.22239200000000001</v>
      </c>
      <c r="ED86" t="s">
        <v>114</v>
      </c>
      <c r="EE86">
        <v>0.90058199999999999</v>
      </c>
      <c r="EF86">
        <v>0.66079200000000005</v>
      </c>
      <c r="EG86">
        <v>0.42792000000000002</v>
      </c>
      <c r="EH86">
        <v>0.293987</v>
      </c>
      <c r="EI86">
        <v>0.45096000000000003</v>
      </c>
      <c r="EJ86">
        <v>1.078055</v>
      </c>
      <c r="EK86">
        <v>0.890822</v>
      </c>
      <c r="EL86">
        <v>0.764127</v>
      </c>
      <c r="EM86">
        <v>0.53998800000000002</v>
      </c>
      <c r="EN86">
        <v>1.0989089999999999</v>
      </c>
      <c r="EO86" t="s">
        <v>114</v>
      </c>
      <c r="EP86">
        <v>0.44515300000000002</v>
      </c>
      <c r="EQ86">
        <v>0.48523500000000003</v>
      </c>
      <c r="ER86">
        <v>0.51447100000000001</v>
      </c>
      <c r="ES86">
        <v>0.81207600000000002</v>
      </c>
      <c r="ET86">
        <v>0.68266700000000002</v>
      </c>
      <c r="EU86">
        <v>0.45874399999999999</v>
      </c>
      <c r="EV86" t="s">
        <v>114</v>
      </c>
      <c r="EW86">
        <v>0.77251099999999995</v>
      </c>
      <c r="EX86">
        <v>0.63532</v>
      </c>
      <c r="EY86">
        <v>0.78931499999999999</v>
      </c>
      <c r="EZ86">
        <v>0.772482</v>
      </c>
      <c r="FA86">
        <v>0.50331000000000004</v>
      </c>
      <c r="FB86" t="s">
        <v>114</v>
      </c>
      <c r="FC86">
        <v>0.96105099999999999</v>
      </c>
      <c r="FD86" t="s">
        <v>114</v>
      </c>
      <c r="FE86" t="s">
        <v>114</v>
      </c>
      <c r="FF86">
        <v>0.78853399999999996</v>
      </c>
      <c r="FG86">
        <v>0.71085299999999996</v>
      </c>
      <c r="FH86">
        <v>0.55036200000000002</v>
      </c>
      <c r="FI86">
        <v>0.86704999999999999</v>
      </c>
      <c r="FJ86">
        <v>0.73577599999999999</v>
      </c>
      <c r="FK86">
        <v>0.75946499999999995</v>
      </c>
      <c r="FL86">
        <v>0.55591199999999996</v>
      </c>
      <c r="FM86">
        <v>0.64470799999999995</v>
      </c>
      <c r="FN86" t="s">
        <v>114</v>
      </c>
      <c r="FO86" t="s">
        <v>114</v>
      </c>
      <c r="FP86">
        <v>0.52942299999999998</v>
      </c>
      <c r="FQ86">
        <v>1.401872</v>
      </c>
      <c r="FR86">
        <v>0.64668400000000004</v>
      </c>
      <c r="FS86">
        <v>0.56780200000000003</v>
      </c>
      <c r="FT86">
        <v>1.2487919999999999</v>
      </c>
      <c r="FU86">
        <v>0.64959199999999995</v>
      </c>
      <c r="FV86">
        <v>0.45098899999999997</v>
      </c>
      <c r="FW86">
        <v>0.68612700000000004</v>
      </c>
      <c r="FX86">
        <v>0.55653900000000001</v>
      </c>
      <c r="FY86">
        <v>0.79087600000000002</v>
      </c>
      <c r="FZ86">
        <v>0.39113399999999998</v>
      </c>
      <c r="GA86">
        <v>0.636185</v>
      </c>
      <c r="GB86">
        <v>0.96309500000000003</v>
      </c>
      <c r="GC86">
        <v>0.62563599999999997</v>
      </c>
      <c r="GD86">
        <v>0.38784999999999997</v>
      </c>
      <c r="GE86">
        <v>0.386494</v>
      </c>
      <c r="GF86">
        <v>0.89950300000000005</v>
      </c>
      <c r="GG86">
        <v>0.91123399999999999</v>
      </c>
      <c r="GH86">
        <v>0.49145299999999997</v>
      </c>
      <c r="GI86" t="s">
        <v>114</v>
      </c>
      <c r="GJ86">
        <v>0.80911699999999998</v>
      </c>
      <c r="GK86">
        <v>0.994815</v>
      </c>
      <c r="GL86" t="s">
        <v>114</v>
      </c>
      <c r="GM86" t="s">
        <v>114</v>
      </c>
      <c r="GN86">
        <v>1.1424829999999999</v>
      </c>
      <c r="GO86" t="s">
        <v>114</v>
      </c>
      <c r="GP86">
        <v>0.40645599999999998</v>
      </c>
      <c r="GQ86">
        <v>0.37146400000000002</v>
      </c>
      <c r="GR86">
        <v>0.92668200000000001</v>
      </c>
      <c r="GS86">
        <v>1.3252600000000001</v>
      </c>
      <c r="GT86">
        <v>0.80113999999999996</v>
      </c>
      <c r="GU86" t="s">
        <v>114</v>
      </c>
      <c r="GV86">
        <v>0.94316800000000001</v>
      </c>
      <c r="GW86" t="s">
        <v>114</v>
      </c>
      <c r="GX86">
        <v>0.87543899999999997</v>
      </c>
      <c r="GY86">
        <v>1.2135210000000001</v>
      </c>
      <c r="GZ86">
        <v>0.350462</v>
      </c>
      <c r="HA86">
        <v>1.072676</v>
      </c>
      <c r="HB86">
        <v>0.46894200000000003</v>
      </c>
      <c r="HC86">
        <v>0.41249799999999998</v>
      </c>
      <c r="HD86">
        <v>0.61343499999999995</v>
      </c>
      <c r="HE86">
        <v>0.39331199999999999</v>
      </c>
      <c r="HF86" t="s">
        <v>114</v>
      </c>
      <c r="HG86">
        <v>0.43151</v>
      </c>
      <c r="HH86">
        <v>0.37570100000000001</v>
      </c>
      <c r="HI86">
        <v>0.57456300000000005</v>
      </c>
      <c r="HJ86">
        <v>0.385988</v>
      </c>
      <c r="HK86">
        <v>0.59192199999999995</v>
      </c>
      <c r="HL86">
        <v>0.59527300000000005</v>
      </c>
      <c r="HM86" t="s">
        <v>114</v>
      </c>
      <c r="HN86">
        <v>0.58477699999999999</v>
      </c>
      <c r="HO86">
        <v>0.40565800000000002</v>
      </c>
      <c r="HP86" t="s">
        <v>114</v>
      </c>
      <c r="HQ86">
        <v>0.86932100000000001</v>
      </c>
      <c r="HR86">
        <v>1.1895249999999999</v>
      </c>
      <c r="HS86" t="s">
        <v>114</v>
      </c>
      <c r="HT86">
        <v>0.36304599999999998</v>
      </c>
      <c r="HU86">
        <v>0.46685500000000002</v>
      </c>
      <c r="HV86" t="s">
        <v>114</v>
      </c>
      <c r="HW86" t="s">
        <v>114</v>
      </c>
      <c r="HX86">
        <v>0.36307400000000001</v>
      </c>
      <c r="HY86">
        <v>0.31431500000000001</v>
      </c>
      <c r="HZ86">
        <v>0.47241499999999997</v>
      </c>
      <c r="IA86">
        <v>1.058341</v>
      </c>
      <c r="IB86" t="s">
        <v>114</v>
      </c>
      <c r="IC86" t="s">
        <v>114</v>
      </c>
      <c r="ID86" t="s">
        <v>114</v>
      </c>
      <c r="IE86">
        <v>0.358294</v>
      </c>
      <c r="IF86">
        <v>0.76549999999999996</v>
      </c>
      <c r="IG86" t="s">
        <v>114</v>
      </c>
      <c r="IH86">
        <v>0.84267300000000001</v>
      </c>
      <c r="II86" t="s">
        <v>114</v>
      </c>
      <c r="IJ86">
        <v>0.37846400000000002</v>
      </c>
      <c r="IK86" t="s">
        <v>114</v>
      </c>
      <c r="IL86" t="s">
        <v>114</v>
      </c>
      <c r="IM86" t="s">
        <v>114</v>
      </c>
      <c r="IN86">
        <v>0.38775500000000002</v>
      </c>
      <c r="IO86">
        <v>0.40877999999999998</v>
      </c>
      <c r="IP86">
        <v>0.38520100000000002</v>
      </c>
      <c r="IQ86" t="s">
        <v>114</v>
      </c>
      <c r="IR86">
        <v>0.37114399999999997</v>
      </c>
      <c r="IS86">
        <v>0.36391800000000002</v>
      </c>
      <c r="IT86">
        <v>0.83513300000000001</v>
      </c>
      <c r="IU86">
        <v>0.82326500000000002</v>
      </c>
      <c r="IV86">
        <v>1.3424929999999999</v>
      </c>
      <c r="IW86">
        <v>0.665269</v>
      </c>
      <c r="IX86">
        <v>1.4142140000000001</v>
      </c>
      <c r="IY86">
        <v>0.368197</v>
      </c>
      <c r="IZ86">
        <v>0.97410200000000002</v>
      </c>
      <c r="JA86">
        <v>0.806029</v>
      </c>
      <c r="JB86" t="s">
        <v>114</v>
      </c>
      <c r="JC86">
        <v>0.94000899999999998</v>
      </c>
      <c r="JD86">
        <v>0.45622800000000002</v>
      </c>
      <c r="JE86">
        <v>0.206925</v>
      </c>
      <c r="JF86" t="s">
        <v>114</v>
      </c>
      <c r="JG86">
        <v>0.38233600000000001</v>
      </c>
      <c r="JH86">
        <v>1.2443649999999999</v>
      </c>
      <c r="JI86" t="s">
        <v>114</v>
      </c>
      <c r="JJ86" t="s">
        <v>114</v>
      </c>
      <c r="JK86">
        <v>0.69342099999999995</v>
      </c>
      <c r="JL86">
        <v>0.38706600000000002</v>
      </c>
      <c r="JM86">
        <v>0.48735800000000001</v>
      </c>
      <c r="JN86">
        <v>0.51114800000000005</v>
      </c>
      <c r="JO86" t="s">
        <v>114</v>
      </c>
      <c r="JP86">
        <v>0.65900099999999995</v>
      </c>
      <c r="JQ86" t="s">
        <v>114</v>
      </c>
      <c r="JR86">
        <v>0.77037500000000003</v>
      </c>
      <c r="JS86" t="s">
        <v>114</v>
      </c>
      <c r="JT86" t="s">
        <v>114</v>
      </c>
      <c r="JU86">
        <v>0.67401100000000003</v>
      </c>
      <c r="JV86" t="s">
        <v>114</v>
      </c>
      <c r="JW86">
        <v>0.517123</v>
      </c>
      <c r="JX86" t="s">
        <v>114</v>
      </c>
      <c r="JY86">
        <v>0.35485499999999998</v>
      </c>
      <c r="JZ86" t="s">
        <v>114</v>
      </c>
      <c r="KA86" t="s">
        <v>114</v>
      </c>
      <c r="KB86" t="s">
        <v>114</v>
      </c>
      <c r="KC86" t="s">
        <v>114</v>
      </c>
      <c r="KD86">
        <v>0.30579400000000001</v>
      </c>
      <c r="KE86">
        <v>0.98729</v>
      </c>
      <c r="KF86">
        <v>0.263409</v>
      </c>
      <c r="KG86">
        <v>0.29520800000000003</v>
      </c>
      <c r="KH86" t="s">
        <v>114</v>
      </c>
      <c r="KI86">
        <v>1.195411</v>
      </c>
      <c r="KJ86" t="s">
        <v>114</v>
      </c>
      <c r="KK86">
        <v>0.305871</v>
      </c>
      <c r="KL86" t="s">
        <v>114</v>
      </c>
      <c r="KM86">
        <v>0.59626900000000005</v>
      </c>
      <c r="KN86">
        <v>0.74922900000000003</v>
      </c>
      <c r="KO86" t="s">
        <v>114</v>
      </c>
      <c r="KP86">
        <v>1.881453</v>
      </c>
      <c r="KQ86">
        <v>0.94291899999999995</v>
      </c>
      <c r="KR86">
        <v>1.0417540000000001</v>
      </c>
      <c r="KS86">
        <v>0.63771299999999997</v>
      </c>
      <c r="KT86">
        <v>0.45820100000000002</v>
      </c>
      <c r="KU86" t="s">
        <v>114</v>
      </c>
      <c r="KV86">
        <v>0.75800900000000004</v>
      </c>
      <c r="KW86">
        <v>0.43620300000000001</v>
      </c>
      <c r="KX86">
        <v>0.80685700000000005</v>
      </c>
      <c r="KY86">
        <v>0.46904899999999999</v>
      </c>
      <c r="KZ86">
        <v>1.1082460000000001</v>
      </c>
      <c r="LA86">
        <v>0.34601399999999999</v>
      </c>
      <c r="LB86">
        <v>0.72297800000000001</v>
      </c>
      <c r="LC86">
        <v>0.52553799999999995</v>
      </c>
      <c r="LD86" t="s">
        <v>114</v>
      </c>
      <c r="LE86">
        <v>0.63282499999999997</v>
      </c>
      <c r="LF86">
        <v>0.67343500000000001</v>
      </c>
      <c r="LG86">
        <v>0.45158700000000002</v>
      </c>
      <c r="LH86">
        <v>0.68093499999999996</v>
      </c>
      <c r="LI86">
        <v>0.59680500000000003</v>
      </c>
      <c r="LJ86">
        <v>0.81807700000000005</v>
      </c>
      <c r="LK86">
        <v>0.30135099999999998</v>
      </c>
      <c r="LL86">
        <v>0.28035300000000002</v>
      </c>
      <c r="LM86">
        <v>0.31739499999999998</v>
      </c>
      <c r="LN86">
        <v>0.49559900000000001</v>
      </c>
      <c r="LO86">
        <v>0.34620499999999998</v>
      </c>
      <c r="LP86">
        <v>0.85073399999999999</v>
      </c>
      <c r="LQ86">
        <v>0.30570399999999998</v>
      </c>
      <c r="LR86" t="s">
        <v>114</v>
      </c>
      <c r="LS86">
        <v>0.958596</v>
      </c>
      <c r="LT86">
        <v>0.61017999999999994</v>
      </c>
      <c r="LU86">
        <v>0.70979599999999998</v>
      </c>
      <c r="LV86">
        <v>0.31763799999999998</v>
      </c>
      <c r="LW86" t="s">
        <v>114</v>
      </c>
      <c r="LX86">
        <v>0.42382999999999998</v>
      </c>
      <c r="LY86">
        <v>0.33410000000000001</v>
      </c>
      <c r="LZ86" t="s">
        <v>114</v>
      </c>
      <c r="MA86">
        <v>0.46900799999999998</v>
      </c>
      <c r="MB86">
        <v>0.36951600000000001</v>
      </c>
      <c r="MC86">
        <v>0.88924700000000001</v>
      </c>
      <c r="MD86">
        <v>0.54133600000000004</v>
      </c>
      <c r="ME86">
        <v>0.353653</v>
      </c>
      <c r="MF86">
        <v>0.34432600000000002</v>
      </c>
      <c r="MG86" t="s">
        <v>114</v>
      </c>
      <c r="MH86" t="s">
        <v>114</v>
      </c>
      <c r="MI86">
        <v>0.34424300000000002</v>
      </c>
      <c r="MJ86">
        <v>0.49153999999999998</v>
      </c>
      <c r="MK86">
        <v>0.34442699999999998</v>
      </c>
      <c r="ML86" t="s">
        <v>114</v>
      </c>
      <c r="MM86">
        <v>0.355661</v>
      </c>
      <c r="MN86">
        <v>0.35706399999999999</v>
      </c>
      <c r="MO86">
        <v>0.34435900000000003</v>
      </c>
      <c r="MP86">
        <v>0.32622499999999999</v>
      </c>
      <c r="MQ86">
        <v>0.50407800000000003</v>
      </c>
      <c r="MR86">
        <v>0.64308900000000002</v>
      </c>
      <c r="MS86" t="s">
        <v>114</v>
      </c>
      <c r="MT86">
        <v>0.44161899999999998</v>
      </c>
      <c r="MU86">
        <v>0.49153599999999997</v>
      </c>
      <c r="MV86">
        <v>0.40450700000000001</v>
      </c>
      <c r="MW86">
        <v>0.40143600000000002</v>
      </c>
      <c r="MX86" t="s">
        <v>114</v>
      </c>
      <c r="MY86" t="s">
        <v>114</v>
      </c>
      <c r="MZ86">
        <v>0.68086400000000002</v>
      </c>
      <c r="NA86">
        <v>0.67722800000000005</v>
      </c>
      <c r="NB86" t="s">
        <v>114</v>
      </c>
      <c r="NC86">
        <v>0.76507400000000003</v>
      </c>
      <c r="ND86">
        <v>0.36146299999999998</v>
      </c>
      <c r="NE86">
        <v>0.66625299999999998</v>
      </c>
      <c r="NF86" t="s">
        <v>114</v>
      </c>
      <c r="NG86">
        <v>0.73451100000000002</v>
      </c>
      <c r="NH86">
        <v>0.72170699999999999</v>
      </c>
      <c r="NI86">
        <v>0.56875299999999995</v>
      </c>
      <c r="NJ86">
        <v>0.50038000000000005</v>
      </c>
      <c r="NK86">
        <v>0.14156299999999999</v>
      </c>
      <c r="NL86">
        <v>0.441135</v>
      </c>
      <c r="NM86">
        <v>0.64805800000000002</v>
      </c>
      <c r="NN86">
        <v>1.0414639999999999</v>
      </c>
      <c r="NO86">
        <v>0.48531400000000002</v>
      </c>
      <c r="NP86">
        <v>0.41828399999999999</v>
      </c>
      <c r="NQ86" t="s">
        <v>114</v>
      </c>
      <c r="NR86">
        <v>0.58065199999999995</v>
      </c>
      <c r="NS86">
        <v>0.73552300000000004</v>
      </c>
      <c r="NT86">
        <v>0.65790700000000002</v>
      </c>
      <c r="NU86">
        <v>0.80882600000000004</v>
      </c>
      <c r="NV86">
        <v>0.458839</v>
      </c>
      <c r="NW86">
        <v>0.82622899999999999</v>
      </c>
      <c r="NX86">
        <v>0.79090000000000005</v>
      </c>
      <c r="NY86" t="s">
        <v>114</v>
      </c>
      <c r="NZ86" t="s">
        <v>114</v>
      </c>
      <c r="OA86">
        <v>0.95964799999999995</v>
      </c>
      <c r="OB86">
        <v>0.38716400000000001</v>
      </c>
      <c r="OC86">
        <v>0.93604900000000002</v>
      </c>
      <c r="OD86">
        <v>0.95548299999999997</v>
      </c>
      <c r="OE86">
        <v>1.260921</v>
      </c>
      <c r="OF86" t="s">
        <v>114</v>
      </c>
      <c r="OG86">
        <v>0.32935300000000001</v>
      </c>
      <c r="OH86">
        <v>0.27120499999999997</v>
      </c>
      <c r="OI86" t="s">
        <v>114</v>
      </c>
      <c r="OJ86">
        <v>0.40461900000000001</v>
      </c>
      <c r="OK86">
        <v>0.36712699999999998</v>
      </c>
      <c r="OL86">
        <v>0.58156200000000002</v>
      </c>
      <c r="OM86">
        <v>0.87274799999999997</v>
      </c>
      <c r="ON86">
        <v>0.54619200000000001</v>
      </c>
      <c r="OO86" t="s">
        <v>114</v>
      </c>
      <c r="OP86">
        <v>0.56165600000000004</v>
      </c>
      <c r="OQ86" t="s">
        <v>114</v>
      </c>
      <c r="OR86" t="s">
        <v>114</v>
      </c>
      <c r="OS86" t="s">
        <v>114</v>
      </c>
      <c r="OT86" t="s">
        <v>114</v>
      </c>
      <c r="OU86" t="s">
        <v>114</v>
      </c>
      <c r="OV86" t="s">
        <v>114</v>
      </c>
      <c r="OW86" t="s">
        <v>114</v>
      </c>
      <c r="OX86" t="s">
        <v>114</v>
      </c>
      <c r="OY86" t="s">
        <v>114</v>
      </c>
      <c r="OZ86" t="s">
        <v>114</v>
      </c>
      <c r="PA86" t="s">
        <v>114</v>
      </c>
      <c r="PB86">
        <v>0.51084200000000002</v>
      </c>
      <c r="PC86">
        <v>0.48286600000000002</v>
      </c>
      <c r="PD86" t="s">
        <v>114</v>
      </c>
      <c r="PE86">
        <v>0.63150600000000001</v>
      </c>
      <c r="PF86">
        <v>1.087801</v>
      </c>
      <c r="PG86">
        <v>0.62268400000000002</v>
      </c>
      <c r="PH86">
        <v>0.57968500000000001</v>
      </c>
      <c r="PI86">
        <v>0.63988699999999998</v>
      </c>
      <c r="PJ86">
        <v>0.69600200000000001</v>
      </c>
      <c r="PK86">
        <v>0.53339400000000003</v>
      </c>
      <c r="PL86" t="s">
        <v>114</v>
      </c>
      <c r="PM86">
        <v>0.64636899999999997</v>
      </c>
      <c r="PN86" t="s">
        <v>114</v>
      </c>
      <c r="PO86" t="s">
        <v>114</v>
      </c>
      <c r="PP86">
        <v>0.51708500000000002</v>
      </c>
      <c r="PQ86">
        <v>0.65826600000000002</v>
      </c>
      <c r="PR86">
        <v>0.66556199999999999</v>
      </c>
      <c r="PS86">
        <v>0.43319999999999997</v>
      </c>
      <c r="PT86">
        <v>1.060065</v>
      </c>
      <c r="PU86">
        <v>0.45771499999999998</v>
      </c>
      <c r="PV86">
        <v>0.42181299999999999</v>
      </c>
      <c r="PW86">
        <v>0.38808599999999999</v>
      </c>
      <c r="PX86">
        <v>0.37428499999999998</v>
      </c>
      <c r="PY86">
        <v>0.52007099999999995</v>
      </c>
      <c r="PZ86">
        <v>0.42879800000000001</v>
      </c>
      <c r="QA86">
        <v>0.93247500000000005</v>
      </c>
      <c r="QB86">
        <v>0.69333299999999998</v>
      </c>
      <c r="QC86">
        <v>1.0234369999999999</v>
      </c>
      <c r="QD86">
        <v>0.50863700000000001</v>
      </c>
      <c r="QE86">
        <v>0.54738500000000001</v>
      </c>
      <c r="QF86">
        <v>0.70030499999999996</v>
      </c>
      <c r="QG86">
        <v>0.43351400000000001</v>
      </c>
      <c r="QH86" t="s">
        <v>114</v>
      </c>
      <c r="QI86" t="s">
        <v>114</v>
      </c>
      <c r="QJ86">
        <v>0.58890100000000001</v>
      </c>
      <c r="QK86">
        <v>0.731294</v>
      </c>
      <c r="QL86" t="s">
        <v>114</v>
      </c>
      <c r="QM86">
        <v>0.773146</v>
      </c>
      <c r="QN86" t="s">
        <v>114</v>
      </c>
      <c r="QO86">
        <v>0.66258600000000001</v>
      </c>
      <c r="QP86">
        <v>0.49484800000000001</v>
      </c>
      <c r="QQ86" t="s">
        <v>114</v>
      </c>
      <c r="QR86" t="s">
        <v>114</v>
      </c>
      <c r="QS86">
        <v>0.56451099999999999</v>
      </c>
      <c r="QT86" t="s">
        <v>114</v>
      </c>
      <c r="QU86" t="s">
        <v>114</v>
      </c>
      <c r="QV86">
        <v>0.42940099999999998</v>
      </c>
      <c r="QW86">
        <v>0.43236799999999997</v>
      </c>
      <c r="QX86">
        <v>0.82967400000000002</v>
      </c>
      <c r="QY86">
        <v>0.63686100000000001</v>
      </c>
      <c r="QZ86">
        <v>0.37120300000000001</v>
      </c>
      <c r="RA86">
        <v>0.249005</v>
      </c>
      <c r="RB86">
        <v>0.26397599999999999</v>
      </c>
      <c r="RC86">
        <v>0.97650499999999996</v>
      </c>
      <c r="RD86">
        <v>0.56492399999999998</v>
      </c>
      <c r="RE86">
        <v>0.28138000000000002</v>
      </c>
      <c r="RF86">
        <v>0.61925300000000005</v>
      </c>
      <c r="RG86">
        <v>0.41612199999999999</v>
      </c>
      <c r="RH86">
        <v>0.60583299999999995</v>
      </c>
      <c r="RI86">
        <v>0.80969500000000005</v>
      </c>
      <c r="RJ86">
        <v>0.335646</v>
      </c>
      <c r="RK86">
        <v>0.74035799999999996</v>
      </c>
      <c r="RL86">
        <v>0.72322799999999998</v>
      </c>
      <c r="RM86">
        <v>0.244338</v>
      </c>
      <c r="RN86">
        <v>1.0132620000000001</v>
      </c>
      <c r="RO86">
        <v>0.50479300000000005</v>
      </c>
      <c r="RP86" t="s">
        <v>114</v>
      </c>
      <c r="RQ86">
        <v>0.592777</v>
      </c>
      <c r="RR86">
        <v>0.65152299999999996</v>
      </c>
      <c r="RS86">
        <v>0.57436799999999999</v>
      </c>
      <c r="RT86">
        <v>0.42897999999999997</v>
      </c>
      <c r="RU86">
        <v>0.952627</v>
      </c>
      <c r="RV86">
        <v>0.36985099999999999</v>
      </c>
      <c r="RW86">
        <v>0.55771000000000004</v>
      </c>
      <c r="RX86">
        <v>0.233265</v>
      </c>
      <c r="RY86">
        <v>0.34411700000000001</v>
      </c>
      <c r="RZ86">
        <v>0.45566600000000002</v>
      </c>
      <c r="SA86">
        <v>0.85517299999999996</v>
      </c>
      <c r="SB86">
        <v>0.5171</v>
      </c>
      <c r="SC86">
        <v>0.51922599999999997</v>
      </c>
      <c r="SD86">
        <v>0.46329300000000001</v>
      </c>
      <c r="SE86">
        <v>0.43564199999999997</v>
      </c>
      <c r="SF86">
        <v>0.48868400000000001</v>
      </c>
      <c r="SG86">
        <v>0.450376</v>
      </c>
      <c r="SH86">
        <v>0.69272400000000001</v>
      </c>
      <c r="SI86">
        <v>0.43657000000000001</v>
      </c>
      <c r="SJ86" t="s">
        <v>114</v>
      </c>
      <c r="SK86" t="s">
        <v>114</v>
      </c>
      <c r="SL86" t="s">
        <v>114</v>
      </c>
      <c r="SM86" t="s">
        <v>114</v>
      </c>
      <c r="SN86">
        <v>0.44231700000000002</v>
      </c>
      <c r="SO86" t="s">
        <v>114</v>
      </c>
      <c r="SP86">
        <v>1.056897</v>
      </c>
      <c r="SQ86" t="s">
        <v>114</v>
      </c>
      <c r="SR86">
        <v>0.48053499999999999</v>
      </c>
      <c r="SS86">
        <v>0.44275700000000001</v>
      </c>
      <c r="ST86">
        <v>0.54212099999999996</v>
      </c>
      <c r="SU86">
        <v>0.28275099999999997</v>
      </c>
      <c r="SV86" t="s">
        <v>114</v>
      </c>
      <c r="SW86">
        <v>0.27568999999999999</v>
      </c>
      <c r="SX86" t="s">
        <v>114</v>
      </c>
      <c r="SY86">
        <v>0.53103</v>
      </c>
      <c r="SZ86">
        <v>0.55761899999999998</v>
      </c>
      <c r="TA86">
        <v>0.27628399999999997</v>
      </c>
      <c r="TB86">
        <v>0.59549700000000005</v>
      </c>
      <c r="TC86">
        <v>0.25711000000000001</v>
      </c>
      <c r="TD86">
        <v>0.25537399999999999</v>
      </c>
      <c r="TE86">
        <v>0.36609599999999998</v>
      </c>
      <c r="TF86">
        <v>0.60767099999999996</v>
      </c>
      <c r="TG86">
        <v>0.80096199999999995</v>
      </c>
      <c r="TH86">
        <v>0.490035</v>
      </c>
      <c r="TI86">
        <v>0.69952899999999996</v>
      </c>
      <c r="TJ86" t="s">
        <v>114</v>
      </c>
      <c r="TK86">
        <v>0.68702799999999997</v>
      </c>
      <c r="TL86" t="s">
        <v>114</v>
      </c>
      <c r="TM86" t="s">
        <v>114</v>
      </c>
      <c r="TN86">
        <v>0.43569799999999997</v>
      </c>
      <c r="TO86" t="s">
        <v>114</v>
      </c>
      <c r="TP86">
        <v>0.59119299999999997</v>
      </c>
      <c r="TQ86">
        <v>0.43534299999999998</v>
      </c>
      <c r="TR86">
        <v>1.131588</v>
      </c>
      <c r="TS86">
        <v>1.296333</v>
      </c>
      <c r="TT86" t="s">
        <v>114</v>
      </c>
      <c r="TU86" t="s">
        <v>114</v>
      </c>
      <c r="TV86">
        <v>0.98102699999999998</v>
      </c>
      <c r="TW86">
        <v>0.70003000000000004</v>
      </c>
      <c r="TX86">
        <v>0.41390900000000003</v>
      </c>
      <c r="TY86" t="s">
        <v>114</v>
      </c>
      <c r="TZ86">
        <v>0.40279599999999999</v>
      </c>
      <c r="UA86">
        <v>0.36716399999999999</v>
      </c>
      <c r="UB86">
        <v>0.55535299999999999</v>
      </c>
      <c r="UC86" t="s">
        <v>114</v>
      </c>
      <c r="UD86">
        <v>0.51332900000000004</v>
      </c>
      <c r="UE86">
        <v>0.48370600000000002</v>
      </c>
      <c r="UF86">
        <v>0.76832400000000001</v>
      </c>
      <c r="UG86">
        <v>0.83834900000000001</v>
      </c>
      <c r="UH86" t="s">
        <v>114</v>
      </c>
      <c r="UI86">
        <v>0.76770700000000003</v>
      </c>
      <c r="UJ86">
        <v>0.51431700000000002</v>
      </c>
      <c r="UK86">
        <v>1.347364</v>
      </c>
      <c r="UL86">
        <v>0.46701199999999998</v>
      </c>
      <c r="UM86" t="s">
        <v>114</v>
      </c>
      <c r="UN86" t="s">
        <v>114</v>
      </c>
      <c r="UO86" t="s">
        <v>114</v>
      </c>
      <c r="UP86">
        <v>0.42367899999999997</v>
      </c>
      <c r="UQ86" t="s">
        <v>114</v>
      </c>
      <c r="UR86">
        <v>0.28887499999999999</v>
      </c>
      <c r="US86">
        <v>0.29771599999999998</v>
      </c>
      <c r="UT86">
        <v>0.8266</v>
      </c>
      <c r="UU86">
        <v>0.35843799999999998</v>
      </c>
      <c r="UV86">
        <v>0.61295200000000005</v>
      </c>
      <c r="UW86" t="s">
        <v>114</v>
      </c>
      <c r="UX86">
        <v>0.258884</v>
      </c>
      <c r="UY86">
        <v>0.32889800000000002</v>
      </c>
      <c r="UZ86" t="s">
        <v>114</v>
      </c>
      <c r="VA86">
        <v>0.27675300000000003</v>
      </c>
      <c r="VB86">
        <v>0.79461300000000001</v>
      </c>
      <c r="VC86" t="s">
        <v>114</v>
      </c>
      <c r="VD86">
        <v>0.55725199999999997</v>
      </c>
      <c r="VE86">
        <v>0.30581999999999998</v>
      </c>
      <c r="VF86">
        <v>0.46668300000000001</v>
      </c>
      <c r="VG86">
        <v>0.88075300000000001</v>
      </c>
      <c r="VH86">
        <v>1.572417</v>
      </c>
      <c r="VI86" t="s">
        <v>114</v>
      </c>
      <c r="VJ86" t="s">
        <v>114</v>
      </c>
      <c r="VK86" t="s">
        <v>114</v>
      </c>
      <c r="VL86" t="s">
        <v>114</v>
      </c>
      <c r="VM86" t="s">
        <v>114</v>
      </c>
      <c r="VN86" t="s">
        <v>114</v>
      </c>
      <c r="VO86">
        <v>0.40179700000000002</v>
      </c>
      <c r="VP86">
        <v>0.67552199999999996</v>
      </c>
      <c r="VQ86">
        <v>0.64006799999999997</v>
      </c>
      <c r="VR86">
        <v>0.70908800000000005</v>
      </c>
      <c r="VS86">
        <v>0.90507300000000002</v>
      </c>
      <c r="VT86" t="s">
        <v>114</v>
      </c>
      <c r="VU86">
        <v>0.81509100000000001</v>
      </c>
      <c r="VV86" t="s">
        <v>114</v>
      </c>
      <c r="VW86" t="s">
        <v>114</v>
      </c>
      <c r="VX86" t="s">
        <v>114</v>
      </c>
      <c r="VY86">
        <v>0.33383299999999999</v>
      </c>
      <c r="VZ86">
        <v>0.30710999999999999</v>
      </c>
      <c r="WA86" t="s">
        <v>114</v>
      </c>
      <c r="WB86" t="s">
        <v>114</v>
      </c>
      <c r="WC86" t="s">
        <v>114</v>
      </c>
      <c r="WD86">
        <v>1.1221080000000001</v>
      </c>
      <c r="WE86">
        <v>0.96835000000000004</v>
      </c>
      <c r="WF86">
        <v>0.75480199999999997</v>
      </c>
      <c r="WG86">
        <v>0.84249099999999999</v>
      </c>
      <c r="WH86" t="s">
        <v>114</v>
      </c>
      <c r="WI86">
        <v>0.60937200000000002</v>
      </c>
      <c r="WJ86">
        <v>0.91731499999999999</v>
      </c>
      <c r="WK86">
        <v>0.38531500000000002</v>
      </c>
      <c r="WL86" t="s">
        <v>114</v>
      </c>
      <c r="WM86">
        <v>0.57271000000000005</v>
      </c>
      <c r="WN86">
        <v>0.46398099999999998</v>
      </c>
      <c r="WO86">
        <v>0.41515999999999997</v>
      </c>
      <c r="WP86">
        <v>0.45814500000000002</v>
      </c>
      <c r="WQ86">
        <v>0.472134</v>
      </c>
      <c r="WR86" t="s">
        <v>114</v>
      </c>
      <c r="WS86">
        <v>0.36482999999999999</v>
      </c>
      <c r="WT86" t="s">
        <v>114</v>
      </c>
      <c r="WU86" t="s">
        <v>114</v>
      </c>
      <c r="WV86" t="s">
        <v>114</v>
      </c>
      <c r="WW86">
        <v>0.91089100000000001</v>
      </c>
      <c r="WX86">
        <v>0.75853199999999998</v>
      </c>
      <c r="WY86" t="s">
        <v>114</v>
      </c>
      <c r="WZ86" t="s">
        <v>114</v>
      </c>
      <c r="XA86">
        <v>0.98137600000000003</v>
      </c>
      <c r="XB86" t="s">
        <v>114</v>
      </c>
      <c r="XC86">
        <v>1.0881050000000001</v>
      </c>
      <c r="XD86">
        <v>0.71513700000000002</v>
      </c>
      <c r="XE86">
        <v>0.65099600000000002</v>
      </c>
      <c r="XF86" t="s">
        <v>114</v>
      </c>
      <c r="XG86">
        <v>0.61028700000000002</v>
      </c>
      <c r="XH86">
        <v>0.51660700000000004</v>
      </c>
      <c r="XI86" t="s">
        <v>114</v>
      </c>
      <c r="XJ86">
        <v>0.166793</v>
      </c>
      <c r="XK86">
        <v>0.50697099999999995</v>
      </c>
      <c r="XL86">
        <v>0.78733699999999995</v>
      </c>
      <c r="XM86">
        <v>0.40552199999999999</v>
      </c>
      <c r="XN86">
        <v>0.50619000000000003</v>
      </c>
      <c r="XO86" t="s">
        <v>114</v>
      </c>
      <c r="XP86" t="s">
        <v>114</v>
      </c>
      <c r="XQ86" t="s">
        <v>114</v>
      </c>
      <c r="XR86">
        <v>1.02305</v>
      </c>
      <c r="XS86">
        <v>0.70227600000000001</v>
      </c>
      <c r="XT86">
        <v>0.425367</v>
      </c>
      <c r="XU86" t="s">
        <v>114</v>
      </c>
      <c r="XV86" t="s">
        <v>114</v>
      </c>
      <c r="XW86" t="s">
        <v>114</v>
      </c>
      <c r="XX86">
        <v>0.82537199999999999</v>
      </c>
      <c r="XY86">
        <v>0.60110799999999998</v>
      </c>
      <c r="XZ86">
        <v>1.253873</v>
      </c>
      <c r="YA86">
        <v>0.86002800000000001</v>
      </c>
      <c r="YB86">
        <v>0.90604499999999999</v>
      </c>
      <c r="YC86">
        <v>0.542458</v>
      </c>
      <c r="YD86" t="s">
        <v>114</v>
      </c>
      <c r="YE86">
        <v>0.89026700000000003</v>
      </c>
      <c r="YF86" t="s">
        <v>114</v>
      </c>
      <c r="YG86">
        <v>0.43403599999999998</v>
      </c>
      <c r="YH86" t="s">
        <v>114</v>
      </c>
      <c r="YI86" t="s">
        <v>114</v>
      </c>
      <c r="YJ86">
        <v>0.57469499999999996</v>
      </c>
      <c r="YK86">
        <v>0.56535899999999994</v>
      </c>
      <c r="YL86">
        <v>0.586696</v>
      </c>
      <c r="YM86">
        <v>0.59379499999999996</v>
      </c>
      <c r="YN86" t="s">
        <v>114</v>
      </c>
      <c r="YO86" t="s">
        <v>114</v>
      </c>
      <c r="YP86" t="s">
        <v>114</v>
      </c>
      <c r="YQ86">
        <v>0.53634999999999999</v>
      </c>
      <c r="YR86">
        <v>0.62423600000000001</v>
      </c>
      <c r="YS86">
        <v>0.85768599999999995</v>
      </c>
      <c r="YT86" t="s">
        <v>114</v>
      </c>
      <c r="YU86">
        <v>0.523895</v>
      </c>
      <c r="YV86">
        <v>0.70682699999999998</v>
      </c>
      <c r="YW86" t="s">
        <v>114</v>
      </c>
      <c r="YX86" t="s">
        <v>114</v>
      </c>
      <c r="YY86" t="s">
        <v>114</v>
      </c>
      <c r="YZ86">
        <v>0.98990500000000003</v>
      </c>
      <c r="ZA86">
        <v>0.492031</v>
      </c>
      <c r="ZB86" t="s">
        <v>114</v>
      </c>
      <c r="ZC86">
        <v>0.63306899999999999</v>
      </c>
      <c r="ZD86">
        <v>0.44284200000000001</v>
      </c>
      <c r="ZE86">
        <v>0.43845699999999999</v>
      </c>
      <c r="ZF86" t="s">
        <v>114</v>
      </c>
      <c r="ZG86">
        <v>0.66358399999999995</v>
      </c>
      <c r="ZH86">
        <v>0.77607499999999996</v>
      </c>
      <c r="ZI86">
        <v>0.96194299999999999</v>
      </c>
      <c r="ZJ86">
        <v>0.80757400000000001</v>
      </c>
      <c r="ZK86" t="s">
        <v>114</v>
      </c>
      <c r="ZL86">
        <v>1.5229779999999999</v>
      </c>
      <c r="ZM86">
        <v>0.52910100000000004</v>
      </c>
      <c r="ZN86">
        <v>0.90369999999999995</v>
      </c>
      <c r="ZO86" t="s">
        <v>114</v>
      </c>
      <c r="ZP86" t="s">
        <v>114</v>
      </c>
      <c r="ZQ86" t="s">
        <v>114</v>
      </c>
      <c r="ZR86" t="s">
        <v>114</v>
      </c>
      <c r="ZS86" t="s">
        <v>114</v>
      </c>
      <c r="ZT86" t="s">
        <v>114</v>
      </c>
      <c r="ZU86" t="s">
        <v>114</v>
      </c>
      <c r="ZV86">
        <v>0.70279000000000003</v>
      </c>
      <c r="ZW86" t="s">
        <v>114</v>
      </c>
      <c r="ZX86">
        <v>0.108436</v>
      </c>
      <c r="ZY86">
        <v>0.71796800000000005</v>
      </c>
      <c r="ZZ86">
        <v>0.58239099999999999</v>
      </c>
      <c r="AAA86">
        <v>0.59021100000000004</v>
      </c>
      <c r="AAB86">
        <v>0.73742200000000002</v>
      </c>
      <c r="AAC86">
        <v>0.773123</v>
      </c>
      <c r="AAD86">
        <v>0.40951700000000002</v>
      </c>
      <c r="AAE86">
        <v>0.47309499999999999</v>
      </c>
      <c r="AAF86">
        <v>1.3734729999999999</v>
      </c>
      <c r="AAG86">
        <v>0.95731699999999997</v>
      </c>
      <c r="AAH86" t="s">
        <v>114</v>
      </c>
      <c r="AAI86" t="s">
        <v>114</v>
      </c>
      <c r="AAJ86" t="s">
        <v>114</v>
      </c>
      <c r="AAK86" t="s">
        <v>114</v>
      </c>
      <c r="AAL86" t="s">
        <v>114</v>
      </c>
      <c r="AAM86">
        <v>0.74200900000000003</v>
      </c>
      <c r="AAN86">
        <v>0.54453300000000004</v>
      </c>
      <c r="AAO86">
        <v>1.4930870000000001</v>
      </c>
      <c r="AAP86" t="s">
        <v>114</v>
      </c>
      <c r="AAQ86">
        <v>0.53594299999999995</v>
      </c>
      <c r="AAR86">
        <v>0.853406</v>
      </c>
      <c r="AAS86" t="s">
        <v>114</v>
      </c>
      <c r="AAT86">
        <v>0.81665299999999996</v>
      </c>
      <c r="AAU86">
        <v>0.34854499999999999</v>
      </c>
      <c r="AAV86" t="s">
        <v>114</v>
      </c>
      <c r="AAW86">
        <v>0.62622299999999997</v>
      </c>
      <c r="AAX86" t="s">
        <v>114</v>
      </c>
      <c r="AAY86" t="s">
        <v>114</v>
      </c>
      <c r="AAZ86" t="s">
        <v>114</v>
      </c>
      <c r="ABA86">
        <v>0.34978700000000001</v>
      </c>
      <c r="ABB86">
        <v>0.51509499999999997</v>
      </c>
      <c r="ABC86">
        <v>0.34574899999999997</v>
      </c>
      <c r="ABD86" t="s">
        <v>114</v>
      </c>
      <c r="ABE86">
        <v>0.57757800000000004</v>
      </c>
      <c r="ABF86" t="s">
        <v>114</v>
      </c>
      <c r="ABG86">
        <v>0.38059500000000002</v>
      </c>
      <c r="ABH86">
        <v>0.38960600000000001</v>
      </c>
      <c r="ABI86" t="s">
        <v>114</v>
      </c>
      <c r="ABJ86">
        <v>0.69454800000000005</v>
      </c>
      <c r="ABK86">
        <v>0.58038999999999996</v>
      </c>
      <c r="ABL86" t="s">
        <v>114</v>
      </c>
      <c r="ABM86">
        <v>0.442685</v>
      </c>
      <c r="ABN86" t="s">
        <v>114</v>
      </c>
      <c r="ABO86" t="s">
        <v>114</v>
      </c>
      <c r="ABP86">
        <v>1.152847</v>
      </c>
      <c r="ABQ86" t="s">
        <v>114</v>
      </c>
      <c r="ABR86">
        <v>0.86661500000000002</v>
      </c>
      <c r="ABS86">
        <v>0.41870499999999999</v>
      </c>
      <c r="ABT86" t="s">
        <v>114</v>
      </c>
      <c r="ABU86" t="s">
        <v>114</v>
      </c>
      <c r="ABV86" t="s">
        <v>114</v>
      </c>
      <c r="ABW86" t="s">
        <v>114</v>
      </c>
      <c r="ABX86" t="s">
        <v>114</v>
      </c>
      <c r="ABY86" t="s">
        <v>114</v>
      </c>
      <c r="ABZ86">
        <v>0.51052699999999995</v>
      </c>
      <c r="ACA86">
        <v>0.50597700000000001</v>
      </c>
      <c r="ACB86" t="s">
        <v>114</v>
      </c>
      <c r="ACC86">
        <v>0.48901299999999998</v>
      </c>
      <c r="ACD86" t="s">
        <v>114</v>
      </c>
      <c r="ACE86" t="s">
        <v>114</v>
      </c>
      <c r="ACF86" t="s">
        <v>114</v>
      </c>
      <c r="ACG86" t="s">
        <v>114</v>
      </c>
      <c r="ACH86" t="s">
        <v>114</v>
      </c>
      <c r="ACI86" t="s">
        <v>114</v>
      </c>
      <c r="ACJ86" t="s">
        <v>114</v>
      </c>
      <c r="ACK86">
        <v>0.53959100000000004</v>
      </c>
      <c r="ACL86">
        <v>0.57270200000000004</v>
      </c>
      <c r="ACM86" t="s">
        <v>114</v>
      </c>
      <c r="ACN86">
        <v>1.352935</v>
      </c>
      <c r="ACO86">
        <v>0.679566</v>
      </c>
    </row>
    <row r="87" spans="1:769" x14ac:dyDescent="0.25">
      <c r="A87" t="s">
        <v>894</v>
      </c>
      <c r="B87" t="s">
        <v>114</v>
      </c>
      <c r="C87" t="s">
        <v>114</v>
      </c>
      <c r="D87">
        <v>0.25354599999999999</v>
      </c>
      <c r="E87" t="s">
        <v>114</v>
      </c>
      <c r="F87">
        <v>0.27530300000000002</v>
      </c>
      <c r="G87">
        <v>0.231928</v>
      </c>
      <c r="H87">
        <v>0.16886000000000001</v>
      </c>
      <c r="I87">
        <v>0.78695000000000004</v>
      </c>
      <c r="J87" t="s">
        <v>114</v>
      </c>
      <c r="K87">
        <v>0.323739</v>
      </c>
      <c r="L87" t="s">
        <v>114</v>
      </c>
      <c r="M87">
        <v>0.24606700000000001</v>
      </c>
      <c r="N87" t="s">
        <v>114</v>
      </c>
      <c r="O87">
        <v>0.26259199999999999</v>
      </c>
      <c r="P87">
        <v>0.299701</v>
      </c>
      <c r="Q87" t="s">
        <v>114</v>
      </c>
      <c r="R87">
        <v>1.017277</v>
      </c>
      <c r="S87">
        <v>0.29580400000000001</v>
      </c>
      <c r="T87">
        <v>0.91332199999999997</v>
      </c>
      <c r="U87">
        <v>0.360072</v>
      </c>
      <c r="V87">
        <v>0.13645099999999999</v>
      </c>
      <c r="W87" t="s">
        <v>114</v>
      </c>
      <c r="X87">
        <v>0.386189</v>
      </c>
      <c r="Y87">
        <v>0.96250100000000005</v>
      </c>
      <c r="Z87" t="s">
        <v>114</v>
      </c>
      <c r="AA87">
        <v>0.548794</v>
      </c>
      <c r="AB87">
        <v>0.38828600000000002</v>
      </c>
      <c r="AC87">
        <v>0.386189</v>
      </c>
      <c r="AD87" t="s">
        <v>114</v>
      </c>
      <c r="AE87">
        <v>0.68126200000000003</v>
      </c>
      <c r="AF87">
        <v>0</v>
      </c>
      <c r="AG87">
        <v>0.41227399999999997</v>
      </c>
      <c r="AH87">
        <v>0.331897</v>
      </c>
      <c r="AI87">
        <v>0.17586099999999999</v>
      </c>
      <c r="AJ87">
        <v>0</v>
      </c>
      <c r="AK87">
        <v>0.19161600000000001</v>
      </c>
      <c r="AL87">
        <v>0.18279799999999999</v>
      </c>
      <c r="AM87">
        <v>0.31517699999999998</v>
      </c>
      <c r="AN87">
        <v>0.23519799999999999</v>
      </c>
      <c r="AO87">
        <v>0.192797</v>
      </c>
      <c r="AP87">
        <v>0.54560399999999998</v>
      </c>
      <c r="AQ87">
        <v>0.61036599999999996</v>
      </c>
      <c r="AR87">
        <v>0</v>
      </c>
      <c r="AS87">
        <v>0.23214299999999999</v>
      </c>
      <c r="AT87" t="s">
        <v>114</v>
      </c>
      <c r="AU87">
        <v>0.30005999999999999</v>
      </c>
      <c r="AV87" t="s">
        <v>114</v>
      </c>
      <c r="AW87">
        <v>0.19767000000000001</v>
      </c>
      <c r="AX87">
        <v>0.50100199999999995</v>
      </c>
      <c r="AY87">
        <v>0</v>
      </c>
      <c r="AZ87">
        <v>0.26286799999999999</v>
      </c>
      <c r="BA87">
        <v>0.35886699999999999</v>
      </c>
      <c r="BB87">
        <v>0.85119100000000003</v>
      </c>
      <c r="BC87" t="s">
        <v>114</v>
      </c>
      <c r="BD87">
        <v>0.73559699999999995</v>
      </c>
      <c r="BE87">
        <v>0.19444500000000001</v>
      </c>
      <c r="BF87">
        <v>0.237204</v>
      </c>
      <c r="BG87">
        <v>0.18266399999999999</v>
      </c>
      <c r="BH87">
        <v>0.37295099999999998</v>
      </c>
      <c r="BI87">
        <v>0.39596599999999998</v>
      </c>
      <c r="BJ87">
        <v>0.26537699999999997</v>
      </c>
      <c r="BK87">
        <v>0.24474399999999999</v>
      </c>
      <c r="BL87">
        <v>0.83825700000000003</v>
      </c>
      <c r="BM87">
        <v>0.45686900000000003</v>
      </c>
      <c r="BN87" t="s">
        <v>114</v>
      </c>
      <c r="BO87" t="s">
        <v>114</v>
      </c>
      <c r="BP87">
        <v>0.45938499999999999</v>
      </c>
      <c r="BQ87">
        <v>0.55155900000000002</v>
      </c>
      <c r="BR87" t="s">
        <v>114</v>
      </c>
      <c r="BS87">
        <v>0.35572199999999998</v>
      </c>
      <c r="BT87">
        <v>0.15543499999999999</v>
      </c>
      <c r="BU87" t="s">
        <v>114</v>
      </c>
      <c r="BV87">
        <v>0.375751</v>
      </c>
      <c r="BW87">
        <v>0.272505</v>
      </c>
      <c r="BX87" t="s">
        <v>114</v>
      </c>
      <c r="BY87" t="s">
        <v>114</v>
      </c>
      <c r="BZ87">
        <v>2.0818050000000001</v>
      </c>
      <c r="CA87">
        <v>10.977318</v>
      </c>
      <c r="CB87" t="s">
        <v>114</v>
      </c>
      <c r="CC87">
        <v>0.39224199999999998</v>
      </c>
      <c r="CD87">
        <v>0.486238</v>
      </c>
      <c r="CE87">
        <v>0.37001000000000001</v>
      </c>
      <c r="CF87">
        <v>1.239832</v>
      </c>
      <c r="CG87">
        <v>0.339092</v>
      </c>
      <c r="CH87" t="s">
        <v>114</v>
      </c>
      <c r="CI87">
        <v>0.39060899999999998</v>
      </c>
      <c r="CJ87">
        <v>0.30493500000000001</v>
      </c>
      <c r="CK87" t="s">
        <v>114</v>
      </c>
      <c r="CL87">
        <v>0.492813</v>
      </c>
      <c r="CM87">
        <v>0.25150800000000001</v>
      </c>
      <c r="CN87">
        <v>0.30952400000000002</v>
      </c>
      <c r="CO87">
        <v>0.48385600000000001</v>
      </c>
      <c r="CP87">
        <v>0.57585500000000001</v>
      </c>
      <c r="CQ87">
        <v>0.72770699999999999</v>
      </c>
      <c r="CR87">
        <v>0.92713900000000005</v>
      </c>
      <c r="CS87">
        <v>1.009946</v>
      </c>
      <c r="CT87" t="s">
        <v>114</v>
      </c>
      <c r="CU87">
        <v>0.565446</v>
      </c>
      <c r="CV87">
        <v>0.28919499999999998</v>
      </c>
      <c r="CW87">
        <v>3.3072720000000002</v>
      </c>
      <c r="CX87">
        <v>0.69756200000000002</v>
      </c>
      <c r="CY87">
        <v>0.41114499999999998</v>
      </c>
      <c r="CZ87">
        <v>0.40120299999999998</v>
      </c>
      <c r="DA87" t="s">
        <v>114</v>
      </c>
      <c r="DB87">
        <v>0.44213799999999998</v>
      </c>
      <c r="DC87">
        <v>0.45666099999999998</v>
      </c>
      <c r="DD87">
        <v>0.33292699999999997</v>
      </c>
      <c r="DE87">
        <v>1.2767869999999999</v>
      </c>
      <c r="DF87">
        <v>0.45632800000000001</v>
      </c>
      <c r="DG87">
        <v>1.367488</v>
      </c>
      <c r="DH87">
        <v>0.34094000000000002</v>
      </c>
      <c r="DI87">
        <v>0.49801000000000001</v>
      </c>
      <c r="DJ87">
        <v>0.178623</v>
      </c>
      <c r="DK87">
        <v>0.41092000000000001</v>
      </c>
      <c r="DL87">
        <v>0.28534799999999999</v>
      </c>
      <c r="DM87">
        <v>0.23000899999999999</v>
      </c>
      <c r="DN87">
        <v>0.75459200000000004</v>
      </c>
      <c r="DO87">
        <v>0.231713</v>
      </c>
      <c r="DP87">
        <v>0.107311</v>
      </c>
      <c r="DQ87">
        <v>0.19767000000000001</v>
      </c>
      <c r="DR87">
        <v>0.32056000000000001</v>
      </c>
      <c r="DS87">
        <v>0.211539</v>
      </c>
      <c r="DT87" t="s">
        <v>114</v>
      </c>
      <c r="DU87">
        <v>0.24842800000000001</v>
      </c>
      <c r="DV87" t="s">
        <v>114</v>
      </c>
      <c r="DW87" t="s">
        <v>114</v>
      </c>
      <c r="DX87">
        <v>0.219807</v>
      </c>
      <c r="DY87">
        <v>0.21489900000000001</v>
      </c>
      <c r="DZ87">
        <v>0.24249100000000001</v>
      </c>
      <c r="EA87">
        <v>0.321658</v>
      </c>
      <c r="EB87" t="s">
        <v>114</v>
      </c>
      <c r="EC87">
        <v>0.28340900000000002</v>
      </c>
      <c r="ED87" t="s">
        <v>114</v>
      </c>
      <c r="EE87">
        <v>0.20733199999999999</v>
      </c>
      <c r="EF87">
        <v>0.41777999999999998</v>
      </c>
      <c r="EG87">
        <v>0.28356999999999999</v>
      </c>
      <c r="EH87" t="s">
        <v>114</v>
      </c>
      <c r="EI87">
        <v>0.33703699999999998</v>
      </c>
      <c r="EJ87">
        <v>0.50863899999999995</v>
      </c>
      <c r="EK87">
        <v>0.16463800000000001</v>
      </c>
      <c r="EL87">
        <v>0.190885</v>
      </c>
      <c r="EM87">
        <v>0.181868</v>
      </c>
      <c r="EN87">
        <v>0.214255</v>
      </c>
      <c r="EO87" t="s">
        <v>114</v>
      </c>
      <c r="EP87">
        <v>0.42511399999999999</v>
      </c>
      <c r="EQ87">
        <v>0.29303299999999999</v>
      </c>
      <c r="ER87">
        <v>0.38979799999999998</v>
      </c>
      <c r="ES87">
        <v>0.38939400000000002</v>
      </c>
      <c r="ET87">
        <v>0.22708700000000001</v>
      </c>
      <c r="EU87">
        <v>0.51280800000000004</v>
      </c>
      <c r="EV87" t="s">
        <v>114</v>
      </c>
      <c r="EW87">
        <v>0.44968599999999997</v>
      </c>
      <c r="EX87">
        <v>0.57134799999999997</v>
      </c>
      <c r="EY87">
        <v>1.778664</v>
      </c>
      <c r="EZ87">
        <v>2.495244</v>
      </c>
      <c r="FA87">
        <v>0.28583700000000001</v>
      </c>
      <c r="FB87" t="s">
        <v>114</v>
      </c>
      <c r="FC87">
        <v>0.75833399999999995</v>
      </c>
      <c r="FD87" t="s">
        <v>114</v>
      </c>
      <c r="FE87" t="s">
        <v>114</v>
      </c>
      <c r="FF87">
        <v>0.574847</v>
      </c>
      <c r="FG87">
        <v>0.90343099999999998</v>
      </c>
      <c r="FH87">
        <v>0.69863299999999995</v>
      </c>
      <c r="FI87">
        <v>1.107302</v>
      </c>
      <c r="FJ87">
        <v>0.47216999999999998</v>
      </c>
      <c r="FK87">
        <v>0.40542800000000001</v>
      </c>
      <c r="FL87">
        <v>0.41210400000000003</v>
      </c>
      <c r="FM87">
        <v>0.57794500000000004</v>
      </c>
      <c r="FN87" t="s">
        <v>114</v>
      </c>
      <c r="FO87" t="s">
        <v>114</v>
      </c>
      <c r="FP87">
        <v>0.40724199999999999</v>
      </c>
      <c r="FQ87">
        <v>1.5721560000000001</v>
      </c>
      <c r="FR87">
        <v>0.43622899999999998</v>
      </c>
      <c r="FS87">
        <v>0.21270700000000001</v>
      </c>
      <c r="FT87">
        <v>0.46543800000000002</v>
      </c>
      <c r="FU87">
        <v>0.458754</v>
      </c>
      <c r="FV87">
        <v>0.12273199999999999</v>
      </c>
      <c r="FW87">
        <v>0.31757600000000002</v>
      </c>
      <c r="FX87">
        <v>0.16062299999999999</v>
      </c>
      <c r="FY87">
        <v>0.24643100000000001</v>
      </c>
      <c r="FZ87">
        <v>0.32443899999999998</v>
      </c>
      <c r="GA87">
        <v>0.56193899999999997</v>
      </c>
      <c r="GB87">
        <v>0.848306</v>
      </c>
      <c r="GC87">
        <v>0.38012699999999999</v>
      </c>
      <c r="GD87">
        <v>0.369282</v>
      </c>
      <c r="GE87">
        <v>0.489535</v>
      </c>
      <c r="GF87">
        <v>0.237429</v>
      </c>
      <c r="GG87">
        <v>0.91714799999999996</v>
      </c>
      <c r="GH87">
        <v>0.37462600000000001</v>
      </c>
      <c r="GI87" t="s">
        <v>114</v>
      </c>
      <c r="GJ87">
        <v>0.22284100000000001</v>
      </c>
      <c r="GK87">
        <v>0.26764700000000002</v>
      </c>
      <c r="GL87" t="s">
        <v>114</v>
      </c>
      <c r="GM87" t="s">
        <v>114</v>
      </c>
      <c r="GN87">
        <v>0.31164399999999998</v>
      </c>
      <c r="GO87" t="s">
        <v>114</v>
      </c>
      <c r="GP87">
        <v>0.48876999999999998</v>
      </c>
      <c r="GQ87">
        <v>0.89494899999999999</v>
      </c>
      <c r="GR87">
        <v>0.34912100000000001</v>
      </c>
      <c r="GS87">
        <v>0.343279</v>
      </c>
      <c r="GT87">
        <v>1.4570609999999999</v>
      </c>
      <c r="GU87" t="s">
        <v>114</v>
      </c>
      <c r="GV87">
        <v>0.39471600000000001</v>
      </c>
      <c r="GW87" t="s">
        <v>114</v>
      </c>
      <c r="GX87">
        <v>0.34829500000000002</v>
      </c>
      <c r="GY87">
        <v>0.20246800000000001</v>
      </c>
      <c r="GZ87">
        <v>0.41708400000000001</v>
      </c>
      <c r="HA87">
        <v>0.49521799999999999</v>
      </c>
      <c r="HB87">
        <v>0.49603599999999998</v>
      </c>
      <c r="HC87">
        <v>0.29031400000000002</v>
      </c>
      <c r="HD87">
        <v>0.79888300000000001</v>
      </c>
      <c r="HE87">
        <v>0</v>
      </c>
      <c r="HF87" t="s">
        <v>114</v>
      </c>
      <c r="HG87">
        <v>0.42094199999999998</v>
      </c>
      <c r="HH87">
        <v>0.27240599999999998</v>
      </c>
      <c r="HI87">
        <v>0.18759400000000001</v>
      </c>
      <c r="HJ87">
        <v>0.3599</v>
      </c>
      <c r="HK87">
        <v>1.4102220000000001</v>
      </c>
      <c r="HL87">
        <v>0.33955299999999999</v>
      </c>
      <c r="HM87" t="s">
        <v>114</v>
      </c>
      <c r="HN87">
        <v>0.38858700000000002</v>
      </c>
      <c r="HO87">
        <v>0.31771100000000002</v>
      </c>
      <c r="HP87" t="s">
        <v>114</v>
      </c>
      <c r="HQ87">
        <v>0.37518800000000002</v>
      </c>
      <c r="HR87">
        <v>0.59583399999999997</v>
      </c>
      <c r="HS87" t="s">
        <v>114</v>
      </c>
      <c r="HT87">
        <v>0.28102199999999999</v>
      </c>
      <c r="HU87">
        <v>0.179006</v>
      </c>
      <c r="HV87" t="s">
        <v>114</v>
      </c>
      <c r="HW87" t="s">
        <v>114</v>
      </c>
      <c r="HX87">
        <v>0.31320399999999998</v>
      </c>
      <c r="HY87">
        <v>0.34853800000000001</v>
      </c>
      <c r="HZ87">
        <v>0.24438499999999999</v>
      </c>
      <c r="IA87">
        <v>0.37688300000000002</v>
      </c>
      <c r="IB87" t="s">
        <v>114</v>
      </c>
      <c r="IC87" t="s">
        <v>114</v>
      </c>
      <c r="ID87" t="s">
        <v>114</v>
      </c>
      <c r="IE87">
        <v>0.41432200000000002</v>
      </c>
      <c r="IF87">
        <v>0.290989</v>
      </c>
      <c r="IG87" t="s">
        <v>114</v>
      </c>
      <c r="IH87">
        <v>0.195355</v>
      </c>
      <c r="II87" t="s">
        <v>114</v>
      </c>
      <c r="IJ87">
        <v>0.140986</v>
      </c>
      <c r="IK87" t="s">
        <v>114</v>
      </c>
      <c r="IL87" t="s">
        <v>114</v>
      </c>
      <c r="IM87" t="s">
        <v>114</v>
      </c>
      <c r="IN87">
        <v>0.13368099999999999</v>
      </c>
      <c r="IO87">
        <v>0.128995</v>
      </c>
      <c r="IP87">
        <v>0.24074100000000001</v>
      </c>
      <c r="IQ87" t="s">
        <v>114</v>
      </c>
      <c r="IR87">
        <v>0.52266100000000004</v>
      </c>
      <c r="IS87">
        <v>0.39183200000000001</v>
      </c>
      <c r="IT87">
        <v>0.50504599999999999</v>
      </c>
      <c r="IU87">
        <v>0.56235999999999997</v>
      </c>
      <c r="IV87">
        <v>0.60012100000000002</v>
      </c>
      <c r="IW87">
        <v>3.8420160000000001</v>
      </c>
      <c r="IX87">
        <v>0.77237699999999998</v>
      </c>
      <c r="IY87">
        <v>0.83472400000000002</v>
      </c>
      <c r="IZ87">
        <v>0.50352200000000003</v>
      </c>
      <c r="JA87">
        <v>0.16420599999999999</v>
      </c>
      <c r="JB87" t="s">
        <v>114</v>
      </c>
      <c r="JC87">
        <v>0.93376999999999999</v>
      </c>
      <c r="JD87">
        <v>0.83029299999999995</v>
      </c>
      <c r="JE87" t="s">
        <v>114</v>
      </c>
      <c r="JF87" t="s">
        <v>114</v>
      </c>
      <c r="JG87">
        <v>0.45541399999999999</v>
      </c>
      <c r="JH87">
        <v>0.359039</v>
      </c>
      <c r="JI87" t="s">
        <v>114</v>
      </c>
      <c r="JJ87" t="s">
        <v>114</v>
      </c>
      <c r="JK87">
        <v>0.24679499999999999</v>
      </c>
      <c r="JL87">
        <v>0.40757399999999999</v>
      </c>
      <c r="JM87">
        <v>0.349024</v>
      </c>
      <c r="JN87">
        <v>0.36946400000000001</v>
      </c>
      <c r="JO87" t="s">
        <v>114</v>
      </c>
      <c r="JP87">
        <v>0.88464399999999999</v>
      </c>
      <c r="JQ87" t="s">
        <v>114</v>
      </c>
      <c r="JR87">
        <v>0.78571500000000005</v>
      </c>
      <c r="JS87" t="s">
        <v>114</v>
      </c>
      <c r="JT87" t="s">
        <v>114</v>
      </c>
      <c r="JU87">
        <v>0.55823800000000001</v>
      </c>
      <c r="JV87" t="s">
        <v>114</v>
      </c>
      <c r="JW87">
        <v>1.8064260000000001</v>
      </c>
      <c r="JX87" t="s">
        <v>114</v>
      </c>
      <c r="JY87">
        <v>1.5049410000000001</v>
      </c>
      <c r="JZ87" t="s">
        <v>114</v>
      </c>
      <c r="KA87" t="s">
        <v>114</v>
      </c>
      <c r="KB87" t="s">
        <v>114</v>
      </c>
      <c r="KC87" t="s">
        <v>114</v>
      </c>
      <c r="KD87">
        <v>1.6609529999999999</v>
      </c>
      <c r="KE87">
        <v>0.30555599999999999</v>
      </c>
      <c r="KF87">
        <v>0.48194599999999999</v>
      </c>
      <c r="KG87">
        <v>0.52750900000000001</v>
      </c>
      <c r="KH87" t="s">
        <v>114</v>
      </c>
      <c r="KI87">
        <v>1.393011</v>
      </c>
      <c r="KJ87" t="s">
        <v>114</v>
      </c>
      <c r="KK87">
        <v>0.79952199999999995</v>
      </c>
      <c r="KL87" t="s">
        <v>114</v>
      </c>
      <c r="KM87">
        <v>2.39147</v>
      </c>
      <c r="KN87">
        <v>1.180426</v>
      </c>
      <c r="KO87" t="s">
        <v>114</v>
      </c>
      <c r="KP87">
        <v>0.358012</v>
      </c>
      <c r="KQ87">
        <v>0.82304900000000003</v>
      </c>
      <c r="KR87">
        <v>2.2980550000000002</v>
      </c>
      <c r="KS87">
        <v>1.3432090000000001</v>
      </c>
      <c r="KT87">
        <v>0.74075100000000005</v>
      </c>
      <c r="KU87" t="s">
        <v>114</v>
      </c>
      <c r="KV87">
        <v>0.56842800000000004</v>
      </c>
      <c r="KW87">
        <v>0.22636800000000001</v>
      </c>
      <c r="KX87">
        <v>0.38264599999999999</v>
      </c>
      <c r="KY87">
        <v>0.90099099999999999</v>
      </c>
      <c r="KZ87" t="s">
        <v>114</v>
      </c>
      <c r="LA87">
        <v>0.49213400000000002</v>
      </c>
      <c r="LB87">
        <v>0.61912500000000004</v>
      </c>
      <c r="LC87">
        <v>0.354128</v>
      </c>
      <c r="LD87" t="s">
        <v>114</v>
      </c>
      <c r="LE87">
        <v>0.279609</v>
      </c>
      <c r="LF87">
        <v>0.47395900000000002</v>
      </c>
      <c r="LG87">
        <v>0.438523</v>
      </c>
      <c r="LH87">
        <v>0.47157700000000002</v>
      </c>
      <c r="LI87">
        <v>1.0027839999999999</v>
      </c>
      <c r="LJ87">
        <v>0.25666699999999998</v>
      </c>
      <c r="LK87">
        <v>0.43865100000000001</v>
      </c>
      <c r="LL87">
        <v>0.252778</v>
      </c>
      <c r="LM87">
        <v>0.95588300000000004</v>
      </c>
      <c r="LN87">
        <v>0.58937899999999999</v>
      </c>
      <c r="LO87">
        <v>0.22606200000000001</v>
      </c>
      <c r="LP87">
        <v>0.89787399999999995</v>
      </c>
      <c r="LQ87">
        <v>0.34692699999999999</v>
      </c>
      <c r="LR87" t="s">
        <v>114</v>
      </c>
      <c r="LS87">
        <v>0.33101900000000001</v>
      </c>
      <c r="LT87">
        <v>0.88671299999999997</v>
      </c>
      <c r="LU87">
        <v>0.298628</v>
      </c>
      <c r="LV87">
        <v>0.307811</v>
      </c>
      <c r="LW87" t="s">
        <v>114</v>
      </c>
      <c r="LX87">
        <v>0.29065099999999999</v>
      </c>
      <c r="LY87">
        <v>0.111124</v>
      </c>
      <c r="LZ87" t="s">
        <v>114</v>
      </c>
      <c r="MA87">
        <v>2.2244470000000001</v>
      </c>
      <c r="MB87">
        <v>0.27083400000000002</v>
      </c>
      <c r="MC87">
        <v>0.334559</v>
      </c>
      <c r="MD87">
        <v>0.28930699999999998</v>
      </c>
      <c r="ME87">
        <v>0.40537299999999998</v>
      </c>
      <c r="MF87">
        <v>0.52684299999999995</v>
      </c>
      <c r="MG87" t="s">
        <v>114</v>
      </c>
      <c r="MH87" t="s">
        <v>114</v>
      </c>
      <c r="MI87">
        <v>0.79867100000000002</v>
      </c>
      <c r="MJ87">
        <v>3.092981</v>
      </c>
      <c r="MK87">
        <v>0.360981</v>
      </c>
      <c r="ML87" t="s">
        <v>114</v>
      </c>
      <c r="MM87">
        <v>0.69707600000000003</v>
      </c>
      <c r="MN87">
        <v>0.261768</v>
      </c>
      <c r="MO87">
        <v>0.28941800000000001</v>
      </c>
      <c r="MP87">
        <v>0.21307000000000001</v>
      </c>
      <c r="MQ87">
        <v>1.0270189999999999</v>
      </c>
      <c r="MR87">
        <v>0.32542300000000002</v>
      </c>
      <c r="MS87" t="s">
        <v>114</v>
      </c>
      <c r="MT87">
        <v>0.22106899999999999</v>
      </c>
      <c r="MU87">
        <v>0.378307</v>
      </c>
      <c r="MV87">
        <v>0.38031999999999999</v>
      </c>
      <c r="MW87">
        <v>0.52463400000000004</v>
      </c>
      <c r="MX87" t="s">
        <v>114</v>
      </c>
      <c r="MY87" t="s">
        <v>114</v>
      </c>
      <c r="MZ87">
        <v>0.41114499999999998</v>
      </c>
      <c r="NA87">
        <v>0.28964099999999998</v>
      </c>
      <c r="NB87" t="s">
        <v>114</v>
      </c>
      <c r="NC87">
        <v>0.44955099999999998</v>
      </c>
      <c r="ND87">
        <v>0.41432200000000002</v>
      </c>
      <c r="NE87">
        <v>0.550404</v>
      </c>
      <c r="NF87" t="s">
        <v>114</v>
      </c>
      <c r="NG87">
        <v>0.58197699999999997</v>
      </c>
      <c r="NH87">
        <v>0.16772799999999999</v>
      </c>
      <c r="NI87">
        <v>0.16661100000000001</v>
      </c>
      <c r="NJ87">
        <v>0.59868500000000002</v>
      </c>
      <c r="NK87" t="s">
        <v>114</v>
      </c>
      <c r="NL87">
        <v>0.51865300000000003</v>
      </c>
      <c r="NM87">
        <v>0.56299299999999997</v>
      </c>
      <c r="NN87">
        <v>0.28133799999999998</v>
      </c>
      <c r="NO87">
        <v>0.30078199999999999</v>
      </c>
      <c r="NP87">
        <v>0.294933</v>
      </c>
      <c r="NQ87" t="s">
        <v>114</v>
      </c>
      <c r="NR87">
        <v>0.25329000000000002</v>
      </c>
      <c r="NS87">
        <v>0.30370200000000003</v>
      </c>
      <c r="NT87">
        <v>0.54959800000000003</v>
      </c>
      <c r="NU87">
        <v>0.33322299999999999</v>
      </c>
      <c r="NV87">
        <v>0.58974899999999997</v>
      </c>
      <c r="NW87">
        <v>0.31281300000000001</v>
      </c>
      <c r="NX87">
        <v>0.185921</v>
      </c>
      <c r="NY87" t="s">
        <v>114</v>
      </c>
      <c r="NZ87" t="s">
        <v>114</v>
      </c>
      <c r="OA87">
        <v>0.67910499999999996</v>
      </c>
      <c r="OB87">
        <v>0.41227399999999997</v>
      </c>
      <c r="OC87">
        <v>0.30187000000000003</v>
      </c>
      <c r="OD87" t="s">
        <v>114</v>
      </c>
      <c r="OE87">
        <v>0.69707600000000003</v>
      </c>
      <c r="OF87" t="s">
        <v>114</v>
      </c>
      <c r="OG87">
        <v>0.15582199999999999</v>
      </c>
      <c r="OH87">
        <v>0.25431900000000002</v>
      </c>
      <c r="OI87" t="s">
        <v>114</v>
      </c>
      <c r="OJ87">
        <v>0.15428500000000001</v>
      </c>
      <c r="OK87">
        <v>0.13541700000000001</v>
      </c>
      <c r="OL87">
        <v>0.56362699999999999</v>
      </c>
      <c r="OM87">
        <v>0.415238</v>
      </c>
      <c r="ON87">
        <v>0.45666099999999998</v>
      </c>
      <c r="OO87" t="s">
        <v>114</v>
      </c>
      <c r="OP87">
        <v>0.42656300000000003</v>
      </c>
      <c r="OQ87" t="s">
        <v>114</v>
      </c>
      <c r="OR87" t="s">
        <v>114</v>
      </c>
      <c r="OS87" t="s">
        <v>114</v>
      </c>
      <c r="OT87" t="s">
        <v>114</v>
      </c>
      <c r="OU87" t="s">
        <v>114</v>
      </c>
      <c r="OV87" t="s">
        <v>114</v>
      </c>
      <c r="OW87" t="s">
        <v>114</v>
      </c>
      <c r="OX87" t="s">
        <v>114</v>
      </c>
      <c r="OY87" t="s">
        <v>114</v>
      </c>
      <c r="OZ87" t="s">
        <v>114</v>
      </c>
      <c r="PA87" t="s">
        <v>114</v>
      </c>
      <c r="PB87">
        <v>0.424153</v>
      </c>
      <c r="PC87">
        <v>0.35955500000000001</v>
      </c>
      <c r="PD87" t="s">
        <v>114</v>
      </c>
      <c r="PE87">
        <v>0.30857000000000001</v>
      </c>
      <c r="PF87">
        <v>4.8404299999999996</v>
      </c>
      <c r="PG87">
        <v>0.22626599999999999</v>
      </c>
      <c r="PH87">
        <v>0.165182</v>
      </c>
      <c r="PI87">
        <v>3.498669</v>
      </c>
      <c r="PJ87">
        <v>0.45280500000000001</v>
      </c>
      <c r="PK87">
        <v>0.51002099999999995</v>
      </c>
      <c r="PL87" t="s">
        <v>114</v>
      </c>
      <c r="PM87">
        <v>0.92599500000000001</v>
      </c>
      <c r="PN87" t="s">
        <v>114</v>
      </c>
      <c r="PO87" t="s">
        <v>114</v>
      </c>
      <c r="PP87">
        <v>11.776482</v>
      </c>
      <c r="PQ87">
        <v>1.3117369999999999</v>
      </c>
      <c r="PR87">
        <v>0.24826400000000001</v>
      </c>
      <c r="PS87">
        <v>0.506579</v>
      </c>
      <c r="PT87">
        <v>0.67910499999999996</v>
      </c>
      <c r="PU87">
        <v>0.70000099999999998</v>
      </c>
      <c r="PV87">
        <v>0.44292100000000001</v>
      </c>
      <c r="PW87">
        <v>0.433334</v>
      </c>
      <c r="PX87">
        <v>0.353794</v>
      </c>
      <c r="PY87">
        <v>0.77524899999999997</v>
      </c>
      <c r="PZ87">
        <v>0.61275800000000002</v>
      </c>
      <c r="QA87">
        <v>0.384409</v>
      </c>
      <c r="QB87">
        <v>0.51071500000000003</v>
      </c>
      <c r="QC87">
        <v>6.5225960000000001</v>
      </c>
      <c r="QD87">
        <v>0.84316100000000005</v>
      </c>
      <c r="QE87">
        <v>1.0671649999999999</v>
      </c>
      <c r="QF87">
        <v>0.390102</v>
      </c>
      <c r="QG87">
        <v>0.89247600000000005</v>
      </c>
      <c r="QH87" t="s">
        <v>114</v>
      </c>
      <c r="QI87" t="s">
        <v>114</v>
      </c>
      <c r="QJ87">
        <v>0.45500000000000002</v>
      </c>
      <c r="QK87">
        <v>0.724943</v>
      </c>
      <c r="QL87" t="s">
        <v>114</v>
      </c>
      <c r="QM87">
        <v>0.91265600000000002</v>
      </c>
      <c r="QN87" t="s">
        <v>114</v>
      </c>
      <c r="QO87">
        <v>0.76295800000000003</v>
      </c>
      <c r="QP87">
        <v>0.24318600000000001</v>
      </c>
      <c r="QQ87" t="s">
        <v>114</v>
      </c>
      <c r="QR87" t="s">
        <v>114</v>
      </c>
      <c r="QS87">
        <v>0.37350800000000001</v>
      </c>
      <c r="QT87" t="s">
        <v>114</v>
      </c>
      <c r="QU87" t="s">
        <v>114</v>
      </c>
      <c r="QV87">
        <v>0.90018100000000001</v>
      </c>
      <c r="QW87">
        <v>1.0050209999999999</v>
      </c>
      <c r="QX87" t="s">
        <v>114</v>
      </c>
      <c r="QY87">
        <v>0.70137400000000005</v>
      </c>
      <c r="QZ87">
        <v>0.52907000000000004</v>
      </c>
      <c r="RA87">
        <v>0.63839299999999999</v>
      </c>
      <c r="RB87">
        <v>0.57838999999999996</v>
      </c>
      <c r="RC87">
        <v>0.428369</v>
      </c>
      <c r="RD87">
        <v>0.80921699999999996</v>
      </c>
      <c r="RE87">
        <v>0.39554800000000001</v>
      </c>
      <c r="RF87">
        <v>0.35346100000000003</v>
      </c>
      <c r="RG87">
        <v>0.49310399999999999</v>
      </c>
      <c r="RH87">
        <v>0.64943799999999996</v>
      </c>
      <c r="RI87">
        <v>0.59678100000000001</v>
      </c>
      <c r="RJ87">
        <v>0.62741800000000003</v>
      </c>
      <c r="RK87">
        <v>0.26013500000000001</v>
      </c>
      <c r="RL87">
        <v>0.16356200000000001</v>
      </c>
      <c r="RM87">
        <v>1.505398</v>
      </c>
      <c r="RN87">
        <v>0</v>
      </c>
      <c r="RO87">
        <v>0.423794</v>
      </c>
      <c r="RP87" t="s">
        <v>114</v>
      </c>
      <c r="RQ87">
        <v>1.0289900000000001</v>
      </c>
      <c r="RR87">
        <v>0.188583</v>
      </c>
      <c r="RS87">
        <v>0.50000100000000003</v>
      </c>
      <c r="RT87">
        <v>0.35580600000000001</v>
      </c>
      <c r="RU87">
        <v>0.45500000000000002</v>
      </c>
      <c r="RV87">
        <v>0.44409999999999999</v>
      </c>
      <c r="RW87">
        <v>0.67328100000000002</v>
      </c>
      <c r="RX87" t="s">
        <v>114</v>
      </c>
      <c r="RY87">
        <v>0.420236</v>
      </c>
      <c r="RZ87">
        <v>0.39933600000000002</v>
      </c>
      <c r="SA87">
        <v>0.78203199999999995</v>
      </c>
      <c r="SB87">
        <v>0</v>
      </c>
      <c r="SC87">
        <v>0.43146600000000002</v>
      </c>
      <c r="SD87">
        <v>0.45445000000000002</v>
      </c>
      <c r="SE87">
        <v>0.25406099999999998</v>
      </c>
      <c r="SF87">
        <v>0.30518299999999998</v>
      </c>
      <c r="SG87">
        <v>0.44423099999999999</v>
      </c>
      <c r="SH87" t="s">
        <v>114</v>
      </c>
      <c r="SI87">
        <v>0.46299800000000002</v>
      </c>
      <c r="SJ87" t="s">
        <v>114</v>
      </c>
      <c r="SK87" t="s">
        <v>114</v>
      </c>
      <c r="SL87" t="s">
        <v>114</v>
      </c>
      <c r="SM87" t="s">
        <v>114</v>
      </c>
      <c r="SN87">
        <v>0.85451299999999997</v>
      </c>
      <c r="SO87" t="s">
        <v>114</v>
      </c>
      <c r="SP87">
        <v>0.46863300000000002</v>
      </c>
      <c r="SQ87" t="s">
        <v>114</v>
      </c>
      <c r="SR87">
        <v>0.40868300000000002</v>
      </c>
      <c r="SS87">
        <v>0.65739999999999998</v>
      </c>
      <c r="ST87">
        <v>0.50709300000000002</v>
      </c>
      <c r="SU87">
        <v>0.46973300000000001</v>
      </c>
      <c r="SV87" t="s">
        <v>114</v>
      </c>
      <c r="SW87">
        <v>0.23686699999999999</v>
      </c>
      <c r="SX87" t="s">
        <v>114</v>
      </c>
      <c r="SY87">
        <v>0.24679499999999999</v>
      </c>
      <c r="SZ87">
        <v>0.36550700000000003</v>
      </c>
      <c r="TA87">
        <v>0.21601200000000001</v>
      </c>
      <c r="TB87">
        <v>0.203455</v>
      </c>
      <c r="TC87">
        <v>0</v>
      </c>
      <c r="TD87">
        <v>0.120544</v>
      </c>
      <c r="TE87">
        <v>0.16639000000000001</v>
      </c>
      <c r="TF87">
        <v>0.177735</v>
      </c>
      <c r="TG87">
        <v>0.18081700000000001</v>
      </c>
      <c r="TH87">
        <v>0</v>
      </c>
      <c r="TI87">
        <v>0.35852499999999998</v>
      </c>
      <c r="TJ87" t="s">
        <v>114</v>
      </c>
      <c r="TK87">
        <v>0.59021299999999999</v>
      </c>
      <c r="TL87" t="s">
        <v>114</v>
      </c>
      <c r="TM87" t="s">
        <v>114</v>
      </c>
      <c r="TN87">
        <v>0.49579000000000001</v>
      </c>
      <c r="TO87" t="s">
        <v>114</v>
      </c>
      <c r="TP87">
        <v>0.424153</v>
      </c>
      <c r="TQ87">
        <v>0.28830699999999998</v>
      </c>
      <c r="TR87">
        <v>0.62916499999999997</v>
      </c>
      <c r="TS87">
        <v>0.325212</v>
      </c>
      <c r="TT87" t="s">
        <v>114</v>
      </c>
      <c r="TU87" t="s">
        <v>114</v>
      </c>
      <c r="TV87">
        <v>0.18055599999999999</v>
      </c>
      <c r="TW87">
        <v>4.1053889999999997</v>
      </c>
      <c r="TX87">
        <v>0.44469199999999998</v>
      </c>
      <c r="TY87" t="s">
        <v>114</v>
      </c>
      <c r="TZ87">
        <v>1.257053</v>
      </c>
      <c r="UA87">
        <v>0.55202300000000004</v>
      </c>
      <c r="UB87">
        <v>0.41812899999999997</v>
      </c>
      <c r="UC87" t="s">
        <v>114</v>
      </c>
      <c r="UD87">
        <v>0.63386600000000004</v>
      </c>
      <c r="UE87">
        <v>0.71238400000000002</v>
      </c>
      <c r="UF87">
        <v>0.13674900000000001</v>
      </c>
      <c r="UG87">
        <v>4.6736040000000001</v>
      </c>
      <c r="UH87" t="s">
        <v>114</v>
      </c>
      <c r="UI87">
        <v>1.4101250000000001</v>
      </c>
      <c r="UJ87">
        <v>0.55024200000000001</v>
      </c>
      <c r="UK87">
        <v>0.57995399999999997</v>
      </c>
      <c r="UL87">
        <v>0.30066100000000001</v>
      </c>
      <c r="UM87" t="s">
        <v>114</v>
      </c>
      <c r="UN87" t="s">
        <v>114</v>
      </c>
      <c r="UO87" t="s">
        <v>114</v>
      </c>
      <c r="UP87">
        <v>0.36873800000000001</v>
      </c>
      <c r="UQ87" t="s">
        <v>114</v>
      </c>
      <c r="UR87">
        <v>0.49751499999999999</v>
      </c>
      <c r="US87">
        <v>0.31906099999999998</v>
      </c>
      <c r="UT87">
        <v>0.35572199999999998</v>
      </c>
      <c r="UU87">
        <v>0.24085699999999999</v>
      </c>
      <c r="UV87">
        <v>0.393063</v>
      </c>
      <c r="UW87" t="s">
        <v>114</v>
      </c>
      <c r="UX87">
        <v>0.39772800000000003</v>
      </c>
      <c r="UY87">
        <v>0.29155399999999998</v>
      </c>
      <c r="UZ87" t="s">
        <v>114</v>
      </c>
      <c r="VA87">
        <v>0.50926000000000005</v>
      </c>
      <c r="VB87">
        <v>0.125754</v>
      </c>
      <c r="VC87" t="s">
        <v>114</v>
      </c>
      <c r="VD87">
        <v>0</v>
      </c>
      <c r="VE87">
        <v>0.52712000000000003</v>
      </c>
      <c r="VF87">
        <v>0.73602999999999996</v>
      </c>
      <c r="VG87">
        <v>0</v>
      </c>
      <c r="VH87">
        <v>2.180199</v>
      </c>
      <c r="VI87" t="s">
        <v>114</v>
      </c>
      <c r="VJ87" t="s">
        <v>114</v>
      </c>
      <c r="VK87" t="s">
        <v>114</v>
      </c>
      <c r="VL87" t="s">
        <v>114</v>
      </c>
      <c r="VM87" t="s">
        <v>114</v>
      </c>
      <c r="VN87" t="s">
        <v>114</v>
      </c>
      <c r="VO87">
        <v>0.90670399999999995</v>
      </c>
      <c r="VP87">
        <v>6.6823790000000001</v>
      </c>
      <c r="VQ87">
        <v>0.48474600000000001</v>
      </c>
      <c r="VR87">
        <v>5.7539290000000003</v>
      </c>
      <c r="VS87">
        <v>5.0587540000000004</v>
      </c>
      <c r="VT87" t="s">
        <v>114</v>
      </c>
      <c r="VU87">
        <v>0.73101300000000002</v>
      </c>
      <c r="VV87" t="s">
        <v>114</v>
      </c>
      <c r="VW87" t="s">
        <v>114</v>
      </c>
      <c r="VX87" t="s">
        <v>114</v>
      </c>
      <c r="VY87">
        <v>0.291101</v>
      </c>
      <c r="VZ87">
        <v>0.43072300000000002</v>
      </c>
      <c r="WA87" t="s">
        <v>114</v>
      </c>
      <c r="WB87" t="s">
        <v>114</v>
      </c>
      <c r="WC87" t="s">
        <v>114</v>
      </c>
      <c r="WD87">
        <v>2.4076140000000001</v>
      </c>
      <c r="WE87">
        <v>0.39542899999999997</v>
      </c>
      <c r="WF87">
        <v>1.4948429999999999</v>
      </c>
      <c r="WG87">
        <v>0.26523600000000003</v>
      </c>
      <c r="WH87" t="s">
        <v>114</v>
      </c>
      <c r="WI87">
        <v>0.56907399999999997</v>
      </c>
      <c r="WJ87">
        <v>0.73602999999999996</v>
      </c>
      <c r="WK87">
        <v>1.7642370000000001</v>
      </c>
      <c r="WL87" t="s">
        <v>114</v>
      </c>
      <c r="WM87">
        <v>0.55569999999999997</v>
      </c>
      <c r="WN87">
        <v>0.243198</v>
      </c>
      <c r="WO87">
        <v>0.87884200000000001</v>
      </c>
      <c r="WP87">
        <v>0.334559</v>
      </c>
      <c r="WQ87">
        <v>0.29303299999999999</v>
      </c>
      <c r="WR87" t="s">
        <v>114</v>
      </c>
      <c r="WS87">
        <v>0.39976099999999998</v>
      </c>
      <c r="WT87" t="s">
        <v>114</v>
      </c>
      <c r="WU87" t="s">
        <v>114</v>
      </c>
      <c r="WV87" t="s">
        <v>114</v>
      </c>
      <c r="WW87">
        <v>1.8181989999999999</v>
      </c>
      <c r="WX87" t="s">
        <v>114</v>
      </c>
      <c r="WY87" t="s">
        <v>114</v>
      </c>
      <c r="WZ87" t="s">
        <v>114</v>
      </c>
      <c r="XA87">
        <v>1.5075320000000001</v>
      </c>
      <c r="XB87" t="s">
        <v>114</v>
      </c>
      <c r="XC87">
        <v>0.206648</v>
      </c>
      <c r="XD87">
        <v>0</v>
      </c>
      <c r="XE87">
        <v>0.17475599999999999</v>
      </c>
      <c r="XF87" t="s">
        <v>114</v>
      </c>
      <c r="XG87">
        <v>0.93726699999999996</v>
      </c>
      <c r="XH87">
        <v>0.249751</v>
      </c>
      <c r="XI87" t="s">
        <v>114</v>
      </c>
      <c r="XJ87" t="s">
        <v>114</v>
      </c>
      <c r="XK87">
        <v>0.29632900000000001</v>
      </c>
      <c r="XL87">
        <v>0.210648</v>
      </c>
      <c r="XM87">
        <v>0.36479600000000001</v>
      </c>
      <c r="XN87">
        <v>0.806392</v>
      </c>
      <c r="XO87" t="s">
        <v>114</v>
      </c>
      <c r="XP87" t="s">
        <v>114</v>
      </c>
      <c r="XQ87" t="s">
        <v>114</v>
      </c>
      <c r="XR87">
        <v>0.30933300000000002</v>
      </c>
      <c r="XS87">
        <v>0.55463300000000004</v>
      </c>
      <c r="XT87">
        <v>0.23475599999999999</v>
      </c>
      <c r="XU87" t="s">
        <v>114</v>
      </c>
      <c r="XV87" t="s">
        <v>114</v>
      </c>
      <c r="XW87" t="s">
        <v>114</v>
      </c>
      <c r="XX87">
        <v>0.15504999999999999</v>
      </c>
      <c r="XY87">
        <v>0.33058199999999999</v>
      </c>
      <c r="XZ87">
        <v>0.29406599999999999</v>
      </c>
      <c r="YA87">
        <v>0.31919700000000001</v>
      </c>
      <c r="YB87">
        <v>1.8599680000000001</v>
      </c>
      <c r="YC87">
        <v>0.23000899999999999</v>
      </c>
      <c r="YD87" t="s">
        <v>114</v>
      </c>
      <c r="YE87">
        <v>0.14515700000000001</v>
      </c>
      <c r="YF87" t="s">
        <v>114</v>
      </c>
      <c r="YG87">
        <v>0.18710299999999999</v>
      </c>
      <c r="YH87" t="s">
        <v>114</v>
      </c>
      <c r="YI87" t="s">
        <v>114</v>
      </c>
      <c r="YJ87">
        <v>0.29269000000000001</v>
      </c>
      <c r="YK87">
        <v>0.28181299999999998</v>
      </c>
      <c r="YL87">
        <v>1.370698</v>
      </c>
      <c r="YM87">
        <v>0.77890300000000001</v>
      </c>
      <c r="YN87" t="s">
        <v>114</v>
      </c>
      <c r="YO87" t="s">
        <v>114</v>
      </c>
      <c r="YP87" t="s">
        <v>114</v>
      </c>
      <c r="YQ87">
        <v>0.95724100000000001</v>
      </c>
      <c r="YR87">
        <v>0.59868500000000002</v>
      </c>
      <c r="YS87">
        <v>1.011404</v>
      </c>
      <c r="YT87" t="s">
        <v>114</v>
      </c>
      <c r="YU87">
        <v>0.34588799999999997</v>
      </c>
      <c r="YV87">
        <v>0.85119100000000003</v>
      </c>
      <c r="YW87" t="s">
        <v>114</v>
      </c>
      <c r="YX87" t="s">
        <v>114</v>
      </c>
      <c r="YY87" t="s">
        <v>114</v>
      </c>
      <c r="YZ87">
        <v>0.65717000000000003</v>
      </c>
      <c r="ZA87">
        <v>0.38225599999999998</v>
      </c>
      <c r="ZB87" t="s">
        <v>114</v>
      </c>
      <c r="ZC87">
        <v>0.29756300000000002</v>
      </c>
      <c r="ZD87">
        <v>0.26707599999999998</v>
      </c>
      <c r="ZE87">
        <v>0.25050099999999997</v>
      </c>
      <c r="ZF87" t="s">
        <v>114</v>
      </c>
      <c r="ZG87">
        <v>0.49579000000000001</v>
      </c>
      <c r="ZH87">
        <v>0.56362699999999999</v>
      </c>
      <c r="ZI87">
        <v>0.22427900000000001</v>
      </c>
      <c r="ZJ87">
        <v>0.48125000000000001</v>
      </c>
      <c r="ZK87" t="s">
        <v>114</v>
      </c>
      <c r="ZL87">
        <v>0.36413299999999998</v>
      </c>
      <c r="ZM87">
        <v>0.34351399999999999</v>
      </c>
      <c r="ZN87">
        <v>0.85482599999999997</v>
      </c>
      <c r="ZO87" t="s">
        <v>114</v>
      </c>
      <c r="ZP87" t="s">
        <v>114</v>
      </c>
      <c r="ZQ87" t="s">
        <v>114</v>
      </c>
      <c r="ZR87" t="s">
        <v>114</v>
      </c>
      <c r="ZS87" t="s">
        <v>114</v>
      </c>
      <c r="ZT87" t="s">
        <v>114</v>
      </c>
      <c r="ZU87" t="s">
        <v>114</v>
      </c>
      <c r="ZV87">
        <v>0.58333400000000002</v>
      </c>
      <c r="ZW87" t="s">
        <v>114</v>
      </c>
      <c r="ZX87">
        <v>1.0752619999999999</v>
      </c>
      <c r="ZY87">
        <v>0.53962299999999996</v>
      </c>
      <c r="ZZ87">
        <v>0.201206</v>
      </c>
      <c r="AAA87">
        <v>0.96250100000000005</v>
      </c>
      <c r="AAB87">
        <v>1.4382200000000001</v>
      </c>
      <c r="AAC87">
        <v>0.37916699999999998</v>
      </c>
      <c r="AAD87">
        <v>0.59381399999999995</v>
      </c>
      <c r="AAE87">
        <v>0.14895800000000001</v>
      </c>
      <c r="AAF87">
        <v>0.55984400000000001</v>
      </c>
      <c r="AAG87">
        <v>0.38186700000000001</v>
      </c>
      <c r="AAH87" t="s">
        <v>114</v>
      </c>
      <c r="AAI87" t="s">
        <v>114</v>
      </c>
      <c r="AAJ87" t="s">
        <v>114</v>
      </c>
      <c r="AAK87" t="s">
        <v>114</v>
      </c>
      <c r="AAL87" t="s">
        <v>114</v>
      </c>
      <c r="AAM87">
        <v>0.99449200000000004</v>
      </c>
      <c r="AAN87">
        <v>0.92636300000000005</v>
      </c>
      <c r="AAO87">
        <v>0.128136</v>
      </c>
      <c r="AAP87" t="s">
        <v>114</v>
      </c>
      <c r="AAQ87">
        <v>0.62162899999999999</v>
      </c>
      <c r="AAR87">
        <v>0.50234199999999996</v>
      </c>
      <c r="AAS87" t="s">
        <v>114</v>
      </c>
      <c r="AAT87">
        <v>0.48592299999999999</v>
      </c>
      <c r="AAU87" t="s">
        <v>114</v>
      </c>
      <c r="AAV87" t="s">
        <v>114</v>
      </c>
      <c r="AAW87">
        <v>0.344223</v>
      </c>
      <c r="AAX87" t="s">
        <v>114</v>
      </c>
      <c r="AAY87" t="s">
        <v>114</v>
      </c>
      <c r="AAZ87" t="s">
        <v>114</v>
      </c>
      <c r="ABA87">
        <v>0.33219100000000001</v>
      </c>
      <c r="ABB87">
        <v>0.30518299999999998</v>
      </c>
      <c r="ABC87">
        <v>0.224742</v>
      </c>
      <c r="ABD87" t="s">
        <v>114</v>
      </c>
      <c r="ABE87">
        <v>0.32248700000000002</v>
      </c>
      <c r="ABF87" t="s">
        <v>114</v>
      </c>
      <c r="ABG87">
        <v>0.25640400000000002</v>
      </c>
      <c r="ABH87">
        <v>0.38698500000000002</v>
      </c>
      <c r="ABI87" t="s">
        <v>114</v>
      </c>
      <c r="ABJ87">
        <v>0.16772799999999999</v>
      </c>
      <c r="ABK87">
        <v>0.25290600000000002</v>
      </c>
      <c r="ABL87" t="s">
        <v>114</v>
      </c>
      <c r="ABM87">
        <v>0.353128</v>
      </c>
      <c r="ABN87" t="s">
        <v>114</v>
      </c>
      <c r="ABO87" t="s">
        <v>114</v>
      </c>
      <c r="ABP87">
        <v>0.553651</v>
      </c>
      <c r="ABQ87" t="s">
        <v>114</v>
      </c>
      <c r="ABR87">
        <v>1.6621790000000001</v>
      </c>
      <c r="ABS87">
        <v>0.36946400000000001</v>
      </c>
      <c r="ABT87" t="s">
        <v>114</v>
      </c>
      <c r="ABU87" t="s">
        <v>114</v>
      </c>
      <c r="ABV87" t="s">
        <v>114</v>
      </c>
      <c r="ABW87" t="s">
        <v>114</v>
      </c>
      <c r="ABX87" t="s">
        <v>114</v>
      </c>
      <c r="ABY87" t="s">
        <v>114</v>
      </c>
      <c r="ABZ87">
        <v>0.50863899999999995</v>
      </c>
      <c r="ACA87">
        <v>0.34233999999999998</v>
      </c>
      <c r="ACB87" t="s">
        <v>114</v>
      </c>
      <c r="ACC87">
        <v>0.29597899999999999</v>
      </c>
      <c r="ACD87" t="s">
        <v>114</v>
      </c>
      <c r="ACE87" t="s">
        <v>114</v>
      </c>
      <c r="ACF87" t="s">
        <v>114</v>
      </c>
      <c r="ACG87" t="s">
        <v>114</v>
      </c>
      <c r="ACH87" t="s">
        <v>114</v>
      </c>
      <c r="ACI87" t="s">
        <v>114</v>
      </c>
      <c r="ACJ87" t="s">
        <v>114</v>
      </c>
      <c r="ACK87">
        <v>0.79193100000000005</v>
      </c>
      <c r="ACL87">
        <v>0.25431900000000002</v>
      </c>
      <c r="ACM87" t="s">
        <v>114</v>
      </c>
      <c r="ACN87">
        <v>1.4148860000000001</v>
      </c>
      <c r="ACO87">
        <v>0.92391999999999996</v>
      </c>
    </row>
    <row r="88" spans="1:769" x14ac:dyDescent="0.25">
      <c r="A88" t="s">
        <v>895</v>
      </c>
      <c r="B88">
        <v>0</v>
      </c>
      <c r="C88" t="s">
        <v>114</v>
      </c>
      <c r="D88">
        <v>94.908895999999999</v>
      </c>
      <c r="E88" t="s">
        <v>114</v>
      </c>
      <c r="F88">
        <v>93.197025999999994</v>
      </c>
      <c r="G88">
        <v>93.364650999999995</v>
      </c>
      <c r="H88">
        <v>70.078226999999998</v>
      </c>
      <c r="I88">
        <v>36.983842000000003</v>
      </c>
      <c r="J88">
        <v>0</v>
      </c>
      <c r="K88">
        <v>48.035713999999999</v>
      </c>
      <c r="L88">
        <v>0</v>
      </c>
      <c r="M88">
        <v>91.476274000000004</v>
      </c>
      <c r="N88" t="s">
        <v>114</v>
      </c>
      <c r="O88">
        <v>91.057269000000005</v>
      </c>
      <c r="P88">
        <v>67.930661000000001</v>
      </c>
      <c r="Q88">
        <v>0</v>
      </c>
      <c r="R88">
        <v>14.349776</v>
      </c>
      <c r="S88">
        <v>20.689654999999998</v>
      </c>
      <c r="T88">
        <v>40.784314000000002</v>
      </c>
      <c r="U88">
        <v>87.225459000000001</v>
      </c>
      <c r="V88">
        <v>67.459137999999996</v>
      </c>
      <c r="W88">
        <v>0</v>
      </c>
      <c r="X88">
        <v>67.364340999999996</v>
      </c>
      <c r="Y88">
        <v>16.229507999999999</v>
      </c>
      <c r="Z88">
        <v>0</v>
      </c>
      <c r="AA88">
        <v>90.080563999999995</v>
      </c>
      <c r="AB88">
        <v>74.367977999999994</v>
      </c>
      <c r="AC88">
        <v>74.487773000000004</v>
      </c>
      <c r="AD88">
        <v>0</v>
      </c>
      <c r="AE88">
        <v>89.206168000000005</v>
      </c>
      <c r="AF88">
        <v>12.694300999999999</v>
      </c>
      <c r="AG88">
        <v>59.047618999999997</v>
      </c>
      <c r="AH88">
        <v>30.962343000000001</v>
      </c>
      <c r="AI88">
        <v>80.944625000000002</v>
      </c>
      <c r="AJ88">
        <v>97.259201000000004</v>
      </c>
      <c r="AK88">
        <v>57.589286000000001</v>
      </c>
      <c r="AL88">
        <v>94.903737000000007</v>
      </c>
      <c r="AM88">
        <v>51.265822999999997</v>
      </c>
      <c r="AN88">
        <v>74.337748000000005</v>
      </c>
      <c r="AO88">
        <v>93.890908999999994</v>
      </c>
      <c r="AP88">
        <v>69.638351999999998</v>
      </c>
      <c r="AQ88">
        <v>34.627329000000003</v>
      </c>
      <c r="AR88">
        <v>97.191750999999996</v>
      </c>
      <c r="AS88">
        <v>90.266222999999997</v>
      </c>
      <c r="AT88">
        <v>5.1948049999999997</v>
      </c>
      <c r="AU88">
        <v>42.595419999999997</v>
      </c>
      <c r="AV88">
        <v>4.3478260000000004</v>
      </c>
      <c r="AW88">
        <v>94.875345999999993</v>
      </c>
      <c r="AX88">
        <v>95.297248999999994</v>
      </c>
      <c r="AY88">
        <v>22.126436999999999</v>
      </c>
      <c r="AZ88">
        <v>84.285713999999999</v>
      </c>
      <c r="BA88">
        <v>93.563315000000003</v>
      </c>
      <c r="BB88">
        <v>15.17094</v>
      </c>
      <c r="BC88">
        <v>0</v>
      </c>
      <c r="BD88">
        <v>77.006938000000005</v>
      </c>
      <c r="BE88">
        <v>98.823528999999994</v>
      </c>
      <c r="BF88">
        <v>93.615960000000001</v>
      </c>
      <c r="BG88">
        <v>70.256410000000002</v>
      </c>
      <c r="BH88">
        <v>39.234450000000002</v>
      </c>
      <c r="BI88">
        <v>79.264213999999996</v>
      </c>
      <c r="BJ88">
        <v>93.629429999999999</v>
      </c>
      <c r="BK88">
        <v>80.685357999999994</v>
      </c>
      <c r="BL88">
        <v>19.46472</v>
      </c>
      <c r="BM88">
        <v>95.980778000000001</v>
      </c>
      <c r="BN88">
        <v>11.382114</v>
      </c>
      <c r="BO88" t="s">
        <v>114</v>
      </c>
      <c r="BP88">
        <v>92.892156999999997</v>
      </c>
      <c r="BQ88">
        <v>94.795321999999999</v>
      </c>
      <c r="BR88" t="s">
        <v>114</v>
      </c>
      <c r="BS88">
        <v>92.675158999999994</v>
      </c>
      <c r="BT88">
        <v>93.542756999999995</v>
      </c>
      <c r="BU88" t="s">
        <v>114</v>
      </c>
      <c r="BV88">
        <v>68.848168000000001</v>
      </c>
      <c r="BW88">
        <v>87.606111999999996</v>
      </c>
      <c r="BX88">
        <v>20.588235000000001</v>
      </c>
      <c r="BY88">
        <v>10.569106</v>
      </c>
      <c r="BZ88">
        <v>90.133332999999993</v>
      </c>
      <c r="CA88">
        <v>57.627119</v>
      </c>
      <c r="CB88">
        <v>38.095238000000002</v>
      </c>
      <c r="CC88">
        <v>86.56</v>
      </c>
      <c r="CD88">
        <v>57.142856999999999</v>
      </c>
      <c r="CE88">
        <v>88.724583999999993</v>
      </c>
      <c r="CF88">
        <v>77.040816000000007</v>
      </c>
      <c r="CG88">
        <v>86.753060000000005</v>
      </c>
      <c r="CH88" t="s">
        <v>114</v>
      </c>
      <c r="CI88">
        <v>82.971013999999997</v>
      </c>
      <c r="CJ88">
        <v>96.787516999999994</v>
      </c>
      <c r="CK88">
        <v>23.728814</v>
      </c>
      <c r="CL88">
        <v>95.149035999999995</v>
      </c>
      <c r="CM88">
        <v>83.723404000000002</v>
      </c>
      <c r="CN88">
        <v>25.096525</v>
      </c>
      <c r="CO88">
        <v>85.915492999999998</v>
      </c>
      <c r="CP88">
        <v>96.390977000000007</v>
      </c>
      <c r="CQ88">
        <v>76.365796000000003</v>
      </c>
      <c r="CR88">
        <v>89.411765000000003</v>
      </c>
      <c r="CS88">
        <v>83.393501999999998</v>
      </c>
      <c r="CT88" t="s">
        <v>114</v>
      </c>
      <c r="CU88">
        <v>88.140618000000003</v>
      </c>
      <c r="CV88">
        <v>93.702387000000002</v>
      </c>
      <c r="CW88">
        <v>88.782050999999996</v>
      </c>
      <c r="CX88">
        <v>25.956738999999999</v>
      </c>
      <c r="CY88">
        <v>82.539682999999997</v>
      </c>
      <c r="CZ88">
        <v>93.806306000000006</v>
      </c>
      <c r="DA88">
        <v>14.545455</v>
      </c>
      <c r="DB88">
        <v>93.007519000000002</v>
      </c>
      <c r="DC88">
        <v>95.506257000000005</v>
      </c>
      <c r="DD88">
        <v>94.444444000000004</v>
      </c>
      <c r="DE88">
        <v>81.766381999999993</v>
      </c>
      <c r="DF88">
        <v>95.548136</v>
      </c>
      <c r="DG88">
        <v>87.534626000000003</v>
      </c>
      <c r="DH88">
        <v>92.509362999999993</v>
      </c>
      <c r="DI88">
        <v>95.478926999999999</v>
      </c>
      <c r="DJ88">
        <v>73.300166000000004</v>
      </c>
      <c r="DK88">
        <v>20</v>
      </c>
      <c r="DL88">
        <v>91.823898999999997</v>
      </c>
      <c r="DM88">
        <v>86.879215000000002</v>
      </c>
      <c r="DN88">
        <v>49.763033</v>
      </c>
      <c r="DO88">
        <v>90.105385999999996</v>
      </c>
      <c r="DP88">
        <v>77.512563</v>
      </c>
      <c r="DQ88">
        <v>93.010326000000006</v>
      </c>
      <c r="DR88">
        <v>92.261104000000003</v>
      </c>
      <c r="DS88">
        <v>96.126255</v>
      </c>
      <c r="DT88">
        <v>7.6923079999999997</v>
      </c>
      <c r="DU88">
        <v>96.220252000000002</v>
      </c>
      <c r="DV88">
        <v>0</v>
      </c>
      <c r="DW88">
        <v>0</v>
      </c>
      <c r="DX88">
        <v>90.054912000000002</v>
      </c>
      <c r="DY88">
        <v>82.528735999999995</v>
      </c>
      <c r="DZ88">
        <v>66.666667000000004</v>
      </c>
      <c r="EA88">
        <v>93.359493000000001</v>
      </c>
      <c r="EB88" t="s">
        <v>114</v>
      </c>
      <c r="EC88">
        <v>6.3366340000000001</v>
      </c>
      <c r="ED88" t="s">
        <v>114</v>
      </c>
      <c r="EE88">
        <v>49.843260000000001</v>
      </c>
      <c r="EF88">
        <v>65.543791999999996</v>
      </c>
      <c r="EG88">
        <v>80.212705999999997</v>
      </c>
      <c r="EH88">
        <v>14.199396</v>
      </c>
      <c r="EI88">
        <v>91.410769999999999</v>
      </c>
      <c r="EJ88">
        <v>30.985914999999999</v>
      </c>
      <c r="EK88">
        <v>30.167598000000002</v>
      </c>
      <c r="EL88">
        <v>58.768656999999997</v>
      </c>
      <c r="EM88">
        <v>86.433121</v>
      </c>
      <c r="EN88">
        <v>18.095237999999998</v>
      </c>
      <c r="EO88" t="s">
        <v>114</v>
      </c>
      <c r="EP88">
        <v>89.607635000000002</v>
      </c>
      <c r="EQ88">
        <v>90.136985999999993</v>
      </c>
      <c r="ER88">
        <v>87.124464000000003</v>
      </c>
      <c r="ES88">
        <v>67.469880000000003</v>
      </c>
      <c r="ET88">
        <v>20.171673999999999</v>
      </c>
      <c r="EU88">
        <v>90.262750999999994</v>
      </c>
      <c r="EV88">
        <v>0</v>
      </c>
      <c r="EW88">
        <v>51.980198000000001</v>
      </c>
      <c r="EX88">
        <v>78.917378999999997</v>
      </c>
      <c r="EY88">
        <v>25</v>
      </c>
      <c r="EZ88">
        <v>49.689441000000002</v>
      </c>
      <c r="FA88">
        <v>96</v>
      </c>
      <c r="FB88">
        <v>0</v>
      </c>
      <c r="FC88">
        <v>49.514563000000003</v>
      </c>
      <c r="FD88">
        <v>0</v>
      </c>
      <c r="FE88">
        <v>0</v>
      </c>
      <c r="FF88">
        <v>89.763779999999997</v>
      </c>
      <c r="FG88">
        <v>91.898734000000005</v>
      </c>
      <c r="FH88">
        <v>96.340796999999995</v>
      </c>
      <c r="FI88">
        <v>16.577539999999999</v>
      </c>
      <c r="FJ88">
        <v>82.612313</v>
      </c>
      <c r="FK88">
        <v>91.411648999999997</v>
      </c>
      <c r="FL88">
        <v>95.979532000000006</v>
      </c>
      <c r="FM88">
        <v>84.558824000000001</v>
      </c>
      <c r="FN88" t="s">
        <v>114</v>
      </c>
      <c r="FO88">
        <v>0</v>
      </c>
      <c r="FP88">
        <v>94.4</v>
      </c>
      <c r="FQ88">
        <v>76.691728999999995</v>
      </c>
      <c r="FR88">
        <v>93.199382</v>
      </c>
      <c r="FS88">
        <v>96.954314999999994</v>
      </c>
      <c r="FT88">
        <v>51.367781000000001</v>
      </c>
      <c r="FU88">
        <v>82.730924000000002</v>
      </c>
      <c r="FV88">
        <v>84.327323000000007</v>
      </c>
      <c r="FW88">
        <v>69.577875000000006</v>
      </c>
      <c r="FX88">
        <v>77.004219000000006</v>
      </c>
      <c r="FY88">
        <v>81.620209000000003</v>
      </c>
      <c r="FZ88">
        <v>90.358526999999995</v>
      </c>
      <c r="GA88">
        <v>63.502673999999999</v>
      </c>
      <c r="GB88">
        <v>36.486485999999999</v>
      </c>
      <c r="GC88">
        <v>73.851590000000002</v>
      </c>
      <c r="GD88">
        <v>95.587045000000003</v>
      </c>
      <c r="GE88">
        <v>95.750332</v>
      </c>
      <c r="GF88">
        <v>35.530085999999997</v>
      </c>
      <c r="GG88">
        <v>29.816514000000002</v>
      </c>
      <c r="GH88">
        <v>80.924854999999994</v>
      </c>
      <c r="GI88">
        <v>0</v>
      </c>
      <c r="GJ88">
        <v>71.089384999999993</v>
      </c>
      <c r="GK88">
        <v>69.681528999999998</v>
      </c>
      <c r="GL88">
        <v>8.3333329999999997</v>
      </c>
      <c r="GM88">
        <v>0</v>
      </c>
      <c r="GN88">
        <v>88.188975999999997</v>
      </c>
      <c r="GO88">
        <v>0</v>
      </c>
      <c r="GP88">
        <v>91.420455000000004</v>
      </c>
      <c r="GQ88">
        <v>93.654084999999995</v>
      </c>
      <c r="GR88">
        <v>82.018561000000005</v>
      </c>
      <c r="GS88">
        <v>19.318182</v>
      </c>
      <c r="GT88">
        <v>85.015528000000003</v>
      </c>
      <c r="GU88">
        <v>0</v>
      </c>
      <c r="GV88">
        <v>53.972602999999999</v>
      </c>
      <c r="GW88">
        <v>0</v>
      </c>
      <c r="GX88">
        <v>75.5</v>
      </c>
      <c r="GY88">
        <v>55.691057000000001</v>
      </c>
      <c r="GZ88">
        <v>97.178130999999993</v>
      </c>
      <c r="HA88">
        <v>73.283581999999996</v>
      </c>
      <c r="HB88">
        <v>75.811001000000005</v>
      </c>
      <c r="HC88">
        <v>62.074553999999999</v>
      </c>
      <c r="HD88">
        <v>57.175141000000004</v>
      </c>
      <c r="HE88">
        <v>8.8435369999999995</v>
      </c>
      <c r="HF88">
        <v>0</v>
      </c>
      <c r="HG88">
        <v>88.127172999999999</v>
      </c>
      <c r="HH88">
        <v>87.250684000000007</v>
      </c>
      <c r="HI88">
        <v>93.646409000000006</v>
      </c>
      <c r="HJ88">
        <v>88.344988000000001</v>
      </c>
      <c r="HK88">
        <v>58.507852999999997</v>
      </c>
      <c r="HL88">
        <v>41.913747000000001</v>
      </c>
      <c r="HM88">
        <v>10.112360000000001</v>
      </c>
      <c r="HN88">
        <v>60.350876999999997</v>
      </c>
      <c r="HO88">
        <v>86.567164000000005</v>
      </c>
      <c r="HP88">
        <v>4.0229889999999999</v>
      </c>
      <c r="HQ88">
        <v>58.333333000000003</v>
      </c>
      <c r="HR88">
        <v>19.239374000000002</v>
      </c>
      <c r="HS88">
        <v>28.787879</v>
      </c>
      <c r="HT88">
        <v>93.517174999999995</v>
      </c>
      <c r="HU88">
        <v>92.326531000000003</v>
      </c>
      <c r="HV88" t="s">
        <v>114</v>
      </c>
      <c r="HW88">
        <v>0</v>
      </c>
      <c r="HX88">
        <v>91.684434999999993</v>
      </c>
      <c r="HY88">
        <v>94.798658000000003</v>
      </c>
      <c r="HZ88">
        <v>76.059849999999997</v>
      </c>
      <c r="IA88">
        <v>18.421053000000001</v>
      </c>
      <c r="IB88" t="s">
        <v>114</v>
      </c>
      <c r="IC88" t="s">
        <v>114</v>
      </c>
      <c r="ID88">
        <v>0</v>
      </c>
      <c r="IE88">
        <v>94.408502999999996</v>
      </c>
      <c r="IF88">
        <v>63.839286000000001</v>
      </c>
      <c r="IG88" t="s">
        <v>114</v>
      </c>
      <c r="IH88">
        <v>65.084388000000004</v>
      </c>
      <c r="II88">
        <v>0</v>
      </c>
      <c r="IJ88">
        <v>96.867564999999999</v>
      </c>
      <c r="IK88">
        <v>0</v>
      </c>
      <c r="IL88">
        <v>0</v>
      </c>
      <c r="IM88">
        <v>0</v>
      </c>
      <c r="IN88">
        <v>96.766561999999993</v>
      </c>
      <c r="IO88">
        <v>95.836376999999999</v>
      </c>
      <c r="IP88">
        <v>95.772647000000006</v>
      </c>
      <c r="IQ88">
        <v>0</v>
      </c>
      <c r="IR88">
        <v>97.650272999999999</v>
      </c>
      <c r="IS88">
        <v>73.491524999999996</v>
      </c>
      <c r="IT88">
        <v>30.073801</v>
      </c>
      <c r="IU88">
        <v>24.183007</v>
      </c>
      <c r="IV88">
        <v>36.764705999999997</v>
      </c>
      <c r="IW88">
        <v>19.008264</v>
      </c>
      <c r="IX88">
        <v>75.064599000000001</v>
      </c>
      <c r="IY88">
        <v>92.416545999999997</v>
      </c>
      <c r="IZ88">
        <v>56.004756</v>
      </c>
      <c r="JA88">
        <v>59.220232000000003</v>
      </c>
      <c r="JB88">
        <v>9.5238099999999992</v>
      </c>
      <c r="JC88">
        <v>22.709924000000001</v>
      </c>
      <c r="JD88">
        <v>90.916302999999999</v>
      </c>
      <c r="JE88">
        <v>35.526316000000001</v>
      </c>
      <c r="JF88">
        <v>7.8125</v>
      </c>
      <c r="JG88">
        <v>92.755809999999997</v>
      </c>
      <c r="JH88">
        <v>16.666667</v>
      </c>
      <c r="JI88">
        <v>8.6956520000000008</v>
      </c>
      <c r="JJ88" t="s">
        <v>114</v>
      </c>
      <c r="JK88">
        <v>19.475655</v>
      </c>
      <c r="JL88">
        <v>96.422816999999995</v>
      </c>
      <c r="JM88">
        <v>87.970918999999995</v>
      </c>
      <c r="JN88">
        <v>72.435450000000003</v>
      </c>
      <c r="JO88">
        <v>0</v>
      </c>
      <c r="JP88">
        <v>14.467409</v>
      </c>
      <c r="JQ88">
        <v>0</v>
      </c>
      <c r="JR88">
        <v>64.796480000000003</v>
      </c>
      <c r="JS88" t="s">
        <v>114</v>
      </c>
      <c r="JT88" t="s">
        <v>114</v>
      </c>
      <c r="JU88">
        <v>48.934280999999999</v>
      </c>
      <c r="JV88" t="s">
        <v>114</v>
      </c>
      <c r="JW88">
        <v>30.313589</v>
      </c>
      <c r="JX88" t="s">
        <v>114</v>
      </c>
      <c r="JY88">
        <v>14.122137</v>
      </c>
      <c r="JZ88" t="s">
        <v>114</v>
      </c>
      <c r="KA88" t="s">
        <v>114</v>
      </c>
      <c r="KB88">
        <v>0</v>
      </c>
      <c r="KC88">
        <v>0</v>
      </c>
      <c r="KD88">
        <v>95.881225999999998</v>
      </c>
      <c r="KE88">
        <v>66.315788999999995</v>
      </c>
      <c r="KF88">
        <v>89.967105000000004</v>
      </c>
      <c r="KG88">
        <v>96.766321000000005</v>
      </c>
      <c r="KH88">
        <v>0</v>
      </c>
      <c r="KI88">
        <v>50.308008000000001</v>
      </c>
      <c r="KJ88">
        <v>4.6511630000000004</v>
      </c>
      <c r="KK88">
        <v>98.157370999999998</v>
      </c>
      <c r="KL88" t="s">
        <v>114</v>
      </c>
      <c r="KM88">
        <v>63.981043</v>
      </c>
      <c r="KN88">
        <v>72.277227999999994</v>
      </c>
      <c r="KO88">
        <v>0</v>
      </c>
      <c r="KP88">
        <v>39.870690000000003</v>
      </c>
      <c r="KQ88">
        <v>61.394101999999997</v>
      </c>
      <c r="KR88">
        <v>52.985075000000002</v>
      </c>
      <c r="KS88">
        <v>80.960853999999998</v>
      </c>
      <c r="KT88">
        <v>78.662150999999994</v>
      </c>
      <c r="KU88">
        <v>0</v>
      </c>
      <c r="KV88">
        <v>42</v>
      </c>
      <c r="KW88">
        <v>95.769817000000003</v>
      </c>
      <c r="KX88">
        <v>39.285713999999999</v>
      </c>
      <c r="KY88">
        <v>75.646045000000001</v>
      </c>
      <c r="KZ88">
        <v>18.055555999999999</v>
      </c>
      <c r="LA88">
        <v>79.598954000000006</v>
      </c>
      <c r="LB88">
        <v>48.821548999999997</v>
      </c>
      <c r="LC88">
        <v>82.729211000000006</v>
      </c>
      <c r="LD88" t="s">
        <v>114</v>
      </c>
      <c r="LE88">
        <v>65.302143999999998</v>
      </c>
      <c r="LF88">
        <v>59.146341</v>
      </c>
      <c r="LG88">
        <v>86.525424000000001</v>
      </c>
      <c r="LH88">
        <v>47.749510999999998</v>
      </c>
      <c r="LI88">
        <v>74.482006999999996</v>
      </c>
      <c r="LJ88">
        <v>88.612099999999998</v>
      </c>
      <c r="LK88">
        <v>77.182540000000003</v>
      </c>
      <c r="LL88">
        <v>85.177865999999995</v>
      </c>
      <c r="LM88">
        <v>96.330887000000004</v>
      </c>
      <c r="LN88">
        <v>19.811321</v>
      </c>
      <c r="LO88">
        <v>91.533657000000005</v>
      </c>
      <c r="LP88">
        <v>56.543456999999997</v>
      </c>
      <c r="LQ88">
        <v>91.832229999999996</v>
      </c>
      <c r="LR88">
        <v>0</v>
      </c>
      <c r="LS88">
        <v>91.485149000000007</v>
      </c>
      <c r="LT88">
        <v>85.714286000000001</v>
      </c>
      <c r="LU88">
        <v>84.821428999999995</v>
      </c>
      <c r="LV88">
        <v>96.924510999999995</v>
      </c>
      <c r="LW88">
        <v>0</v>
      </c>
      <c r="LX88">
        <v>83.026874000000007</v>
      </c>
      <c r="LY88">
        <v>97.023387999999997</v>
      </c>
      <c r="LZ88">
        <v>0</v>
      </c>
      <c r="MA88">
        <v>86.933045000000007</v>
      </c>
      <c r="MB88">
        <v>93.111830999999995</v>
      </c>
      <c r="MC88">
        <v>73.008849999999995</v>
      </c>
      <c r="MD88">
        <v>89.790897999999999</v>
      </c>
      <c r="ME88">
        <v>98.107918999999995</v>
      </c>
      <c r="MF88">
        <v>97.687074999999993</v>
      </c>
      <c r="MG88">
        <v>10.843373</v>
      </c>
      <c r="MH88">
        <v>0</v>
      </c>
      <c r="MI88">
        <v>94.962216999999995</v>
      </c>
      <c r="MJ88">
        <v>82.762991</v>
      </c>
      <c r="MK88">
        <v>96.863468999999995</v>
      </c>
      <c r="ML88">
        <v>0</v>
      </c>
      <c r="MM88">
        <v>95.997140999999999</v>
      </c>
      <c r="MN88">
        <v>96.724891</v>
      </c>
      <c r="MO88">
        <v>96.870554999999996</v>
      </c>
      <c r="MP88">
        <v>95.198254000000006</v>
      </c>
      <c r="MQ88">
        <v>13.150684999999999</v>
      </c>
      <c r="MR88">
        <v>63.613232000000004</v>
      </c>
      <c r="MS88">
        <v>7.5471700000000004</v>
      </c>
      <c r="MT88">
        <v>90.920501999999999</v>
      </c>
      <c r="MU88">
        <v>73.160622000000004</v>
      </c>
      <c r="MV88">
        <v>93.543955999999994</v>
      </c>
      <c r="MW88">
        <v>84.807255999999995</v>
      </c>
      <c r="MX88">
        <v>0</v>
      </c>
      <c r="MY88">
        <v>0</v>
      </c>
      <c r="MZ88">
        <v>74.381484</v>
      </c>
      <c r="NA88">
        <v>56.867891999999998</v>
      </c>
      <c r="NB88">
        <v>4.424779</v>
      </c>
      <c r="NC88">
        <v>66.590908999999996</v>
      </c>
      <c r="ND88">
        <v>94.073728000000003</v>
      </c>
      <c r="NE88">
        <v>43.633540000000004</v>
      </c>
      <c r="NF88">
        <v>2.0576129999999999</v>
      </c>
      <c r="NG88">
        <v>12.349914</v>
      </c>
      <c r="NH88">
        <v>79.115853999999999</v>
      </c>
      <c r="NI88">
        <v>55.261645000000001</v>
      </c>
      <c r="NJ88">
        <v>79.950860000000006</v>
      </c>
      <c r="NK88">
        <v>5.3639849999999996</v>
      </c>
      <c r="NL88">
        <v>84.406295</v>
      </c>
      <c r="NM88">
        <v>53.507852999999997</v>
      </c>
      <c r="NN88">
        <v>12.871287000000001</v>
      </c>
      <c r="NO88">
        <v>77.164008999999993</v>
      </c>
      <c r="NP88">
        <v>87.138022000000007</v>
      </c>
      <c r="NQ88">
        <v>0</v>
      </c>
      <c r="NR88">
        <v>71.772253000000006</v>
      </c>
      <c r="NS88">
        <v>48.318043000000003</v>
      </c>
      <c r="NT88">
        <v>54.568210000000001</v>
      </c>
      <c r="NU88">
        <v>22.465437999999999</v>
      </c>
      <c r="NV88">
        <v>83.615819000000002</v>
      </c>
      <c r="NW88">
        <v>41.111111000000001</v>
      </c>
      <c r="NX88">
        <v>36.033057999999997</v>
      </c>
      <c r="NY88" t="s">
        <v>114</v>
      </c>
      <c r="NZ88">
        <v>0</v>
      </c>
      <c r="OA88">
        <v>12.109375</v>
      </c>
      <c r="OB88">
        <v>89.144936000000001</v>
      </c>
      <c r="OC88">
        <v>62.057613000000003</v>
      </c>
      <c r="OD88">
        <v>3.75</v>
      </c>
      <c r="OE88">
        <v>35.739437000000002</v>
      </c>
      <c r="OF88">
        <v>0</v>
      </c>
      <c r="OG88">
        <v>94.068135999999996</v>
      </c>
      <c r="OH88">
        <v>98.675833999999995</v>
      </c>
      <c r="OI88" t="s">
        <v>114</v>
      </c>
      <c r="OJ88">
        <v>90.874525000000006</v>
      </c>
      <c r="OK88">
        <v>91.495823999999999</v>
      </c>
      <c r="OL88">
        <v>79.348630999999997</v>
      </c>
      <c r="OM88">
        <v>63.131312999999999</v>
      </c>
      <c r="ON88">
        <v>84.276315999999994</v>
      </c>
      <c r="OO88" t="s">
        <v>114</v>
      </c>
      <c r="OP88">
        <v>84.646348000000003</v>
      </c>
      <c r="OQ88" t="s">
        <v>114</v>
      </c>
      <c r="OR88">
        <v>0</v>
      </c>
      <c r="OS88">
        <v>0</v>
      </c>
      <c r="OT88" t="s">
        <v>114</v>
      </c>
      <c r="OU88" t="s">
        <v>114</v>
      </c>
      <c r="OV88" t="s">
        <v>114</v>
      </c>
      <c r="OW88" t="s">
        <v>114</v>
      </c>
      <c r="OX88">
        <v>11.111110999999999</v>
      </c>
      <c r="OY88">
        <v>0</v>
      </c>
      <c r="OZ88" t="s">
        <v>114</v>
      </c>
      <c r="PA88" t="s">
        <v>114</v>
      </c>
      <c r="PB88">
        <v>85.353274999999996</v>
      </c>
      <c r="PC88">
        <v>87.673688999999996</v>
      </c>
      <c r="PD88">
        <v>0</v>
      </c>
      <c r="PE88">
        <v>65.081080999999998</v>
      </c>
      <c r="PF88">
        <v>32.116788</v>
      </c>
      <c r="PG88">
        <v>70.483711999999997</v>
      </c>
      <c r="PH88">
        <v>68.386388999999994</v>
      </c>
      <c r="PI88">
        <v>48.589342000000002</v>
      </c>
      <c r="PJ88">
        <v>63.851351000000001</v>
      </c>
      <c r="PK88">
        <v>76.838905999999994</v>
      </c>
      <c r="PL88">
        <v>0</v>
      </c>
      <c r="PM88">
        <v>67.092652000000001</v>
      </c>
      <c r="PN88" t="s">
        <v>114</v>
      </c>
      <c r="PO88">
        <v>0</v>
      </c>
      <c r="PP88">
        <v>39.862543000000002</v>
      </c>
      <c r="PQ88">
        <v>68.962433000000004</v>
      </c>
      <c r="PR88">
        <v>41.726618999999999</v>
      </c>
      <c r="PS88">
        <v>93.441064999999995</v>
      </c>
      <c r="PT88">
        <v>37.962963000000002</v>
      </c>
      <c r="PU88">
        <v>92.137930999999995</v>
      </c>
      <c r="PV88">
        <v>96.014790000000005</v>
      </c>
      <c r="PW88">
        <v>92.173912999999999</v>
      </c>
      <c r="PX88">
        <v>92.120885000000001</v>
      </c>
      <c r="PY88">
        <v>65.866208999999998</v>
      </c>
      <c r="PZ88">
        <v>97.636761000000007</v>
      </c>
      <c r="QA88">
        <v>65.217391000000006</v>
      </c>
      <c r="QB88">
        <v>56.719368000000003</v>
      </c>
      <c r="QC88">
        <v>45.547944999999999</v>
      </c>
      <c r="QD88">
        <v>77.088949</v>
      </c>
      <c r="QE88">
        <v>66.287015999999994</v>
      </c>
      <c r="QF88">
        <v>55.339806000000003</v>
      </c>
      <c r="QG88">
        <v>95.666306000000006</v>
      </c>
      <c r="QH88">
        <v>0</v>
      </c>
      <c r="QI88" t="s">
        <v>114</v>
      </c>
      <c r="QJ88">
        <v>92.888563000000005</v>
      </c>
      <c r="QK88">
        <v>71.005386000000001</v>
      </c>
      <c r="QL88">
        <v>0</v>
      </c>
      <c r="QM88">
        <v>53.253425</v>
      </c>
      <c r="QN88" t="s">
        <v>114</v>
      </c>
      <c r="QO88">
        <v>33.796295999999998</v>
      </c>
      <c r="QP88">
        <v>18.532819</v>
      </c>
      <c r="QQ88">
        <v>0</v>
      </c>
      <c r="QR88">
        <v>0</v>
      </c>
      <c r="QS88">
        <v>56.670746999999999</v>
      </c>
      <c r="QT88" t="s">
        <v>114</v>
      </c>
      <c r="QU88" t="s">
        <v>114</v>
      </c>
      <c r="QV88">
        <v>81.868742999999995</v>
      </c>
      <c r="QW88">
        <v>82.511628000000002</v>
      </c>
      <c r="QX88">
        <v>19.718309999999999</v>
      </c>
      <c r="QY88">
        <v>66.666667000000004</v>
      </c>
      <c r="QZ88">
        <v>93.125</v>
      </c>
      <c r="RA88">
        <v>91.475888999999995</v>
      </c>
      <c r="RB88">
        <v>94.754219000000006</v>
      </c>
      <c r="RC88">
        <v>60.531697000000001</v>
      </c>
      <c r="RD88">
        <v>14.507771999999999</v>
      </c>
      <c r="RE88">
        <v>90.182505000000006</v>
      </c>
      <c r="RF88">
        <v>70.594480000000004</v>
      </c>
      <c r="RG88">
        <v>88.112522999999996</v>
      </c>
      <c r="RH88">
        <v>22.167487999999999</v>
      </c>
      <c r="RI88">
        <v>68.582374999999999</v>
      </c>
      <c r="RJ88">
        <v>92.134371000000002</v>
      </c>
      <c r="RK88">
        <v>77.367576</v>
      </c>
      <c r="RL88">
        <v>88.598574999999997</v>
      </c>
      <c r="RM88">
        <v>96.851697999999999</v>
      </c>
      <c r="RN88">
        <v>21.649484999999999</v>
      </c>
      <c r="RO88">
        <v>87.614926999999994</v>
      </c>
      <c r="RP88">
        <v>0</v>
      </c>
      <c r="RQ88">
        <v>79.289428000000001</v>
      </c>
      <c r="RR88">
        <v>55.783582000000003</v>
      </c>
      <c r="RS88">
        <v>41.752577000000002</v>
      </c>
      <c r="RT88">
        <v>91.314031</v>
      </c>
      <c r="RU88">
        <v>46.464646000000002</v>
      </c>
      <c r="RV88">
        <v>88.619600000000005</v>
      </c>
      <c r="RW88">
        <v>89.344262000000001</v>
      </c>
      <c r="RX88">
        <v>13.186813000000001</v>
      </c>
      <c r="RY88">
        <v>91.172537000000005</v>
      </c>
      <c r="RZ88">
        <v>82.335329000000002</v>
      </c>
      <c r="SA88">
        <v>23.111111000000001</v>
      </c>
      <c r="SB88">
        <v>28.448276</v>
      </c>
      <c r="SC88">
        <v>81.234567999999996</v>
      </c>
      <c r="SD88">
        <v>66.492925999999997</v>
      </c>
      <c r="SE88">
        <v>84.747023999999996</v>
      </c>
      <c r="SF88">
        <v>58.208955000000003</v>
      </c>
      <c r="SG88">
        <v>78.563014999999993</v>
      </c>
      <c r="SH88">
        <v>7.0921989999999999</v>
      </c>
      <c r="SI88">
        <v>86.738738999999995</v>
      </c>
      <c r="SJ88">
        <v>8.9743589999999998</v>
      </c>
      <c r="SK88" t="s">
        <v>114</v>
      </c>
      <c r="SL88">
        <v>0</v>
      </c>
      <c r="SM88">
        <v>3.0487799999999998</v>
      </c>
      <c r="SN88">
        <v>80.408163000000002</v>
      </c>
      <c r="SO88">
        <v>0</v>
      </c>
      <c r="SP88">
        <v>12.268908</v>
      </c>
      <c r="SQ88">
        <v>3.9682539999999999</v>
      </c>
      <c r="SR88">
        <v>64.935989000000006</v>
      </c>
      <c r="SS88">
        <v>74.125539000000003</v>
      </c>
      <c r="ST88">
        <v>19.287212</v>
      </c>
      <c r="SU88">
        <v>96.014347999999998</v>
      </c>
      <c r="SV88">
        <v>0</v>
      </c>
      <c r="SW88">
        <v>93.874239000000003</v>
      </c>
      <c r="SX88">
        <v>0</v>
      </c>
      <c r="SY88">
        <v>85.911602000000002</v>
      </c>
      <c r="SZ88">
        <v>72.753623000000005</v>
      </c>
      <c r="TA88">
        <v>94.512589000000006</v>
      </c>
      <c r="TB88">
        <v>70.064724999999996</v>
      </c>
      <c r="TC88">
        <v>98.506288999999995</v>
      </c>
      <c r="TD88">
        <v>97.648842999999999</v>
      </c>
      <c r="TE88">
        <v>89.085545999999994</v>
      </c>
      <c r="TF88">
        <v>77.042801999999995</v>
      </c>
      <c r="TG88">
        <v>52.314815000000003</v>
      </c>
      <c r="TH88">
        <v>91.659426999999994</v>
      </c>
      <c r="TI88">
        <v>70.300157999999996</v>
      </c>
      <c r="TJ88">
        <v>0</v>
      </c>
      <c r="TK88">
        <v>52.785514999999997</v>
      </c>
      <c r="TL88" t="s">
        <v>114</v>
      </c>
      <c r="TM88">
        <v>0</v>
      </c>
      <c r="TN88">
        <v>84.893822</v>
      </c>
      <c r="TO88" t="s">
        <v>114</v>
      </c>
      <c r="TP88">
        <v>45.882353000000002</v>
      </c>
      <c r="TQ88">
        <v>72.898798999999997</v>
      </c>
      <c r="TR88">
        <v>30.964466999999999</v>
      </c>
      <c r="TS88">
        <v>24.231465</v>
      </c>
      <c r="TT88">
        <v>2.4509799999999999</v>
      </c>
      <c r="TU88">
        <v>0</v>
      </c>
      <c r="TV88">
        <v>60.084626</v>
      </c>
      <c r="TW88">
        <v>12.328766999999999</v>
      </c>
      <c r="TX88">
        <v>91.355140000000006</v>
      </c>
      <c r="TY88" t="s">
        <v>114</v>
      </c>
      <c r="TZ88">
        <v>89.968511000000007</v>
      </c>
      <c r="UA88">
        <v>91.812135999999995</v>
      </c>
      <c r="UB88">
        <v>84.291725</v>
      </c>
      <c r="UC88">
        <v>0</v>
      </c>
      <c r="UD88">
        <v>81.450947999999997</v>
      </c>
      <c r="UE88">
        <v>83.157894999999996</v>
      </c>
      <c r="UF88">
        <v>78.245192000000003</v>
      </c>
      <c r="UG88">
        <v>74.275980000000004</v>
      </c>
      <c r="UH88" t="s">
        <v>114</v>
      </c>
      <c r="UI88">
        <v>86.956522000000007</v>
      </c>
      <c r="UJ88">
        <v>80.291410999999997</v>
      </c>
      <c r="UK88">
        <v>62.295082000000001</v>
      </c>
      <c r="UL88">
        <v>91.338583</v>
      </c>
      <c r="UM88">
        <v>0</v>
      </c>
      <c r="UN88">
        <v>0</v>
      </c>
      <c r="UO88" t="s">
        <v>114</v>
      </c>
      <c r="UP88">
        <v>85.680047999999999</v>
      </c>
      <c r="UQ88" t="s">
        <v>114</v>
      </c>
      <c r="UR88">
        <v>94.261167999999998</v>
      </c>
      <c r="US88">
        <v>92.711634000000004</v>
      </c>
      <c r="UT88">
        <v>78.073089999999993</v>
      </c>
      <c r="UU88">
        <v>92.035894999999996</v>
      </c>
      <c r="UV88">
        <v>85.344828000000007</v>
      </c>
      <c r="UW88" t="s">
        <v>114</v>
      </c>
      <c r="UX88">
        <v>92.675724000000002</v>
      </c>
      <c r="UY88">
        <v>91.904324000000003</v>
      </c>
      <c r="UZ88">
        <v>0</v>
      </c>
      <c r="VA88">
        <v>94.551607000000004</v>
      </c>
      <c r="VB88">
        <v>20.422535</v>
      </c>
      <c r="VC88" t="s">
        <v>114</v>
      </c>
      <c r="VD88">
        <v>14.935065</v>
      </c>
      <c r="VE88">
        <v>92.107168999999999</v>
      </c>
      <c r="VF88">
        <v>90.698466999999994</v>
      </c>
      <c r="VG88">
        <v>45.276291999999998</v>
      </c>
      <c r="VH88">
        <v>80.804248999999999</v>
      </c>
      <c r="VI88" t="s">
        <v>114</v>
      </c>
      <c r="VJ88" t="s">
        <v>114</v>
      </c>
      <c r="VK88" t="s">
        <v>114</v>
      </c>
      <c r="VL88" t="s">
        <v>114</v>
      </c>
      <c r="VM88" t="s">
        <v>114</v>
      </c>
      <c r="VN88">
        <v>7.6190480000000003</v>
      </c>
      <c r="VO88">
        <v>86.392810999999995</v>
      </c>
      <c r="VP88">
        <v>72.549019999999999</v>
      </c>
      <c r="VQ88">
        <v>79.173291000000006</v>
      </c>
      <c r="VR88">
        <v>53.60134</v>
      </c>
      <c r="VS88">
        <v>57.928803000000002</v>
      </c>
      <c r="VT88" t="s">
        <v>114</v>
      </c>
      <c r="VU88">
        <v>51.115242000000002</v>
      </c>
      <c r="VV88">
        <v>0</v>
      </c>
      <c r="VW88">
        <v>0</v>
      </c>
      <c r="VX88">
        <v>0</v>
      </c>
      <c r="VY88">
        <v>88.828436999999994</v>
      </c>
      <c r="VZ88">
        <v>90.931493000000003</v>
      </c>
      <c r="WA88">
        <v>0</v>
      </c>
      <c r="WB88" t="s">
        <v>114</v>
      </c>
      <c r="WC88">
        <v>0</v>
      </c>
      <c r="WD88">
        <v>27.436823</v>
      </c>
      <c r="WE88">
        <v>54.736842000000003</v>
      </c>
      <c r="WF88">
        <v>65.729730000000004</v>
      </c>
      <c r="WG88">
        <v>57.772621999999998</v>
      </c>
      <c r="WH88" t="s">
        <v>114</v>
      </c>
      <c r="WI88">
        <v>67.731278000000003</v>
      </c>
      <c r="WJ88">
        <v>36.723163999999997</v>
      </c>
      <c r="WK88">
        <v>89.178000999999995</v>
      </c>
      <c r="WL88">
        <v>0</v>
      </c>
      <c r="WM88">
        <v>59.459459000000003</v>
      </c>
      <c r="WN88">
        <v>84.210526000000002</v>
      </c>
      <c r="WO88">
        <v>42.157347999999999</v>
      </c>
      <c r="WP88">
        <v>85.095136999999994</v>
      </c>
      <c r="WQ88">
        <v>88.535032000000001</v>
      </c>
      <c r="WR88">
        <v>0</v>
      </c>
      <c r="WS88">
        <v>86.745056000000005</v>
      </c>
      <c r="WT88" t="s">
        <v>114</v>
      </c>
      <c r="WU88">
        <v>9.4117650000000008</v>
      </c>
      <c r="WV88" t="s">
        <v>114</v>
      </c>
      <c r="WW88">
        <v>38.073394</v>
      </c>
      <c r="WX88">
        <v>16.949152999999999</v>
      </c>
      <c r="WY88">
        <v>0</v>
      </c>
      <c r="WZ88">
        <v>3.9215689999999999</v>
      </c>
      <c r="XA88">
        <v>38.409090999999997</v>
      </c>
      <c r="XB88" t="s">
        <v>114</v>
      </c>
      <c r="XC88">
        <v>21.875</v>
      </c>
      <c r="XD88">
        <v>9.1160219999999992</v>
      </c>
      <c r="XE88">
        <v>68.416667000000004</v>
      </c>
      <c r="XF88">
        <v>0</v>
      </c>
      <c r="XG88">
        <v>63.079470000000001</v>
      </c>
      <c r="XH88">
        <v>89.396225999999999</v>
      </c>
      <c r="XI88">
        <v>0</v>
      </c>
      <c r="XJ88">
        <v>15.044248</v>
      </c>
      <c r="XK88">
        <v>71.883853000000002</v>
      </c>
      <c r="XL88">
        <v>31.149927000000002</v>
      </c>
      <c r="XM88">
        <v>93.752244000000005</v>
      </c>
      <c r="XN88">
        <v>74.299634999999995</v>
      </c>
      <c r="XO88">
        <v>14.673913000000001</v>
      </c>
      <c r="XP88">
        <v>0</v>
      </c>
      <c r="XQ88">
        <v>0</v>
      </c>
      <c r="XR88">
        <v>47.766323</v>
      </c>
      <c r="XS88">
        <v>69.263158000000004</v>
      </c>
      <c r="XT88">
        <v>95.905468999999997</v>
      </c>
      <c r="XU88">
        <v>0</v>
      </c>
      <c r="XV88">
        <v>0</v>
      </c>
      <c r="XW88">
        <v>0</v>
      </c>
      <c r="XX88">
        <v>68.167702000000006</v>
      </c>
      <c r="XY88">
        <v>70.597243000000006</v>
      </c>
      <c r="XZ88">
        <v>38.461537999999997</v>
      </c>
      <c r="YA88">
        <v>27.093596000000002</v>
      </c>
      <c r="YB88">
        <v>45.256410000000002</v>
      </c>
      <c r="YC88">
        <v>90.877797000000001</v>
      </c>
      <c r="YD88" t="s">
        <v>114</v>
      </c>
      <c r="YE88">
        <v>49.571733999999999</v>
      </c>
      <c r="YF88">
        <v>0</v>
      </c>
      <c r="YG88">
        <v>94.966629999999995</v>
      </c>
      <c r="YH88">
        <v>0</v>
      </c>
      <c r="YI88" t="s">
        <v>114</v>
      </c>
      <c r="YJ88">
        <v>93.943662000000003</v>
      </c>
      <c r="YK88">
        <v>92.540687000000005</v>
      </c>
      <c r="YL88">
        <v>86.523437999999999</v>
      </c>
      <c r="YM88">
        <v>63.035921000000002</v>
      </c>
      <c r="YN88" t="s">
        <v>114</v>
      </c>
      <c r="YO88" t="s">
        <v>114</v>
      </c>
      <c r="YP88">
        <v>47.368420999999998</v>
      </c>
      <c r="YQ88">
        <v>89.977727999999999</v>
      </c>
      <c r="YR88">
        <v>76.456503999999995</v>
      </c>
      <c r="YS88">
        <v>50.910930999999998</v>
      </c>
      <c r="YT88" t="s">
        <v>114</v>
      </c>
      <c r="YU88">
        <v>90.590525999999997</v>
      </c>
      <c r="YV88">
        <v>83.943162000000001</v>
      </c>
      <c r="YW88">
        <v>0</v>
      </c>
      <c r="YX88">
        <v>0</v>
      </c>
      <c r="YY88">
        <v>8.6021509999999992</v>
      </c>
      <c r="YZ88">
        <v>47.960445</v>
      </c>
      <c r="ZA88">
        <v>86.922269</v>
      </c>
      <c r="ZB88">
        <v>52.777777999999998</v>
      </c>
      <c r="ZC88">
        <v>71.511628000000002</v>
      </c>
      <c r="ZD88">
        <v>91.452206000000004</v>
      </c>
      <c r="ZE88">
        <v>92.705410999999998</v>
      </c>
      <c r="ZF88">
        <v>0</v>
      </c>
      <c r="ZG88">
        <v>49.584816000000004</v>
      </c>
      <c r="ZH88">
        <v>45.801527</v>
      </c>
      <c r="ZI88">
        <v>10.854502999999999</v>
      </c>
      <c r="ZJ88">
        <v>38.226300000000002</v>
      </c>
      <c r="ZK88">
        <v>0</v>
      </c>
      <c r="ZL88">
        <v>49.024389999999997</v>
      </c>
      <c r="ZM88">
        <v>32.269503999999998</v>
      </c>
      <c r="ZN88">
        <v>33.791749000000003</v>
      </c>
      <c r="ZO88">
        <v>9.6385539999999992</v>
      </c>
      <c r="ZP88" t="s">
        <v>114</v>
      </c>
      <c r="ZQ88" t="s">
        <v>114</v>
      </c>
      <c r="ZR88" t="s">
        <v>114</v>
      </c>
      <c r="ZS88">
        <v>0</v>
      </c>
      <c r="ZT88" t="s">
        <v>114</v>
      </c>
      <c r="ZU88" t="s">
        <v>114</v>
      </c>
      <c r="ZV88">
        <v>79.522497999999999</v>
      </c>
      <c r="ZW88" t="s">
        <v>114</v>
      </c>
      <c r="ZX88">
        <v>32.247557</v>
      </c>
      <c r="ZY88">
        <v>54.946523999999997</v>
      </c>
      <c r="ZZ88">
        <v>94.293477999999993</v>
      </c>
      <c r="AAA88">
        <v>68.168604999999999</v>
      </c>
      <c r="AAB88">
        <v>30.593606999999999</v>
      </c>
      <c r="AAC88">
        <v>29.700855000000001</v>
      </c>
      <c r="AAD88">
        <v>92.099423000000002</v>
      </c>
      <c r="AAE88">
        <v>15.769231</v>
      </c>
      <c r="AAF88">
        <v>18.772563000000002</v>
      </c>
      <c r="AAG88">
        <v>33.724339999999998</v>
      </c>
      <c r="AAH88">
        <v>0</v>
      </c>
      <c r="AAI88">
        <v>30</v>
      </c>
      <c r="AAJ88">
        <v>2.4691360000000002</v>
      </c>
      <c r="AAK88" t="s">
        <v>114</v>
      </c>
      <c r="AAL88" t="s">
        <v>114</v>
      </c>
      <c r="AAM88">
        <v>57.730496000000002</v>
      </c>
      <c r="AAN88">
        <v>77.290576000000001</v>
      </c>
      <c r="AAO88">
        <v>23.349056999999998</v>
      </c>
      <c r="AAP88" t="s">
        <v>114</v>
      </c>
      <c r="AAQ88">
        <v>46.142648999999999</v>
      </c>
      <c r="AAR88">
        <v>54.923076999999999</v>
      </c>
      <c r="AAS88" t="s">
        <v>114</v>
      </c>
      <c r="AAT88">
        <v>16.107382999999999</v>
      </c>
      <c r="AAU88">
        <v>13.131313</v>
      </c>
      <c r="AAV88">
        <v>2.3255810000000001</v>
      </c>
      <c r="AAW88">
        <v>68.252212</v>
      </c>
      <c r="AAX88">
        <v>0</v>
      </c>
      <c r="AAY88">
        <v>0</v>
      </c>
      <c r="AAZ88" t="s">
        <v>114</v>
      </c>
      <c r="ABA88">
        <v>87.583149000000006</v>
      </c>
      <c r="ABB88">
        <v>82.156133999999994</v>
      </c>
      <c r="ABC88">
        <v>92.550635</v>
      </c>
      <c r="ABD88">
        <v>0</v>
      </c>
      <c r="ABE88">
        <v>71.522310000000004</v>
      </c>
      <c r="ABF88" t="s">
        <v>114</v>
      </c>
      <c r="ABG88">
        <v>91.449426000000003</v>
      </c>
      <c r="ABH88">
        <v>87.002341999999999</v>
      </c>
      <c r="ABI88" t="s">
        <v>114</v>
      </c>
      <c r="ABJ88">
        <v>29.064748000000002</v>
      </c>
      <c r="ABK88">
        <v>82.836241000000001</v>
      </c>
      <c r="ABL88">
        <v>0</v>
      </c>
      <c r="ABM88">
        <v>84.779050999999995</v>
      </c>
      <c r="ABN88" t="s">
        <v>114</v>
      </c>
      <c r="ABO88" t="s">
        <v>114</v>
      </c>
      <c r="ABP88">
        <v>9.0090090000000007</v>
      </c>
      <c r="ABQ88">
        <v>0</v>
      </c>
      <c r="ABR88">
        <v>35.831622000000003</v>
      </c>
      <c r="ABS88">
        <v>88.019840000000002</v>
      </c>
      <c r="ABT88" t="s">
        <v>114</v>
      </c>
      <c r="ABU88" t="s">
        <v>114</v>
      </c>
      <c r="ABV88">
        <v>0</v>
      </c>
      <c r="ABW88">
        <v>0</v>
      </c>
      <c r="ABX88">
        <v>4.7619049999999996</v>
      </c>
      <c r="ABY88" t="s">
        <v>114</v>
      </c>
      <c r="ABZ88">
        <v>89.364303000000007</v>
      </c>
      <c r="ACA88">
        <v>70.942164000000005</v>
      </c>
      <c r="ACB88">
        <v>3.947368</v>
      </c>
      <c r="ACC88">
        <v>61.922365999999997</v>
      </c>
      <c r="ACD88" t="s">
        <v>114</v>
      </c>
      <c r="ACE88">
        <v>2.7397260000000001</v>
      </c>
      <c r="ACF88" t="s">
        <v>114</v>
      </c>
      <c r="ACG88" t="s">
        <v>114</v>
      </c>
      <c r="ACH88">
        <v>0</v>
      </c>
      <c r="ACI88">
        <v>0</v>
      </c>
      <c r="ACJ88">
        <v>0</v>
      </c>
      <c r="ACK88">
        <v>75.393883000000002</v>
      </c>
      <c r="ACL88">
        <v>80.183392999999995</v>
      </c>
      <c r="ACM88">
        <v>0</v>
      </c>
      <c r="ACN88">
        <v>23.051947999999999</v>
      </c>
      <c r="ACO88">
        <v>62.349727000000001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O88"/>
  <sheetViews>
    <sheetView zoomScale="75" zoomScaleNormal="75" workbookViewId="0"/>
  </sheetViews>
  <sheetFormatPr defaultRowHeight="15" x14ac:dyDescent="0.25"/>
  <sheetData>
    <row r="1" spans="1:3" x14ac:dyDescent="0.25">
      <c r="A1" t="s">
        <v>3</v>
      </c>
      <c r="B1" t="s">
        <v>896</v>
      </c>
    </row>
    <row r="2" spans="1:3" x14ac:dyDescent="0.25">
      <c r="A2" t="s">
        <v>5</v>
      </c>
      <c r="B2" t="s">
        <v>6</v>
      </c>
    </row>
    <row r="4" spans="1:3" x14ac:dyDescent="0.25">
      <c r="A4" t="s">
        <v>7</v>
      </c>
      <c r="B4">
        <v>1500</v>
      </c>
    </row>
    <row r="5" spans="1:3" x14ac:dyDescent="0.25">
      <c r="A5" t="s">
        <v>8</v>
      </c>
      <c r="B5">
        <v>2100</v>
      </c>
    </row>
    <row r="6" spans="1:3" x14ac:dyDescent="0.25">
      <c r="A6" t="s">
        <v>9</v>
      </c>
    </row>
    <row r="7" spans="1:3" x14ac:dyDescent="0.25">
      <c r="A7" t="s">
        <v>10</v>
      </c>
      <c r="B7" t="b">
        <v>1</v>
      </c>
    </row>
    <row r="9" spans="1:3" x14ac:dyDescent="0.25">
      <c r="A9" t="s">
        <v>11</v>
      </c>
    </row>
    <row r="10" spans="1:3" x14ac:dyDescent="0.25">
      <c r="A10" t="s">
        <v>12</v>
      </c>
      <c r="B10" t="s">
        <v>13</v>
      </c>
    </row>
    <row r="11" spans="1:3" x14ac:dyDescent="0.25">
      <c r="A11" t="s">
        <v>14</v>
      </c>
      <c r="B11">
        <v>10</v>
      </c>
    </row>
    <row r="13" spans="1:3" x14ac:dyDescent="0.25">
      <c r="A13" t="s">
        <v>15</v>
      </c>
    </row>
    <row r="14" spans="1:3" x14ac:dyDescent="0.25">
      <c r="A14" t="s">
        <v>12</v>
      </c>
      <c r="B14" t="s">
        <v>16</v>
      </c>
      <c r="C14" t="s">
        <v>17</v>
      </c>
    </row>
    <row r="15" spans="1:3" x14ac:dyDescent="0.25">
      <c r="A15" t="s">
        <v>18</v>
      </c>
      <c r="B15">
        <v>40</v>
      </c>
    </row>
    <row r="16" spans="1:3" x14ac:dyDescent="0.25">
      <c r="A16" t="s">
        <v>19</v>
      </c>
      <c r="B16">
        <v>15</v>
      </c>
    </row>
    <row r="17" spans="1:49" x14ac:dyDescent="0.25">
      <c r="A17" t="s">
        <v>20</v>
      </c>
    </row>
    <row r="18" spans="1:49" x14ac:dyDescent="0.25">
      <c r="A18" t="s">
        <v>21</v>
      </c>
      <c r="B18">
        <v>20</v>
      </c>
    </row>
    <row r="20" spans="1:49" x14ac:dyDescent="0.25">
      <c r="A20" t="s">
        <v>22</v>
      </c>
    </row>
    <row r="21" spans="1:49" x14ac:dyDescent="0.25">
      <c r="A21" t="s">
        <v>23</v>
      </c>
    </row>
    <row r="22" spans="1:49" x14ac:dyDescent="0.25">
      <c r="A22" t="s">
        <v>24</v>
      </c>
      <c r="B22">
        <v>0</v>
      </c>
    </row>
    <row r="23" spans="1:49" x14ac:dyDescent="0.25">
      <c r="A23" t="s">
        <v>25</v>
      </c>
      <c r="B23">
        <v>100</v>
      </c>
    </row>
    <row r="24" spans="1:49" x14ac:dyDescent="0.25">
      <c r="A24" t="s">
        <v>26</v>
      </c>
      <c r="B24">
        <v>1</v>
      </c>
    </row>
    <row r="26" spans="1:49" x14ac:dyDescent="0.25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36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43</v>
      </c>
      <c r="R26" t="s">
        <v>44</v>
      </c>
      <c r="S26" t="s">
        <v>45</v>
      </c>
      <c r="T26" t="s">
        <v>46</v>
      </c>
      <c r="U26" t="s">
        <v>47</v>
      </c>
      <c r="V26" t="s">
        <v>48</v>
      </c>
      <c r="W26" t="s">
        <v>49</v>
      </c>
      <c r="X26" t="s">
        <v>50</v>
      </c>
      <c r="Y26" t="s">
        <v>51</v>
      </c>
      <c r="Z26" t="s">
        <v>52</v>
      </c>
      <c r="AA26" t="s">
        <v>53</v>
      </c>
      <c r="AB26" t="s">
        <v>54</v>
      </c>
      <c r="AC26" t="s">
        <v>55</v>
      </c>
      <c r="AD26" t="s">
        <v>56</v>
      </c>
      <c r="AE26" t="s">
        <v>57</v>
      </c>
      <c r="AF26" t="s">
        <v>58</v>
      </c>
      <c r="AG26" t="s">
        <v>59</v>
      </c>
      <c r="AH26" t="s">
        <v>60</v>
      </c>
      <c r="AI26" t="s">
        <v>61</v>
      </c>
      <c r="AJ26" t="s">
        <v>62</v>
      </c>
      <c r="AK26" t="s">
        <v>63</v>
      </c>
      <c r="AL26" t="s">
        <v>64</v>
      </c>
      <c r="AM26" t="s">
        <v>65</v>
      </c>
      <c r="AN26" t="s">
        <v>66</v>
      </c>
      <c r="AO26" t="s">
        <v>67</v>
      </c>
      <c r="AP26" t="s">
        <v>68</v>
      </c>
      <c r="AQ26" t="s">
        <v>69</v>
      </c>
      <c r="AR26" t="s">
        <v>70</v>
      </c>
      <c r="AS26" t="s">
        <v>71</v>
      </c>
      <c r="AT26" t="s">
        <v>72</v>
      </c>
      <c r="AU26" t="s">
        <v>73</v>
      </c>
      <c r="AV26" t="s">
        <v>74</v>
      </c>
      <c r="AW26" t="s">
        <v>75</v>
      </c>
    </row>
    <row r="27" spans="1:49" x14ac:dyDescent="0.25">
      <c r="A27" t="s">
        <v>76</v>
      </c>
    </row>
    <row r="28" spans="1:49" x14ac:dyDescent="0.25">
      <c r="A28" t="s">
        <v>77</v>
      </c>
    </row>
    <row r="29" spans="1:49" x14ac:dyDescent="0.25">
      <c r="A29" t="s">
        <v>78</v>
      </c>
      <c r="B29">
        <v>18598</v>
      </c>
      <c r="C29">
        <v>13851</v>
      </c>
      <c r="D29">
        <v>20128</v>
      </c>
      <c r="E29">
        <v>18450</v>
      </c>
      <c r="F29">
        <v>18218</v>
      </c>
      <c r="G29">
        <v>21467</v>
      </c>
      <c r="H29">
        <v>26608</v>
      </c>
      <c r="I29">
        <v>33621</v>
      </c>
      <c r="J29">
        <v>19127</v>
      </c>
      <c r="K29">
        <v>8318</v>
      </c>
      <c r="L29">
        <v>14441</v>
      </c>
      <c r="M29">
        <v>18009</v>
      </c>
      <c r="N29">
        <v>11994</v>
      </c>
      <c r="O29">
        <v>16970</v>
      </c>
      <c r="P29">
        <v>11975</v>
      </c>
      <c r="Q29">
        <v>20152</v>
      </c>
      <c r="R29">
        <v>26077</v>
      </c>
      <c r="S29">
        <v>9283</v>
      </c>
      <c r="T29">
        <v>29558</v>
      </c>
      <c r="U29">
        <v>21415</v>
      </c>
      <c r="V29">
        <v>39841</v>
      </c>
      <c r="W29">
        <v>35715</v>
      </c>
      <c r="X29">
        <v>32540</v>
      </c>
      <c r="Y29">
        <v>36672</v>
      </c>
      <c r="Z29">
        <v>29253</v>
      </c>
      <c r="AA29">
        <v>9296</v>
      </c>
      <c r="AB29">
        <v>17508</v>
      </c>
      <c r="AC29">
        <v>24832</v>
      </c>
      <c r="AD29">
        <v>12893</v>
      </c>
      <c r="AE29">
        <v>28571</v>
      </c>
      <c r="AF29">
        <v>22379</v>
      </c>
      <c r="AG29">
        <v>32950</v>
      </c>
      <c r="AH29">
        <v>14697</v>
      </c>
      <c r="AI29">
        <v>12856</v>
      </c>
      <c r="AJ29">
        <v>21861</v>
      </c>
      <c r="AK29">
        <v>25417</v>
      </c>
      <c r="AL29">
        <v>10586</v>
      </c>
      <c r="AM29">
        <v>11033</v>
      </c>
      <c r="AN29">
        <v>11721</v>
      </c>
      <c r="AO29">
        <v>15242</v>
      </c>
      <c r="AP29">
        <v>14335</v>
      </c>
      <c r="AQ29">
        <v>21212</v>
      </c>
      <c r="AR29">
        <v>10886</v>
      </c>
      <c r="AS29">
        <v>5913</v>
      </c>
      <c r="AT29">
        <v>9791</v>
      </c>
      <c r="AU29">
        <v>12510</v>
      </c>
      <c r="AV29">
        <v>9592</v>
      </c>
      <c r="AW29">
        <v>15724</v>
      </c>
    </row>
    <row r="30" spans="1:49" x14ac:dyDescent="0.25">
      <c r="A30" t="s">
        <v>79</v>
      </c>
      <c r="B30">
        <v>2.8178789090909095</v>
      </c>
      <c r="C30">
        <v>1.7757691538461537</v>
      </c>
      <c r="D30">
        <v>2.0966666875</v>
      </c>
      <c r="E30">
        <v>2.0499999999999998</v>
      </c>
      <c r="F30">
        <v>2.7603030909090909</v>
      </c>
      <c r="G30">
        <v>2.5555952142857139</v>
      </c>
      <c r="H30">
        <v>3.1676191428571427</v>
      </c>
      <c r="I30">
        <v>4.0025000714285719</v>
      </c>
      <c r="J30">
        <v>2.4521795384615386</v>
      </c>
      <c r="K30">
        <v>1.1552776666666666</v>
      </c>
      <c r="L30">
        <v>1.7191666428571428</v>
      </c>
      <c r="M30">
        <v>2.0009999333333335</v>
      </c>
      <c r="N30">
        <v>1.8172728181818181</v>
      </c>
      <c r="O30">
        <v>1.7677083124999999</v>
      </c>
      <c r="P30">
        <v>1.9958334</v>
      </c>
      <c r="Q30">
        <v>3.0533333636363635</v>
      </c>
      <c r="R30">
        <v>3.1044048571428577</v>
      </c>
      <c r="S30">
        <v>2.2102379999999999</v>
      </c>
      <c r="T30">
        <v>3.7894872307692316</v>
      </c>
      <c r="U30">
        <v>2.5494047857142852</v>
      </c>
      <c r="V30">
        <v>4.7429762142857141</v>
      </c>
      <c r="W30">
        <v>4.5788461538461531</v>
      </c>
      <c r="X30">
        <v>3.8738095000000006</v>
      </c>
      <c r="Y30">
        <v>4.0746666666666673</v>
      </c>
      <c r="Z30">
        <v>3.7503846153846156</v>
      </c>
      <c r="AA30">
        <v>3.0986667999999997</v>
      </c>
      <c r="AB30">
        <v>2.4316667499999993</v>
      </c>
      <c r="AC30">
        <v>2.5866666875000002</v>
      </c>
      <c r="AD30">
        <v>2.3875924444444445</v>
      </c>
      <c r="AE30">
        <v>2.9761458749999998</v>
      </c>
      <c r="AF30">
        <v>2.4865555333333331</v>
      </c>
      <c r="AG30">
        <v>3.9226190714285707</v>
      </c>
      <c r="AH30">
        <v>1.6330000666666669</v>
      </c>
      <c r="AI30">
        <v>2.1426667000000004</v>
      </c>
      <c r="AJ30">
        <v>3.312272727272727</v>
      </c>
      <c r="AK30">
        <v>3.530138916666667</v>
      </c>
      <c r="AL30">
        <v>1.7643332</v>
      </c>
      <c r="AM30">
        <v>2.0431481111111109</v>
      </c>
      <c r="AN30">
        <v>1.7759090909090907</v>
      </c>
      <c r="AO30">
        <v>1.9541024615384615</v>
      </c>
      <c r="AP30">
        <v>2.1719696363636363</v>
      </c>
      <c r="AQ30">
        <v>3.9281480000000002</v>
      </c>
      <c r="AR30">
        <v>1.2095555333333332</v>
      </c>
      <c r="AS30">
        <v>1.0949999999999998</v>
      </c>
      <c r="AT30">
        <v>1.483484909090909</v>
      </c>
      <c r="AU30">
        <v>2.085</v>
      </c>
      <c r="AV30">
        <v>2.2838095714285713</v>
      </c>
      <c r="AW30">
        <v>2.9118520000000001</v>
      </c>
    </row>
    <row r="31" spans="1:49" x14ac:dyDescent="0.25">
      <c r="A31" t="s">
        <v>80</v>
      </c>
      <c r="B31">
        <v>3.2655524545454551</v>
      </c>
      <c r="C31">
        <v>2.6012952307692312</v>
      </c>
      <c r="D31">
        <v>2.7126224999999997</v>
      </c>
      <c r="E31">
        <v>3.0010210000000002</v>
      </c>
      <c r="F31">
        <v>2.2840140909090909</v>
      </c>
      <c r="G31">
        <v>2.6831590714285718</v>
      </c>
      <c r="H31">
        <v>3.123434071428572</v>
      </c>
      <c r="I31">
        <v>3.4301084285714292</v>
      </c>
      <c r="J31">
        <v>2.391316076923077</v>
      </c>
      <c r="K31">
        <v>2.3405514999999997</v>
      </c>
      <c r="L31">
        <v>3.5512745000000008</v>
      </c>
      <c r="M31">
        <v>2.7681064666666666</v>
      </c>
      <c r="N31">
        <v>2.9821065454545459</v>
      </c>
      <c r="O31">
        <v>2.5542744375000002</v>
      </c>
      <c r="P31">
        <v>2.6427654999999994</v>
      </c>
      <c r="Q31">
        <v>2.7381225454545453</v>
      </c>
      <c r="R31">
        <v>3.808960357142857</v>
      </c>
      <c r="S31">
        <v>2.8679824285714282</v>
      </c>
      <c r="T31">
        <v>4.8332436153846157</v>
      </c>
      <c r="U31">
        <v>3.7936019999999995</v>
      </c>
      <c r="V31">
        <v>5.0657967142857148</v>
      </c>
      <c r="W31">
        <v>5.5988458461538455</v>
      </c>
      <c r="X31">
        <v>4.5136574285714284</v>
      </c>
      <c r="Y31">
        <v>3.8894552</v>
      </c>
      <c r="Z31">
        <v>3.7087816923076926</v>
      </c>
      <c r="AA31">
        <v>2.9410560000000001</v>
      </c>
      <c r="AB31">
        <v>3.2428825833333335</v>
      </c>
      <c r="AC31">
        <v>3.4156759375000005</v>
      </c>
      <c r="AD31">
        <v>2.8871374444444444</v>
      </c>
      <c r="AE31">
        <v>3.6084615000000007</v>
      </c>
      <c r="AF31">
        <v>3.062436533333333</v>
      </c>
      <c r="AG31">
        <v>3.3179187142857147</v>
      </c>
      <c r="AH31">
        <v>3.0469635999999998</v>
      </c>
      <c r="AI31">
        <v>2.3719661999999997</v>
      </c>
      <c r="AJ31">
        <v>3.8553779999999991</v>
      </c>
      <c r="AK31">
        <v>3.7594704166666673</v>
      </c>
      <c r="AL31">
        <v>2.5619200000000002</v>
      </c>
      <c r="AM31">
        <v>2.6883857777777775</v>
      </c>
      <c r="AN31">
        <v>2.2360533636363638</v>
      </c>
      <c r="AO31">
        <v>2.1903657692307692</v>
      </c>
      <c r="AP31">
        <v>2.4530753636363638</v>
      </c>
      <c r="AQ31">
        <v>2.9949362222222229</v>
      </c>
      <c r="AR31">
        <v>1.86232</v>
      </c>
      <c r="AS31">
        <v>2.1119192222222218</v>
      </c>
      <c r="AT31">
        <v>2.1336430909090911</v>
      </c>
      <c r="AU31">
        <v>2.6185182999999999</v>
      </c>
      <c r="AV31">
        <v>2.587888142857143</v>
      </c>
      <c r="AW31">
        <v>2.3327156666666666</v>
      </c>
    </row>
    <row r="32" spans="1:49" x14ac:dyDescent="0.25">
      <c r="A32" t="s">
        <v>81</v>
      </c>
      <c r="B32">
        <v>11</v>
      </c>
      <c r="C32">
        <v>13</v>
      </c>
      <c r="D32">
        <v>16</v>
      </c>
      <c r="E32">
        <v>15</v>
      </c>
      <c r="F32">
        <v>11</v>
      </c>
      <c r="G32">
        <v>14</v>
      </c>
      <c r="H32">
        <v>14</v>
      </c>
      <c r="I32">
        <v>14</v>
      </c>
      <c r="J32">
        <v>13</v>
      </c>
      <c r="K32">
        <v>12</v>
      </c>
      <c r="L32">
        <v>14</v>
      </c>
      <c r="M32">
        <v>15</v>
      </c>
      <c r="N32">
        <v>11</v>
      </c>
      <c r="O32">
        <v>16</v>
      </c>
      <c r="P32">
        <v>10</v>
      </c>
      <c r="Q32">
        <v>11</v>
      </c>
      <c r="R32">
        <v>14</v>
      </c>
      <c r="S32">
        <v>7</v>
      </c>
      <c r="T32">
        <v>13</v>
      </c>
      <c r="U32">
        <v>14</v>
      </c>
      <c r="V32">
        <v>14</v>
      </c>
      <c r="W32">
        <v>13</v>
      </c>
      <c r="X32">
        <v>14</v>
      </c>
      <c r="Y32">
        <v>15</v>
      </c>
      <c r="Z32">
        <v>13</v>
      </c>
      <c r="AA32">
        <v>5</v>
      </c>
      <c r="AB32">
        <v>12</v>
      </c>
      <c r="AC32">
        <v>16</v>
      </c>
      <c r="AD32">
        <v>9</v>
      </c>
      <c r="AE32">
        <v>16</v>
      </c>
      <c r="AF32">
        <v>15</v>
      </c>
      <c r="AG32">
        <v>14</v>
      </c>
      <c r="AH32">
        <v>15</v>
      </c>
      <c r="AI32">
        <v>10</v>
      </c>
      <c r="AJ32">
        <v>11</v>
      </c>
      <c r="AK32">
        <v>12</v>
      </c>
      <c r="AL32">
        <v>10</v>
      </c>
      <c r="AM32">
        <v>9</v>
      </c>
      <c r="AN32">
        <v>11</v>
      </c>
      <c r="AO32">
        <v>13</v>
      </c>
      <c r="AP32">
        <v>11</v>
      </c>
      <c r="AQ32">
        <v>9</v>
      </c>
      <c r="AR32">
        <v>15</v>
      </c>
      <c r="AS32">
        <v>9</v>
      </c>
      <c r="AT32">
        <v>11</v>
      </c>
      <c r="AU32">
        <v>10</v>
      </c>
      <c r="AV32">
        <v>7</v>
      </c>
      <c r="AW32">
        <v>9</v>
      </c>
    </row>
    <row r="33" spans="1:49" x14ac:dyDescent="0.25">
      <c r="A33" t="s">
        <v>82</v>
      </c>
      <c r="B33" t="s">
        <v>114</v>
      </c>
      <c r="C33" t="s">
        <v>114</v>
      </c>
      <c r="D33" t="s">
        <v>114</v>
      </c>
      <c r="E33" t="s">
        <v>114</v>
      </c>
      <c r="F33" t="s">
        <v>114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</row>
    <row r="34" spans="1:49" x14ac:dyDescent="0.25">
      <c r="A34" t="s">
        <v>83</v>
      </c>
    </row>
    <row r="35" spans="1:49" x14ac:dyDescent="0.25">
      <c r="A35" t="s">
        <v>84</v>
      </c>
      <c r="B35">
        <v>912</v>
      </c>
      <c r="C35">
        <v>846</v>
      </c>
      <c r="D35">
        <v>1032</v>
      </c>
      <c r="E35">
        <v>1111</v>
      </c>
      <c r="F35">
        <v>1125</v>
      </c>
      <c r="G35">
        <v>1208</v>
      </c>
      <c r="H35">
        <v>1601</v>
      </c>
      <c r="I35">
        <v>1394</v>
      </c>
      <c r="J35">
        <v>945</v>
      </c>
      <c r="K35">
        <v>427</v>
      </c>
      <c r="L35">
        <v>639</v>
      </c>
      <c r="M35">
        <v>867</v>
      </c>
      <c r="N35">
        <v>561</v>
      </c>
      <c r="O35">
        <v>699</v>
      </c>
      <c r="P35">
        <v>688</v>
      </c>
      <c r="Q35">
        <v>788</v>
      </c>
      <c r="R35">
        <v>1110</v>
      </c>
      <c r="S35">
        <v>531</v>
      </c>
      <c r="T35">
        <v>919</v>
      </c>
      <c r="U35">
        <v>906</v>
      </c>
      <c r="V35">
        <v>1218</v>
      </c>
      <c r="W35">
        <v>925</v>
      </c>
      <c r="X35">
        <v>1089</v>
      </c>
      <c r="Y35">
        <v>1713</v>
      </c>
      <c r="Z35">
        <v>1368</v>
      </c>
      <c r="AA35">
        <v>541</v>
      </c>
      <c r="AB35">
        <v>931</v>
      </c>
      <c r="AC35">
        <v>1310</v>
      </c>
      <c r="AD35">
        <v>719</v>
      </c>
      <c r="AE35">
        <v>1295</v>
      </c>
      <c r="AF35">
        <v>1097</v>
      </c>
      <c r="AG35">
        <v>1306</v>
      </c>
      <c r="AH35">
        <v>784</v>
      </c>
      <c r="AI35">
        <v>596</v>
      </c>
      <c r="AJ35">
        <v>806</v>
      </c>
      <c r="AK35">
        <v>968</v>
      </c>
      <c r="AL35">
        <v>482</v>
      </c>
      <c r="AM35">
        <v>474</v>
      </c>
      <c r="AN35">
        <v>492</v>
      </c>
      <c r="AO35">
        <v>692</v>
      </c>
      <c r="AP35">
        <v>541</v>
      </c>
      <c r="AQ35">
        <v>938</v>
      </c>
      <c r="AR35">
        <v>497</v>
      </c>
      <c r="AS35">
        <v>234</v>
      </c>
      <c r="AT35">
        <v>380</v>
      </c>
      <c r="AU35">
        <v>567</v>
      </c>
      <c r="AV35">
        <v>369</v>
      </c>
      <c r="AW35">
        <v>650</v>
      </c>
    </row>
    <row r="36" spans="1:49" x14ac:dyDescent="0.25">
      <c r="A36" t="s">
        <v>85</v>
      </c>
      <c r="B36">
        <v>9</v>
      </c>
      <c r="C36">
        <v>10</v>
      </c>
      <c r="D36">
        <v>14</v>
      </c>
      <c r="E36">
        <v>13</v>
      </c>
      <c r="F36">
        <v>7</v>
      </c>
      <c r="G36">
        <v>13</v>
      </c>
      <c r="H36">
        <v>14</v>
      </c>
      <c r="I36">
        <v>12</v>
      </c>
      <c r="J36">
        <v>12</v>
      </c>
      <c r="K36">
        <v>12</v>
      </c>
      <c r="L36">
        <v>14</v>
      </c>
      <c r="M36">
        <v>15</v>
      </c>
      <c r="N36">
        <v>11</v>
      </c>
      <c r="O36">
        <v>13</v>
      </c>
      <c r="P36">
        <v>9</v>
      </c>
      <c r="Q36">
        <v>11</v>
      </c>
      <c r="R36">
        <v>11</v>
      </c>
      <c r="S36">
        <v>6</v>
      </c>
      <c r="T36">
        <v>12</v>
      </c>
      <c r="U36">
        <v>13</v>
      </c>
      <c r="V36">
        <v>14</v>
      </c>
      <c r="W36">
        <v>12</v>
      </c>
      <c r="X36">
        <v>12</v>
      </c>
      <c r="Y36">
        <v>13</v>
      </c>
      <c r="Z36">
        <v>11</v>
      </c>
      <c r="AA36">
        <v>4</v>
      </c>
      <c r="AB36">
        <v>12</v>
      </c>
      <c r="AC36">
        <v>16</v>
      </c>
      <c r="AD36">
        <v>8</v>
      </c>
      <c r="AE36">
        <v>15</v>
      </c>
      <c r="AF36">
        <v>13</v>
      </c>
      <c r="AG36">
        <v>9</v>
      </c>
      <c r="AH36">
        <v>14</v>
      </c>
      <c r="AI36">
        <v>9</v>
      </c>
      <c r="AJ36">
        <v>11</v>
      </c>
      <c r="AK36">
        <v>12</v>
      </c>
      <c r="AL36">
        <v>9</v>
      </c>
      <c r="AM36">
        <v>9</v>
      </c>
      <c r="AN36">
        <v>8</v>
      </c>
      <c r="AO36">
        <v>9</v>
      </c>
      <c r="AP36">
        <v>11</v>
      </c>
      <c r="AQ36">
        <v>9</v>
      </c>
      <c r="AR36">
        <v>11</v>
      </c>
      <c r="AS36">
        <v>8</v>
      </c>
      <c r="AT36">
        <v>9</v>
      </c>
      <c r="AU36">
        <v>8</v>
      </c>
      <c r="AV36">
        <v>6</v>
      </c>
      <c r="AW36">
        <v>7</v>
      </c>
    </row>
    <row r="37" spans="1:49" x14ac:dyDescent="0.25">
      <c r="A37" t="s">
        <v>86</v>
      </c>
      <c r="B37">
        <v>0.131434</v>
      </c>
      <c r="C37">
        <v>9.4306615384615392E-2</v>
      </c>
      <c r="D37">
        <v>0.13039335714285713</v>
      </c>
      <c r="E37">
        <v>0.11142099999999999</v>
      </c>
      <c r="F37">
        <v>5.7697888888888889E-2</v>
      </c>
      <c r="G37">
        <v>0.1164422142857143</v>
      </c>
      <c r="H37">
        <v>9.3473999999999988E-2</v>
      </c>
      <c r="I37">
        <v>0.13843276923076922</v>
      </c>
      <c r="J37">
        <v>0.13818433333333333</v>
      </c>
      <c r="K37">
        <v>0.10082975</v>
      </c>
      <c r="L37">
        <v>0.14774742857142859</v>
      </c>
      <c r="M37">
        <v>0.15318480000000001</v>
      </c>
      <c r="N37">
        <v>9.5731000000000011E-2</v>
      </c>
      <c r="O37">
        <v>0.14690961538461539</v>
      </c>
      <c r="P37">
        <v>6.1105666666666676E-2</v>
      </c>
      <c r="Q37">
        <v>9.1040545454545457E-2</v>
      </c>
      <c r="R37">
        <v>0.1236590909090909</v>
      </c>
      <c r="S37">
        <v>0.171741</v>
      </c>
      <c r="T37">
        <v>0.35755058333333339</v>
      </c>
      <c r="U37">
        <v>0.19980461538461541</v>
      </c>
      <c r="V37">
        <v>0.2059445</v>
      </c>
      <c r="W37">
        <v>0.23291399999999998</v>
      </c>
      <c r="X37">
        <v>0.20265975</v>
      </c>
      <c r="Y37">
        <v>9.836676923076923E-2</v>
      </c>
      <c r="Z37">
        <v>0.12990909090909089</v>
      </c>
      <c r="AA37">
        <v>7.1854500000000002E-2</v>
      </c>
      <c r="AB37">
        <v>0.16776841666666667</v>
      </c>
      <c r="AC37">
        <v>0.10077750000000002</v>
      </c>
      <c r="AD37">
        <v>0.10416774999999999</v>
      </c>
      <c r="AE37">
        <v>0.11922706666666667</v>
      </c>
      <c r="AF37">
        <v>7.2389857142857159E-2</v>
      </c>
      <c r="AG37">
        <v>0.11442222222222223</v>
      </c>
      <c r="AH37">
        <v>6.4442714285714284E-2</v>
      </c>
      <c r="AI37">
        <v>0.12409666666666667</v>
      </c>
      <c r="AJ37">
        <v>0.12737854545454547</v>
      </c>
      <c r="AK37">
        <v>0.10493150000000001</v>
      </c>
      <c r="AL37">
        <v>0.1296961111111111</v>
      </c>
      <c r="AM37">
        <v>0.13467733333333334</v>
      </c>
      <c r="AN37">
        <v>7.1223000000000009E-2</v>
      </c>
      <c r="AO37">
        <v>0.1240587777777778</v>
      </c>
      <c r="AP37">
        <v>0.11643263636363638</v>
      </c>
      <c r="AQ37">
        <v>0.12377477777777779</v>
      </c>
      <c r="AR37">
        <v>0.14596218181818185</v>
      </c>
      <c r="AS37">
        <v>0.16821987499999999</v>
      </c>
      <c r="AT37">
        <v>0.14225144444444446</v>
      </c>
      <c r="AU37">
        <v>9.1485999999999984E-2</v>
      </c>
      <c r="AV37">
        <v>0.15944916666666664</v>
      </c>
      <c r="AW37">
        <v>0.11930585714285716</v>
      </c>
    </row>
    <row r="38" spans="1:49" x14ac:dyDescent="0.25">
      <c r="A38" t="s">
        <v>87</v>
      </c>
      <c r="B38">
        <v>13.851957888888887</v>
      </c>
      <c r="C38">
        <v>8.4361658461538465</v>
      </c>
      <c r="D38">
        <v>11.297195714285712</v>
      </c>
      <c r="E38">
        <v>11.3269778</v>
      </c>
      <c r="F38">
        <v>8.8356182222222213</v>
      </c>
      <c r="G38">
        <v>10.204144071428571</v>
      </c>
      <c r="H38">
        <v>11.995067071428574</v>
      </c>
      <c r="I38">
        <v>15.226590307692307</v>
      </c>
      <c r="J38">
        <v>11.053489000000001</v>
      </c>
      <c r="K38">
        <v>10.673843249999999</v>
      </c>
      <c r="L38">
        <v>17.3716285</v>
      </c>
      <c r="M38">
        <v>13.850089933333333</v>
      </c>
      <c r="N38">
        <v>14.148218000000002</v>
      </c>
      <c r="O38">
        <v>14.046652153846152</v>
      </c>
      <c r="P38">
        <v>12.183844555555556</v>
      </c>
      <c r="Q38">
        <v>13.713760272727269</v>
      </c>
      <c r="R38">
        <v>17.864362818181817</v>
      </c>
      <c r="S38">
        <v>12.507555500000002</v>
      </c>
      <c r="T38">
        <v>28.873265250000006</v>
      </c>
      <c r="U38">
        <v>18.307588384615386</v>
      </c>
      <c r="V38">
        <v>28.838301857142859</v>
      </c>
      <c r="W38">
        <v>34.678884833333335</v>
      </c>
      <c r="X38">
        <v>26.422904666666668</v>
      </c>
      <c r="Y38">
        <v>18.972784538461539</v>
      </c>
      <c r="Z38">
        <v>17.920278272727273</v>
      </c>
      <c r="AA38">
        <v>14.086634500000001</v>
      </c>
      <c r="AB38">
        <v>14.333538249999998</v>
      </c>
      <c r="AC38">
        <v>15.073274749999998</v>
      </c>
      <c r="AD38">
        <v>12.39661825</v>
      </c>
      <c r="AE38">
        <v>17.01372173333333</v>
      </c>
      <c r="AF38">
        <v>13.717016999999998</v>
      </c>
      <c r="AG38">
        <v>20.136207555555558</v>
      </c>
      <c r="AH38">
        <v>14.406288785714285</v>
      </c>
      <c r="AI38">
        <v>11.849487555555555</v>
      </c>
      <c r="AJ38">
        <v>20.785613636363639</v>
      </c>
      <c r="AK38">
        <v>19.293165999999999</v>
      </c>
      <c r="AL38">
        <v>12.534307555555555</v>
      </c>
      <c r="AM38">
        <v>12.799039444444443</v>
      </c>
      <c r="AN38">
        <v>12.806452750000002</v>
      </c>
      <c r="AO38">
        <v>11.804631111111112</v>
      </c>
      <c r="AP38">
        <v>13.004610909090907</v>
      </c>
      <c r="AQ38">
        <v>15.650148777777778</v>
      </c>
      <c r="AR38">
        <v>10.987111272727274</v>
      </c>
      <c r="AS38">
        <v>11.371883125</v>
      </c>
      <c r="AT38">
        <v>12.582619888888891</v>
      </c>
      <c r="AU38">
        <v>14.054850999999999</v>
      </c>
      <c r="AV38">
        <v>15.091011833333335</v>
      </c>
      <c r="AW38">
        <v>14.519431142857144</v>
      </c>
    </row>
    <row r="39" spans="1:49" x14ac:dyDescent="0.25">
      <c r="A39" t="s">
        <v>88</v>
      </c>
      <c r="B39">
        <v>1.0982111111111111E-2</v>
      </c>
      <c r="C39">
        <v>9.3259999999999992E-3</v>
      </c>
      <c r="D39">
        <v>1.251957142857143E-2</v>
      </c>
      <c r="E39">
        <v>1.0115800000000001E-2</v>
      </c>
      <c r="F39">
        <v>5.0718888888888897E-3</v>
      </c>
      <c r="G39">
        <v>1.0464285714285712E-2</v>
      </c>
      <c r="H39">
        <v>8.0254285714285705E-3</v>
      </c>
      <c r="I39">
        <v>9.7850769230769224E-3</v>
      </c>
      <c r="J39">
        <v>1.3455833333333328E-2</v>
      </c>
      <c r="K39">
        <v>1.0977000000000001E-2</v>
      </c>
      <c r="L39">
        <v>1.30005E-2</v>
      </c>
      <c r="M39">
        <v>9.6035999999999986E-3</v>
      </c>
      <c r="N39">
        <v>8.3157272727272732E-3</v>
      </c>
      <c r="O39">
        <v>9.0400769230769232E-3</v>
      </c>
      <c r="P39">
        <v>6.2833333333333335E-3</v>
      </c>
      <c r="Q39">
        <v>8.6384545454545447E-3</v>
      </c>
      <c r="R39">
        <v>9.163727272727273E-3</v>
      </c>
      <c r="S39">
        <v>1.3342E-2</v>
      </c>
      <c r="T39">
        <v>1.4752833333333333E-2</v>
      </c>
      <c r="U39">
        <v>1.4215923076923077E-2</v>
      </c>
      <c r="V39">
        <v>8.655857142857144E-3</v>
      </c>
      <c r="W39">
        <v>8.3246666666666642E-3</v>
      </c>
      <c r="X39">
        <v>1.0215583333333335E-2</v>
      </c>
      <c r="Y39">
        <v>5.9636923076923079E-3</v>
      </c>
      <c r="Z39">
        <v>7.1307272727272738E-3</v>
      </c>
      <c r="AA39">
        <v>5.7342500000000006E-3</v>
      </c>
      <c r="AB39">
        <v>1.2230666666666669E-2</v>
      </c>
      <c r="AC39">
        <v>7.6008125000000008E-3</v>
      </c>
      <c r="AD39">
        <v>8.5468750000000007E-3</v>
      </c>
      <c r="AE39">
        <v>8.3763999999999991E-3</v>
      </c>
      <c r="AF39">
        <v>6.3225714285714291E-3</v>
      </c>
      <c r="AG39">
        <v>4.9978888888888885E-3</v>
      </c>
      <c r="AH39">
        <v>5.4049285714285718E-3</v>
      </c>
      <c r="AI39">
        <v>8.845444444444444E-3</v>
      </c>
      <c r="AJ39">
        <v>7.3138181818181817E-3</v>
      </c>
      <c r="AK39">
        <v>7.0017499999999984E-3</v>
      </c>
      <c r="AL39">
        <v>1.0327777777777778E-2</v>
      </c>
      <c r="AM39">
        <v>1.1859888888888889E-2</v>
      </c>
      <c r="AN39">
        <v>6.5539999999999999E-3</v>
      </c>
      <c r="AO39">
        <v>9.6967777777777781E-3</v>
      </c>
      <c r="AP39">
        <v>9.9854545454545439E-3</v>
      </c>
      <c r="AQ39">
        <v>7.2063333333333328E-3</v>
      </c>
      <c r="AR39">
        <v>1.4800181818181818E-2</v>
      </c>
      <c r="AS39">
        <v>1.515525E-2</v>
      </c>
      <c r="AT39">
        <v>1.2140333333333331E-2</v>
      </c>
      <c r="AU39">
        <v>8.9396249999999997E-3</v>
      </c>
      <c r="AV39">
        <v>9.2558333333333347E-3</v>
      </c>
      <c r="AW39">
        <v>8.6901428571428564E-3</v>
      </c>
    </row>
    <row r="40" spans="1:49" x14ac:dyDescent="0.25">
      <c r="A40" t="s">
        <v>89</v>
      </c>
      <c r="B40">
        <v>4.215E-3</v>
      </c>
      <c r="C40">
        <v>3.5313076923076925E-3</v>
      </c>
      <c r="D40">
        <v>4.2452857142857145E-3</v>
      </c>
      <c r="E40">
        <v>3.7618000000000005E-3</v>
      </c>
      <c r="F40">
        <v>3.4395555555555559E-3</v>
      </c>
      <c r="G40">
        <v>4.893357142857142E-3</v>
      </c>
      <c r="H40">
        <v>4.7438571428571417E-3</v>
      </c>
      <c r="I40">
        <v>4.8841538461538454E-3</v>
      </c>
      <c r="J40">
        <v>7.8872500000000002E-3</v>
      </c>
      <c r="K40">
        <v>7.9354999999999998E-3</v>
      </c>
      <c r="L40">
        <v>8.5548571428571436E-3</v>
      </c>
      <c r="M40">
        <v>6.8117333333333335E-3</v>
      </c>
      <c r="N40">
        <v>6.5725454545454533E-3</v>
      </c>
      <c r="O40">
        <v>6.9716923076923072E-3</v>
      </c>
      <c r="P40">
        <v>5.0114444444444451E-3</v>
      </c>
      <c r="Q40">
        <v>6.9410000000000001E-3</v>
      </c>
      <c r="R40">
        <v>4.9786363636363639E-3</v>
      </c>
      <c r="S40">
        <v>8.2741666666666658E-3</v>
      </c>
      <c r="T40">
        <v>7.2278333333333335E-3</v>
      </c>
      <c r="U40">
        <v>9.1479230769230778E-3</v>
      </c>
      <c r="V40">
        <v>6.2018571428571452E-3</v>
      </c>
      <c r="W40">
        <v>6.1337499999999977E-3</v>
      </c>
      <c r="X40">
        <v>5.9402500000000002E-3</v>
      </c>
      <c r="Y40">
        <v>3.7059999999999992E-3</v>
      </c>
      <c r="Z40">
        <v>5.5680909090909106E-3</v>
      </c>
      <c r="AA40">
        <v>4.5989999999999998E-3</v>
      </c>
      <c r="AB40">
        <v>9.0918333333333337E-3</v>
      </c>
      <c r="AC40">
        <v>5.9363749999999989E-3</v>
      </c>
      <c r="AD40">
        <v>6.084E-3</v>
      </c>
      <c r="AE40">
        <v>7.0728666666666669E-3</v>
      </c>
      <c r="AF40">
        <v>4.9799999999999992E-3</v>
      </c>
      <c r="AG40">
        <v>3.8306666666666667E-3</v>
      </c>
      <c r="AH40">
        <v>4.2598571428571434E-3</v>
      </c>
      <c r="AI40">
        <v>6.3232222222222231E-3</v>
      </c>
      <c r="AJ40">
        <v>5.3229090909090908E-3</v>
      </c>
      <c r="AK40">
        <v>5.0956666666666659E-3</v>
      </c>
      <c r="AL40">
        <v>7.1471111111111102E-3</v>
      </c>
      <c r="AM40">
        <v>9.2621111111111099E-3</v>
      </c>
      <c r="AN40">
        <v>4.9839999999999997E-3</v>
      </c>
      <c r="AO40">
        <v>5.8470000000000006E-3</v>
      </c>
      <c r="AP40">
        <v>7.5759090909090915E-3</v>
      </c>
      <c r="AQ40">
        <v>5.3010000000000002E-3</v>
      </c>
      <c r="AR40">
        <v>1.1618272727272727E-2</v>
      </c>
      <c r="AS40">
        <v>1.2162124999999999E-2</v>
      </c>
      <c r="AT40">
        <v>9.8024444444444452E-3</v>
      </c>
      <c r="AU40">
        <v>6.2907499999999995E-3</v>
      </c>
      <c r="AV40">
        <v>7.0604999999999999E-3</v>
      </c>
      <c r="AW40">
        <v>6.0355714285714292E-3</v>
      </c>
    </row>
    <row r="41" spans="1:49" x14ac:dyDescent="0.25">
      <c r="A41" t="s">
        <v>90</v>
      </c>
      <c r="B41">
        <v>0.4784302222222222</v>
      </c>
      <c r="C41">
        <v>0.36032138461538454</v>
      </c>
      <c r="D41">
        <v>0.47877421428571437</v>
      </c>
      <c r="E41">
        <v>0.38018473333333341</v>
      </c>
      <c r="F41">
        <v>0.60255788888888884</v>
      </c>
      <c r="G41">
        <v>0.5754786428571429</v>
      </c>
      <c r="H41">
        <v>0.70628614285714286</v>
      </c>
      <c r="I41">
        <v>0.53200969230769235</v>
      </c>
      <c r="J41">
        <v>0.78240674999999993</v>
      </c>
      <c r="K41">
        <v>0.7887303333333332</v>
      </c>
      <c r="L41">
        <v>0.76588321428571415</v>
      </c>
      <c r="M41">
        <v>0.79419339999999994</v>
      </c>
      <c r="N41">
        <v>0.80695572727272724</v>
      </c>
      <c r="O41">
        <v>0.79868430769230758</v>
      </c>
      <c r="P41">
        <v>0.81446966666666676</v>
      </c>
      <c r="Q41">
        <v>0.80153963636363634</v>
      </c>
      <c r="R41">
        <v>0.64010009090909092</v>
      </c>
      <c r="S41">
        <v>0.69605750000000011</v>
      </c>
      <c r="T41">
        <v>0.49843600000000005</v>
      </c>
      <c r="U41">
        <v>0.65929007692307684</v>
      </c>
      <c r="V41">
        <v>0.72580092857142875</v>
      </c>
      <c r="W41">
        <v>0.7610946666666667</v>
      </c>
      <c r="X41">
        <v>0.65910199999999997</v>
      </c>
      <c r="Y41">
        <v>0.68389061538461526</v>
      </c>
      <c r="Z41">
        <v>0.82361709090909097</v>
      </c>
      <c r="AA41">
        <v>0.81438450000000007</v>
      </c>
      <c r="AB41">
        <v>0.80057575000000003</v>
      </c>
      <c r="AC41">
        <v>0.80135624999999999</v>
      </c>
      <c r="AD41">
        <v>0.77381212500000007</v>
      </c>
      <c r="AE41">
        <v>0.83276393333333332</v>
      </c>
      <c r="AF41">
        <v>0.75247700000000006</v>
      </c>
      <c r="AG41">
        <v>0.81419377777777779</v>
      </c>
      <c r="AH41">
        <v>0.81844814285714285</v>
      </c>
      <c r="AI41">
        <v>0.79667977777777765</v>
      </c>
      <c r="AJ41">
        <v>0.76540527272727277</v>
      </c>
      <c r="AK41">
        <v>0.76963900000000007</v>
      </c>
      <c r="AL41">
        <v>0.77486144444444438</v>
      </c>
      <c r="AM41">
        <v>0.80038044444444434</v>
      </c>
      <c r="AN41">
        <v>0.79734074999999993</v>
      </c>
      <c r="AO41">
        <v>0.80816833333333316</v>
      </c>
      <c r="AP41">
        <v>0.80625872727272707</v>
      </c>
      <c r="AQ41">
        <v>0.77090522222222224</v>
      </c>
      <c r="AR41">
        <v>0.80976563636363641</v>
      </c>
      <c r="AS41">
        <v>0.81240037499999995</v>
      </c>
      <c r="AT41">
        <v>0.82228722222222217</v>
      </c>
      <c r="AU41">
        <v>0.77327275000000006</v>
      </c>
      <c r="AV41">
        <v>0.80533833333333338</v>
      </c>
      <c r="AW41">
        <v>0.75315128571428569</v>
      </c>
    </row>
    <row r="42" spans="1:49" x14ac:dyDescent="0.25">
      <c r="A42" t="s">
        <v>91</v>
      </c>
      <c r="B42">
        <v>11.304596666666667</v>
      </c>
      <c r="C42">
        <v>9.3587859230769244</v>
      </c>
      <c r="D42">
        <v>24.752232285714289</v>
      </c>
      <c r="E42">
        <v>16.842778266666667</v>
      </c>
      <c r="F42">
        <v>4.390871555555556</v>
      </c>
      <c r="G42">
        <v>14.621299642857144</v>
      </c>
      <c r="H42">
        <v>9.9135972857142871</v>
      </c>
      <c r="I42">
        <v>12.343565615384612</v>
      </c>
      <c r="J42">
        <v>15.989212666666665</v>
      </c>
      <c r="K42">
        <v>30.817182416666672</v>
      </c>
      <c r="L42">
        <v>23.177516428571419</v>
      </c>
      <c r="M42">
        <v>16.540312266666668</v>
      </c>
      <c r="N42">
        <v>24.128856909090914</v>
      </c>
      <c r="O42">
        <v>15.409912076923076</v>
      </c>
      <c r="P42">
        <v>14.962965555555554</v>
      </c>
      <c r="Q42">
        <v>32.080468727272724</v>
      </c>
      <c r="R42">
        <v>6.5409545454545448</v>
      </c>
      <c r="S42">
        <v>25.576006666666668</v>
      </c>
      <c r="T42">
        <v>8.3890834166666668</v>
      </c>
      <c r="U42">
        <v>11.82394653846154</v>
      </c>
      <c r="V42">
        <v>7.3936972857142864</v>
      </c>
      <c r="W42">
        <v>9.3969003333333312</v>
      </c>
      <c r="X42">
        <v>8.7461570833333351</v>
      </c>
      <c r="Y42">
        <v>4.8553501538461541</v>
      </c>
      <c r="Z42">
        <v>7.5421986363636364</v>
      </c>
      <c r="AA42">
        <v>4.6551632500000002</v>
      </c>
      <c r="AB42">
        <v>12.227921</v>
      </c>
      <c r="AC42">
        <v>14.039122625000001</v>
      </c>
      <c r="AD42">
        <v>12.334481125000002</v>
      </c>
      <c r="AE42">
        <v>8.3891636666666685</v>
      </c>
      <c r="AF42">
        <v>15.947246857142856</v>
      </c>
      <c r="AG42">
        <v>4.2356721111111106</v>
      </c>
      <c r="AH42">
        <v>11.52952192857143</v>
      </c>
      <c r="AI42">
        <v>19.534542555555554</v>
      </c>
      <c r="AJ42">
        <v>8.9888392727272723</v>
      </c>
      <c r="AK42">
        <v>16.370293333333333</v>
      </c>
      <c r="AL42">
        <v>16.765069111111114</v>
      </c>
      <c r="AM42">
        <v>24.118476000000001</v>
      </c>
      <c r="AN42">
        <v>14.630056625000002</v>
      </c>
      <c r="AO42">
        <v>16.269369444444443</v>
      </c>
      <c r="AP42">
        <v>26.571632727272721</v>
      </c>
      <c r="AQ42">
        <v>7.6864638888888885</v>
      </c>
      <c r="AR42">
        <v>23.920434272727274</v>
      </c>
      <c r="AS42">
        <v>57.007789375000002</v>
      </c>
      <c r="AT42">
        <v>25.660879777777772</v>
      </c>
      <c r="AU42">
        <v>18.233974374999999</v>
      </c>
      <c r="AV42">
        <v>20.067199166666665</v>
      </c>
      <c r="AW42">
        <v>24.428071428571428</v>
      </c>
    </row>
    <row r="43" spans="1:49" x14ac:dyDescent="0.25">
      <c r="A43" t="s">
        <v>92</v>
      </c>
      <c r="B43">
        <v>0.16888899999999998</v>
      </c>
      <c r="C43">
        <v>0.10846146153846153</v>
      </c>
      <c r="D43">
        <v>0.12285707142857145</v>
      </c>
      <c r="E43">
        <v>0.12344446666666667</v>
      </c>
      <c r="F43">
        <v>0.20833333333333334</v>
      </c>
      <c r="G43">
        <v>0.14380964285714287</v>
      </c>
      <c r="H43">
        <v>0.19059528571428569</v>
      </c>
      <c r="I43">
        <v>0.17871799999999999</v>
      </c>
      <c r="J43">
        <v>0.13124983333333334</v>
      </c>
      <c r="K43">
        <v>5.9305583333333328E-2</v>
      </c>
      <c r="L43">
        <v>7.60715E-2</v>
      </c>
      <c r="M43">
        <v>9.6333199999999994E-2</v>
      </c>
      <c r="N43">
        <v>8.5000000000000006E-2</v>
      </c>
      <c r="O43">
        <v>8.9615384615384638E-2</v>
      </c>
      <c r="P43">
        <v>0.12740744444444446</v>
      </c>
      <c r="Q43">
        <v>0.1193938181818182</v>
      </c>
      <c r="R43">
        <v>0.1681819090909091</v>
      </c>
      <c r="S43">
        <v>0.14749999999999999</v>
      </c>
      <c r="T43">
        <v>0.12763875</v>
      </c>
      <c r="U43">
        <v>0.11615400000000001</v>
      </c>
      <c r="V43">
        <v>0.1450002142857143</v>
      </c>
      <c r="W43">
        <v>0.12847216666666669</v>
      </c>
      <c r="X43">
        <v>0.15124999999999997</v>
      </c>
      <c r="Y43">
        <v>0.21961538461538466</v>
      </c>
      <c r="Z43">
        <v>0.20727281818181814</v>
      </c>
      <c r="AA43">
        <v>0.22541674999999997</v>
      </c>
      <c r="AB43">
        <v>0.12930558333333333</v>
      </c>
      <c r="AC43">
        <v>0.13645831249999998</v>
      </c>
      <c r="AD43">
        <v>0.14979150000000002</v>
      </c>
      <c r="AE43">
        <v>0.14388893333333336</v>
      </c>
      <c r="AF43">
        <v>0.13059535714285714</v>
      </c>
      <c r="AG43">
        <v>0.24185188888888889</v>
      </c>
      <c r="AH43">
        <v>9.3333214285714283E-2</v>
      </c>
      <c r="AI43">
        <v>0.11037033333333333</v>
      </c>
      <c r="AJ43">
        <v>0.12212118181818181</v>
      </c>
      <c r="AK43">
        <v>0.13444433333333336</v>
      </c>
      <c r="AL43">
        <v>8.9259222222222212E-2</v>
      </c>
      <c r="AM43">
        <v>8.7777777777777774E-2</v>
      </c>
      <c r="AN43">
        <v>0.10250000000000001</v>
      </c>
      <c r="AO43">
        <v>0.12814822222222222</v>
      </c>
      <c r="AP43">
        <v>8.196963636363637E-2</v>
      </c>
      <c r="AQ43">
        <v>0.17370366666666667</v>
      </c>
      <c r="AR43">
        <v>7.5302909090909087E-2</v>
      </c>
      <c r="AS43">
        <v>4.8749874999999998E-2</v>
      </c>
      <c r="AT43">
        <v>7.0370333333333354E-2</v>
      </c>
      <c r="AU43">
        <v>0.118125125</v>
      </c>
      <c r="AV43">
        <v>0.10249983333333333</v>
      </c>
      <c r="AW43">
        <v>0.15476185714285712</v>
      </c>
    </row>
    <row r="44" spans="1:49" x14ac:dyDescent="0.25">
      <c r="A44" t="s">
        <v>93</v>
      </c>
      <c r="B44">
        <v>0.75368088888888896</v>
      </c>
      <c r="C44">
        <v>0.33155976923076924</v>
      </c>
      <c r="D44">
        <v>0.59910085714285721</v>
      </c>
      <c r="E44">
        <v>0.24544380000000002</v>
      </c>
      <c r="F44">
        <v>0.53580355555555548</v>
      </c>
      <c r="G44">
        <v>0.4673005714285714</v>
      </c>
      <c r="H44">
        <v>0.43523571428571428</v>
      </c>
      <c r="I44">
        <v>0.52310969230769233</v>
      </c>
      <c r="J44">
        <v>0.70721483333333346</v>
      </c>
      <c r="K44">
        <v>0.53345866666666675</v>
      </c>
      <c r="L44">
        <v>0.65087992857142862</v>
      </c>
      <c r="M44">
        <v>0.58422546666666653</v>
      </c>
      <c r="N44">
        <v>0.66704890909090908</v>
      </c>
      <c r="O44">
        <v>0.51027030769230763</v>
      </c>
      <c r="P44">
        <v>0.58087966666666668</v>
      </c>
      <c r="Q44">
        <v>0.46724972727272734</v>
      </c>
      <c r="R44">
        <v>0.58941063636363633</v>
      </c>
      <c r="S44">
        <v>0.6704431666666667</v>
      </c>
      <c r="T44">
        <v>0.37961291666666658</v>
      </c>
      <c r="U44">
        <v>0.48597846153846164</v>
      </c>
      <c r="V44">
        <v>0.28615792857142858</v>
      </c>
      <c r="W44">
        <v>0.45943808333333336</v>
      </c>
      <c r="X44">
        <v>0.53032225000000011</v>
      </c>
      <c r="Y44">
        <v>0.39289492307692303</v>
      </c>
      <c r="Z44">
        <v>0.52633390909090905</v>
      </c>
      <c r="AA44">
        <v>0.40993524999999997</v>
      </c>
      <c r="AB44">
        <v>0.46715224999999999</v>
      </c>
      <c r="AC44">
        <v>0.43064156249999996</v>
      </c>
      <c r="AD44">
        <v>0.64144800000000002</v>
      </c>
      <c r="AE44">
        <v>0.5278487999999999</v>
      </c>
      <c r="AF44">
        <v>0.4427415714285714</v>
      </c>
      <c r="AG44">
        <v>0.37863799999999997</v>
      </c>
      <c r="AH44">
        <v>0.49674700000000005</v>
      </c>
      <c r="AI44">
        <v>0.69084344444444445</v>
      </c>
      <c r="AJ44">
        <v>0.49903063636363637</v>
      </c>
      <c r="AK44">
        <v>0.49088866666666675</v>
      </c>
      <c r="AL44">
        <v>0.68221277777777778</v>
      </c>
      <c r="AM44">
        <v>0.66531677777777765</v>
      </c>
      <c r="AN44">
        <v>0.56054062500000001</v>
      </c>
      <c r="AO44">
        <v>0.64378888888888885</v>
      </c>
      <c r="AP44">
        <v>0.70538345454545459</v>
      </c>
      <c r="AQ44">
        <v>0.57571466666666671</v>
      </c>
      <c r="AR44">
        <v>0.65297890909090917</v>
      </c>
      <c r="AS44">
        <v>0.61034287499999995</v>
      </c>
      <c r="AT44">
        <v>0.74433788888888897</v>
      </c>
      <c r="AU44">
        <v>0.46856575</v>
      </c>
      <c r="AV44">
        <v>0.64275800000000005</v>
      </c>
      <c r="AW44">
        <v>0.65529599999999988</v>
      </c>
    </row>
    <row r="45" spans="1:49" x14ac:dyDescent="0.25">
      <c r="A45" t="s">
        <v>94</v>
      </c>
      <c r="B45">
        <v>67.58622311111111</v>
      </c>
      <c r="C45">
        <v>52.153411692307685</v>
      </c>
      <c r="D45">
        <v>55.119172499999998</v>
      </c>
      <c r="E45">
        <v>68.033182066666683</v>
      </c>
      <c r="F45">
        <v>56.17007811111111</v>
      </c>
      <c r="G45">
        <v>55.421887428571431</v>
      </c>
      <c r="H45">
        <v>70.622774000000007</v>
      </c>
      <c r="I45">
        <v>63.237478076923075</v>
      </c>
      <c r="J45">
        <v>55.098711666666667</v>
      </c>
      <c r="K45">
        <v>55.407761250000014</v>
      </c>
      <c r="L45">
        <v>77.604795214285716</v>
      </c>
      <c r="M45">
        <v>63.755669733333335</v>
      </c>
      <c r="N45">
        <v>69.814145818181814</v>
      </c>
      <c r="O45">
        <v>64.585027153846156</v>
      </c>
      <c r="P45">
        <v>72.345210111111101</v>
      </c>
      <c r="Q45">
        <v>55.93854372727273</v>
      </c>
      <c r="R45">
        <v>84.392351090909088</v>
      </c>
      <c r="S45">
        <v>68.418565333333348</v>
      </c>
      <c r="T45">
        <v>92.481857416666642</v>
      </c>
      <c r="U45">
        <v>80.356203846153846</v>
      </c>
      <c r="V45">
        <v>89.103056142857127</v>
      </c>
      <c r="W45">
        <v>90.793048333333331</v>
      </c>
      <c r="X45">
        <v>90.214441083333341</v>
      </c>
      <c r="Y45">
        <v>93.506589384615381</v>
      </c>
      <c r="Z45">
        <v>85.499381454545457</v>
      </c>
      <c r="AA45">
        <v>84.257499249999995</v>
      </c>
      <c r="AB45">
        <v>75.143658666666653</v>
      </c>
      <c r="AC45">
        <v>79.655464374999994</v>
      </c>
      <c r="AD45">
        <v>69.25755375</v>
      </c>
      <c r="AE45">
        <v>80.974061399999997</v>
      </c>
      <c r="AF45">
        <v>69.063984071428564</v>
      </c>
      <c r="AG45">
        <v>89.52560311111111</v>
      </c>
      <c r="AH45">
        <v>83.214675285714279</v>
      </c>
      <c r="AI45">
        <v>54.057264444444442</v>
      </c>
      <c r="AJ45">
        <v>78.119496181818192</v>
      </c>
      <c r="AK45">
        <v>75.624768833333334</v>
      </c>
      <c r="AL45">
        <v>59.791607888888883</v>
      </c>
      <c r="AM45">
        <v>57.917839888888892</v>
      </c>
      <c r="AN45">
        <v>60.801206874999991</v>
      </c>
      <c r="AO45">
        <v>55.627353333333332</v>
      </c>
      <c r="AP45">
        <v>49.813452909090913</v>
      </c>
      <c r="AQ45">
        <v>69.220675333333347</v>
      </c>
      <c r="AR45">
        <v>53.055934454545451</v>
      </c>
      <c r="AS45">
        <v>41.711636750000004</v>
      </c>
      <c r="AT45">
        <v>48.237791333333334</v>
      </c>
      <c r="AU45">
        <v>67.749732124999994</v>
      </c>
      <c r="AV45">
        <v>55.061740000000007</v>
      </c>
      <c r="AW45">
        <v>54.806126571428571</v>
      </c>
    </row>
    <row r="46" spans="1:49" x14ac:dyDescent="0.25">
      <c r="A46" t="s">
        <v>95</v>
      </c>
    </row>
    <row r="47" spans="1:49" x14ac:dyDescent="0.25">
      <c r="A47" t="s">
        <v>96</v>
      </c>
      <c r="B47">
        <v>154</v>
      </c>
      <c r="C47">
        <v>125</v>
      </c>
      <c r="D47">
        <v>141</v>
      </c>
      <c r="E47">
        <v>111</v>
      </c>
      <c r="F47">
        <v>224</v>
      </c>
      <c r="G47">
        <v>164</v>
      </c>
      <c r="H47">
        <v>153</v>
      </c>
      <c r="I47">
        <v>167</v>
      </c>
      <c r="J47">
        <v>201</v>
      </c>
      <c r="K47">
        <v>64</v>
      </c>
      <c r="L47">
        <v>75</v>
      </c>
      <c r="M47">
        <v>123</v>
      </c>
      <c r="N47">
        <v>86</v>
      </c>
      <c r="O47">
        <v>102</v>
      </c>
      <c r="P47">
        <v>121</v>
      </c>
      <c r="Q47">
        <v>134</v>
      </c>
      <c r="R47">
        <v>115</v>
      </c>
      <c r="S47">
        <v>130</v>
      </c>
      <c r="T47">
        <v>79</v>
      </c>
      <c r="U47">
        <v>83</v>
      </c>
      <c r="V47">
        <v>92</v>
      </c>
      <c r="W47">
        <v>82</v>
      </c>
      <c r="X47">
        <v>88</v>
      </c>
      <c r="Y47">
        <v>138</v>
      </c>
      <c r="Z47">
        <v>149</v>
      </c>
      <c r="AA47">
        <v>134</v>
      </c>
      <c r="AB47">
        <v>122</v>
      </c>
      <c r="AC47">
        <v>112</v>
      </c>
      <c r="AD47">
        <v>134</v>
      </c>
      <c r="AE47">
        <v>115</v>
      </c>
      <c r="AF47">
        <v>120</v>
      </c>
      <c r="AG47">
        <v>166</v>
      </c>
      <c r="AH47">
        <v>73</v>
      </c>
      <c r="AI47">
        <v>132</v>
      </c>
      <c r="AJ47">
        <v>121</v>
      </c>
      <c r="AK47">
        <v>124</v>
      </c>
      <c r="AL47">
        <v>119</v>
      </c>
      <c r="AM47">
        <v>110</v>
      </c>
      <c r="AN47">
        <v>96</v>
      </c>
      <c r="AO47">
        <v>160</v>
      </c>
      <c r="AP47">
        <v>126</v>
      </c>
      <c r="AQ47">
        <v>167</v>
      </c>
      <c r="AR47">
        <v>100</v>
      </c>
      <c r="AS47">
        <v>45</v>
      </c>
      <c r="AT47">
        <v>104</v>
      </c>
      <c r="AU47">
        <v>116</v>
      </c>
      <c r="AV47">
        <v>100</v>
      </c>
      <c r="AW47">
        <v>170</v>
      </c>
    </row>
    <row r="48" spans="1:49" x14ac:dyDescent="0.25">
      <c r="A48" t="s">
        <v>97</v>
      </c>
      <c r="B48">
        <v>0.25666699999999998</v>
      </c>
      <c r="C48">
        <v>0.20833299999999999</v>
      </c>
      <c r="D48">
        <v>0.23499999999999999</v>
      </c>
      <c r="E48">
        <v>0.185</v>
      </c>
      <c r="F48">
        <v>0.37333300000000003</v>
      </c>
      <c r="G48">
        <v>0.27333299999999999</v>
      </c>
      <c r="H48">
        <v>0.255</v>
      </c>
      <c r="I48">
        <v>0.278333</v>
      </c>
      <c r="J48">
        <v>0.33500000000000002</v>
      </c>
      <c r="K48">
        <v>0.106667</v>
      </c>
      <c r="L48">
        <v>0.125</v>
      </c>
      <c r="M48">
        <v>0.20499999999999999</v>
      </c>
      <c r="N48">
        <v>0.14333299999999999</v>
      </c>
      <c r="O48">
        <v>0.17</v>
      </c>
      <c r="P48">
        <v>0.20166700000000001</v>
      </c>
      <c r="Q48">
        <v>0.223333</v>
      </c>
      <c r="R48">
        <v>0.191667</v>
      </c>
      <c r="S48">
        <v>0.216667</v>
      </c>
      <c r="T48">
        <v>0.13166700000000001</v>
      </c>
      <c r="U48">
        <v>0.13833300000000001</v>
      </c>
      <c r="V48">
        <v>0.153333</v>
      </c>
      <c r="W48">
        <v>0.13666700000000001</v>
      </c>
      <c r="X48">
        <v>0.14666699999999999</v>
      </c>
      <c r="Y48">
        <v>0.23</v>
      </c>
      <c r="Z48">
        <v>0.248333</v>
      </c>
      <c r="AA48">
        <v>0.223333</v>
      </c>
      <c r="AB48">
        <v>0.20333300000000001</v>
      </c>
      <c r="AC48">
        <v>0.186667</v>
      </c>
      <c r="AD48">
        <v>0.223333</v>
      </c>
      <c r="AE48">
        <v>0.191667</v>
      </c>
      <c r="AF48">
        <v>0.2</v>
      </c>
      <c r="AG48">
        <v>0.276667</v>
      </c>
      <c r="AH48">
        <v>0.121667</v>
      </c>
      <c r="AI48">
        <v>0.22</v>
      </c>
      <c r="AJ48">
        <v>0.20166700000000001</v>
      </c>
      <c r="AK48">
        <v>0.20666699999999999</v>
      </c>
      <c r="AL48">
        <v>0.19833300000000001</v>
      </c>
      <c r="AM48">
        <v>0.183333</v>
      </c>
      <c r="AN48">
        <v>0.16</v>
      </c>
      <c r="AO48">
        <v>0.26666699999999999</v>
      </c>
      <c r="AP48">
        <v>0.21</v>
      </c>
      <c r="AQ48">
        <v>0.278333</v>
      </c>
      <c r="AR48">
        <v>0.16666700000000001</v>
      </c>
      <c r="AS48">
        <v>7.4999999999999997E-2</v>
      </c>
      <c r="AT48">
        <v>0.17333299999999999</v>
      </c>
      <c r="AU48">
        <v>0.193333</v>
      </c>
      <c r="AV48">
        <v>0.16666700000000001</v>
      </c>
      <c r="AW48">
        <v>0.283333</v>
      </c>
    </row>
    <row r="49" spans="1:49" x14ac:dyDescent="0.25">
      <c r="A49" t="s">
        <v>98</v>
      </c>
      <c r="B49">
        <v>0.18676499999999999</v>
      </c>
      <c r="C49">
        <v>0.24553</v>
      </c>
      <c r="D49">
        <v>0.159024</v>
      </c>
      <c r="E49">
        <v>0.16859199999999999</v>
      </c>
      <c r="F49">
        <v>0.19772999999999999</v>
      </c>
      <c r="G49">
        <v>0.24008499999999999</v>
      </c>
      <c r="H49">
        <v>0.36383399999999999</v>
      </c>
      <c r="I49">
        <v>0.20796100000000001</v>
      </c>
      <c r="J49">
        <v>0.21676899999999999</v>
      </c>
      <c r="K49">
        <v>0.29205199999999998</v>
      </c>
      <c r="L49">
        <v>0.33152599999999999</v>
      </c>
      <c r="M49">
        <v>0.27839700000000001</v>
      </c>
      <c r="N49">
        <v>0.27204699999999998</v>
      </c>
      <c r="O49">
        <v>0.28054400000000002</v>
      </c>
      <c r="P49">
        <v>0.236427</v>
      </c>
      <c r="Q49">
        <v>0.46930699999999997</v>
      </c>
      <c r="R49">
        <v>0.23447599999999999</v>
      </c>
      <c r="S49">
        <v>0.430004</v>
      </c>
      <c r="T49">
        <v>0.55091699999999999</v>
      </c>
      <c r="U49">
        <v>0.48358000000000001</v>
      </c>
      <c r="V49">
        <v>0.625668</v>
      </c>
      <c r="W49">
        <v>0.46270299999999998</v>
      </c>
      <c r="X49">
        <v>0.46854600000000002</v>
      </c>
      <c r="Y49">
        <v>0.18309900000000001</v>
      </c>
      <c r="Z49">
        <v>0.19734299999999999</v>
      </c>
      <c r="AA49">
        <v>0.145928</v>
      </c>
      <c r="AB49">
        <v>0.27884100000000001</v>
      </c>
      <c r="AC49">
        <v>0.276781</v>
      </c>
      <c r="AD49">
        <v>0.31633499999999998</v>
      </c>
      <c r="AE49">
        <v>0.50453499999999996</v>
      </c>
      <c r="AF49">
        <v>0.26063199999999997</v>
      </c>
      <c r="AG49">
        <v>0.23516799999999999</v>
      </c>
      <c r="AH49">
        <v>0.25863999999999998</v>
      </c>
      <c r="AI49">
        <v>0.22853899999999999</v>
      </c>
      <c r="AJ49">
        <v>0.34152100000000002</v>
      </c>
      <c r="AK49">
        <v>0.349549</v>
      </c>
      <c r="AL49">
        <v>0.388596</v>
      </c>
      <c r="AM49">
        <v>0.38067299999999998</v>
      </c>
      <c r="AN49">
        <v>0.44368099999999999</v>
      </c>
      <c r="AO49">
        <v>0.34557300000000002</v>
      </c>
      <c r="AP49">
        <v>0.28431499999999998</v>
      </c>
      <c r="AQ49">
        <v>0.22772700000000001</v>
      </c>
      <c r="AR49">
        <v>0.260662</v>
      </c>
      <c r="AS49">
        <v>0.33456399999999997</v>
      </c>
      <c r="AT49">
        <v>0.33738000000000001</v>
      </c>
      <c r="AU49">
        <v>0.45821000000000001</v>
      </c>
      <c r="AV49">
        <v>0.31352200000000002</v>
      </c>
      <c r="AW49">
        <v>0.337978</v>
      </c>
    </row>
    <row r="50" spans="1:49" x14ac:dyDescent="0.25">
      <c r="A50" t="s">
        <v>99</v>
      </c>
      <c r="B50">
        <v>126.344156</v>
      </c>
      <c r="C50">
        <v>110.352</v>
      </c>
      <c r="D50">
        <v>142.59574499999999</v>
      </c>
      <c r="E50">
        <v>166.14414400000001</v>
      </c>
      <c r="F50">
        <v>86.133928999999995</v>
      </c>
      <c r="G50">
        <v>132.13414599999999</v>
      </c>
      <c r="H50">
        <v>171.14379099999999</v>
      </c>
      <c r="I50">
        <v>201.30538899999999</v>
      </c>
      <c r="J50">
        <v>89.935322999999997</v>
      </c>
      <c r="K50">
        <v>102.859375</v>
      </c>
      <c r="L50">
        <v>191.70666700000001</v>
      </c>
      <c r="M50">
        <v>140.05691100000001</v>
      </c>
      <c r="N50">
        <v>130.89534900000001</v>
      </c>
      <c r="O50">
        <v>139.93137300000001</v>
      </c>
      <c r="P50">
        <v>94.975206999999997</v>
      </c>
      <c r="Q50">
        <v>131.32835800000001</v>
      </c>
      <c r="R50">
        <v>228.33043499999999</v>
      </c>
      <c r="S50">
        <v>72.823076999999998</v>
      </c>
      <c r="T50">
        <v>375.78480999999999</v>
      </c>
      <c r="U50">
        <v>258.26506000000001</v>
      </c>
      <c r="V50">
        <v>434.56521700000002</v>
      </c>
      <c r="W50">
        <v>444.98780499999998</v>
      </c>
      <c r="X50">
        <v>369.26136400000001</v>
      </c>
      <c r="Y50">
        <v>264.050725</v>
      </c>
      <c r="Z50">
        <v>196.18791899999999</v>
      </c>
      <c r="AA50">
        <v>60.746268999999998</v>
      </c>
      <c r="AB50">
        <v>143.442623</v>
      </c>
      <c r="AC50">
        <v>221.16964300000001</v>
      </c>
      <c r="AD50">
        <v>93.888059999999996</v>
      </c>
      <c r="AE50">
        <v>247.73912999999999</v>
      </c>
      <c r="AF50">
        <v>187.25833299999999</v>
      </c>
      <c r="AG50">
        <v>190.80120500000001</v>
      </c>
      <c r="AH50">
        <v>185.46575300000001</v>
      </c>
      <c r="AI50">
        <v>83.166667000000004</v>
      </c>
      <c r="AJ50">
        <v>178.32231400000001</v>
      </c>
      <c r="AK50">
        <v>201.75806499999999</v>
      </c>
      <c r="AL50">
        <v>84.352941000000001</v>
      </c>
      <c r="AM50">
        <v>90.172726999999995</v>
      </c>
      <c r="AN50">
        <v>98.21875</v>
      </c>
      <c r="AO50">
        <v>88.75</v>
      </c>
      <c r="AP50">
        <v>99.920635000000004</v>
      </c>
      <c r="AQ50">
        <v>111.197605</v>
      </c>
      <c r="AR50">
        <v>88</v>
      </c>
      <c r="AS50">
        <v>64.022221999999999</v>
      </c>
      <c r="AT50">
        <v>75.144231000000005</v>
      </c>
      <c r="AU50">
        <v>113.44827600000001</v>
      </c>
      <c r="AV50">
        <v>74.150000000000006</v>
      </c>
      <c r="AW50">
        <v>76.670587999999995</v>
      </c>
    </row>
    <row r="51" spans="1:49" x14ac:dyDescent="0.25">
      <c r="A51" t="s">
        <v>100</v>
      </c>
      <c r="B51">
        <v>1.521E-3</v>
      </c>
      <c r="C51">
        <v>2.2279999999999999E-3</v>
      </c>
      <c r="D51">
        <v>1.122E-3</v>
      </c>
      <c r="E51">
        <v>1.0150000000000001E-3</v>
      </c>
      <c r="F51">
        <v>2.2910000000000001E-3</v>
      </c>
      <c r="G51">
        <v>1.8450000000000001E-3</v>
      </c>
      <c r="H51">
        <v>2.183E-3</v>
      </c>
      <c r="I51">
        <v>1.029E-3</v>
      </c>
      <c r="J51">
        <v>2.5110000000000002E-3</v>
      </c>
      <c r="K51">
        <v>3.2439999999999999E-3</v>
      </c>
      <c r="L51">
        <v>2.0739999999999999E-3</v>
      </c>
      <c r="M51">
        <v>2.5119999999999999E-3</v>
      </c>
      <c r="N51">
        <v>2.4489999999999998E-3</v>
      </c>
      <c r="O51">
        <v>2.3570000000000002E-3</v>
      </c>
      <c r="P51">
        <v>2.8609999999999998E-3</v>
      </c>
      <c r="Q51">
        <v>4.1840000000000002E-3</v>
      </c>
      <c r="R51">
        <v>9.3599999999999998E-4</v>
      </c>
      <c r="S51">
        <v>5.9459999999999999E-3</v>
      </c>
      <c r="T51">
        <v>1.426E-3</v>
      </c>
      <c r="U51">
        <v>1.8129999999999999E-3</v>
      </c>
      <c r="V51">
        <v>1.4369999999999999E-3</v>
      </c>
      <c r="W51">
        <v>1.039E-3</v>
      </c>
      <c r="X51">
        <v>1.091E-3</v>
      </c>
      <c r="Y51">
        <v>6.6500000000000001E-4</v>
      </c>
      <c r="Z51">
        <v>8.6899999999999998E-4</v>
      </c>
      <c r="AA51">
        <v>2.3869999999999998E-3</v>
      </c>
      <c r="AB51">
        <v>2.0890000000000001E-3</v>
      </c>
      <c r="AC51">
        <v>1.1689999999999999E-3</v>
      </c>
      <c r="AD51">
        <v>3.2290000000000001E-3</v>
      </c>
      <c r="AE51">
        <v>1.9250000000000001E-3</v>
      </c>
      <c r="AF51">
        <v>1.4159999999999999E-3</v>
      </c>
      <c r="AG51">
        <v>1.1950000000000001E-3</v>
      </c>
      <c r="AH51">
        <v>1.768E-3</v>
      </c>
      <c r="AI51">
        <v>2.9350000000000001E-3</v>
      </c>
      <c r="AJ51">
        <v>2.4550000000000002E-3</v>
      </c>
      <c r="AK51">
        <v>2.0790000000000001E-3</v>
      </c>
      <c r="AL51">
        <v>4.986E-3</v>
      </c>
      <c r="AM51">
        <v>4.3949999999999996E-3</v>
      </c>
      <c r="AN51">
        <v>5.1900000000000002E-3</v>
      </c>
      <c r="AO51">
        <v>4.143E-3</v>
      </c>
      <c r="AP51">
        <v>3.3709999999999999E-3</v>
      </c>
      <c r="AQ51">
        <v>2.085E-3</v>
      </c>
      <c r="AR51">
        <v>3.1570000000000001E-3</v>
      </c>
      <c r="AS51">
        <v>5.4159999999999998E-3</v>
      </c>
      <c r="AT51">
        <v>4.5500000000000002E-3</v>
      </c>
      <c r="AU51">
        <v>4.5560000000000002E-3</v>
      </c>
      <c r="AV51">
        <v>4.4460000000000003E-3</v>
      </c>
      <c r="AW51">
        <v>4.9389999999999998E-3</v>
      </c>
    </row>
    <row r="52" spans="1:49" x14ac:dyDescent="0.25">
      <c r="A52" t="s">
        <v>101</v>
      </c>
      <c r="B52">
        <v>5.7799999999999995E-4</v>
      </c>
      <c r="C52">
        <v>5.0699999999999996E-4</v>
      </c>
      <c r="D52">
        <v>4.26E-4</v>
      </c>
      <c r="E52">
        <v>3.7500000000000001E-4</v>
      </c>
      <c r="F52">
        <v>9.3599999999999998E-4</v>
      </c>
      <c r="G52">
        <v>5.5099999999999995E-4</v>
      </c>
      <c r="H52">
        <v>5.04E-4</v>
      </c>
      <c r="I52">
        <v>4.2400000000000001E-4</v>
      </c>
      <c r="J52">
        <v>8.3900000000000001E-4</v>
      </c>
      <c r="K52">
        <v>1.1720000000000001E-3</v>
      </c>
      <c r="L52">
        <v>8.4699999999999999E-4</v>
      </c>
      <c r="M52">
        <v>7.45E-4</v>
      </c>
      <c r="N52">
        <v>9.9500000000000001E-4</v>
      </c>
      <c r="O52">
        <v>8.7399999999999999E-4</v>
      </c>
      <c r="P52">
        <v>8.9499999999999996E-4</v>
      </c>
      <c r="Q52">
        <v>1.0250000000000001E-3</v>
      </c>
      <c r="R52">
        <v>4.1599999999999997E-4</v>
      </c>
      <c r="S52">
        <v>1.498E-3</v>
      </c>
      <c r="T52">
        <v>5.0699999999999996E-4</v>
      </c>
      <c r="U52">
        <v>6.0700000000000001E-4</v>
      </c>
      <c r="V52">
        <v>4.2400000000000001E-4</v>
      </c>
      <c r="W52">
        <v>4.3300000000000001E-4</v>
      </c>
      <c r="X52">
        <v>4.3300000000000001E-4</v>
      </c>
      <c r="Y52">
        <v>2.5999999999999998E-4</v>
      </c>
      <c r="Z52">
        <v>4.0499999999999998E-4</v>
      </c>
      <c r="AA52">
        <v>1.3179999999999999E-3</v>
      </c>
      <c r="AB52">
        <v>7.6800000000000002E-4</v>
      </c>
      <c r="AC52">
        <v>4.15E-4</v>
      </c>
      <c r="AD52">
        <v>9.8499999999999998E-4</v>
      </c>
      <c r="AE52">
        <v>4.57E-4</v>
      </c>
      <c r="AF52">
        <v>5.0199999999999995E-4</v>
      </c>
      <c r="AG52">
        <v>4.4700000000000002E-4</v>
      </c>
      <c r="AH52">
        <v>5.1900000000000004E-4</v>
      </c>
      <c r="AI52">
        <v>1.072E-3</v>
      </c>
      <c r="AJ52">
        <v>9.6699999999999998E-4</v>
      </c>
      <c r="AK52">
        <v>7.94E-4</v>
      </c>
      <c r="AL52">
        <v>1.769E-3</v>
      </c>
      <c r="AM52">
        <v>1.6130000000000001E-3</v>
      </c>
      <c r="AN52">
        <v>9.8200000000000002E-4</v>
      </c>
      <c r="AO52">
        <v>1.108E-3</v>
      </c>
      <c r="AP52">
        <v>1.3799999999999999E-3</v>
      </c>
      <c r="AQ52">
        <v>9.4700000000000003E-4</v>
      </c>
      <c r="AR52">
        <v>1.25E-3</v>
      </c>
      <c r="AS52">
        <v>2.398E-3</v>
      </c>
      <c r="AT52">
        <v>2.1779999999999998E-3</v>
      </c>
      <c r="AU52">
        <v>1.3320000000000001E-3</v>
      </c>
      <c r="AV52">
        <v>2.134E-3</v>
      </c>
      <c r="AW52">
        <v>1.436E-3</v>
      </c>
    </row>
    <row r="53" spans="1:49" x14ac:dyDescent="0.25">
      <c r="A53" t="s">
        <v>102</v>
      </c>
      <c r="B53">
        <v>0.38846599999999998</v>
      </c>
      <c r="C53">
        <v>0.248137</v>
      </c>
      <c r="D53">
        <v>0.38376399999999999</v>
      </c>
      <c r="E53">
        <v>0.37722499999999998</v>
      </c>
      <c r="F53">
        <v>0.42911700000000003</v>
      </c>
      <c r="G53">
        <v>0.32527499999999998</v>
      </c>
      <c r="H53">
        <v>0.25269599999999998</v>
      </c>
      <c r="I53">
        <v>0.42172500000000002</v>
      </c>
      <c r="J53">
        <v>0.40586800000000001</v>
      </c>
      <c r="K53">
        <v>0.39726600000000001</v>
      </c>
      <c r="L53">
        <v>0.40644599999999997</v>
      </c>
      <c r="M53">
        <v>0.38427499999999998</v>
      </c>
      <c r="N53">
        <v>0.44411099999999998</v>
      </c>
      <c r="O53">
        <v>0.39539600000000003</v>
      </c>
      <c r="P53">
        <v>0.41932599999999998</v>
      </c>
      <c r="Q53">
        <v>0.249635</v>
      </c>
      <c r="R53">
        <v>0.49633100000000002</v>
      </c>
      <c r="S53">
        <v>0.28676000000000001</v>
      </c>
      <c r="T53">
        <v>0.36355599999999999</v>
      </c>
      <c r="U53">
        <v>0.36632500000000001</v>
      </c>
      <c r="V53">
        <v>0.31014199999999997</v>
      </c>
      <c r="W53">
        <v>0.43414199999999997</v>
      </c>
      <c r="X53">
        <v>0.46216400000000002</v>
      </c>
      <c r="Y53">
        <v>0.434058</v>
      </c>
      <c r="Z53">
        <v>0.48413699999999998</v>
      </c>
      <c r="AA53">
        <v>0.62990900000000005</v>
      </c>
      <c r="AB53">
        <v>0.40092499999999998</v>
      </c>
      <c r="AC53">
        <v>0.391347</v>
      </c>
      <c r="AD53">
        <v>0.37722699999999998</v>
      </c>
      <c r="AE53">
        <v>0.26040799999999997</v>
      </c>
      <c r="AF53">
        <v>0.38069500000000001</v>
      </c>
      <c r="AG53">
        <v>0.42978699999999997</v>
      </c>
      <c r="AH53">
        <v>0.35711500000000002</v>
      </c>
      <c r="AI53">
        <v>0.452988</v>
      </c>
      <c r="AJ53">
        <v>0.417881</v>
      </c>
      <c r="AK53">
        <v>0.41295300000000001</v>
      </c>
      <c r="AL53">
        <v>0.41083199999999997</v>
      </c>
      <c r="AM53">
        <v>0.405912</v>
      </c>
      <c r="AN53">
        <v>0.19500000000000001</v>
      </c>
      <c r="AO53">
        <v>0.34544599999999998</v>
      </c>
      <c r="AP53">
        <v>0.477072</v>
      </c>
      <c r="AQ53">
        <v>0.47661799999999999</v>
      </c>
      <c r="AR53">
        <v>0.47667500000000002</v>
      </c>
      <c r="AS53">
        <v>0.474852</v>
      </c>
      <c r="AT53">
        <v>0.52895400000000004</v>
      </c>
      <c r="AU53">
        <v>0.28108699999999998</v>
      </c>
      <c r="AV53">
        <v>0.51130200000000003</v>
      </c>
      <c r="AW53">
        <v>0.394175</v>
      </c>
    </row>
    <row r="54" spans="1:49" x14ac:dyDescent="0.25">
      <c r="A54" t="s">
        <v>103</v>
      </c>
      <c r="B54">
        <v>11.292208</v>
      </c>
      <c r="C54">
        <v>13.304</v>
      </c>
      <c r="D54">
        <v>15.368793999999999</v>
      </c>
      <c r="E54">
        <v>15.36036</v>
      </c>
      <c r="F54">
        <v>10.004464</v>
      </c>
      <c r="G54">
        <v>14.628049000000001</v>
      </c>
      <c r="H54">
        <v>14.261438</v>
      </c>
      <c r="I54">
        <v>13.754491</v>
      </c>
      <c r="J54">
        <v>10.985075</v>
      </c>
      <c r="K54">
        <v>11.65625</v>
      </c>
      <c r="L54">
        <v>13.133333</v>
      </c>
      <c r="M54">
        <v>15.162602</v>
      </c>
      <c r="N54">
        <v>11.697673999999999</v>
      </c>
      <c r="O54">
        <v>13.303922</v>
      </c>
      <c r="P54">
        <v>9.0413219999999992</v>
      </c>
      <c r="Q54">
        <v>10.492537</v>
      </c>
      <c r="R54">
        <v>14.843477999999999</v>
      </c>
      <c r="S54">
        <v>7.5076919999999996</v>
      </c>
      <c r="T54">
        <v>14.227848</v>
      </c>
      <c r="U54">
        <v>14.204819000000001</v>
      </c>
      <c r="V54">
        <v>14.836957</v>
      </c>
      <c r="W54">
        <v>15.146341</v>
      </c>
      <c r="X54">
        <v>13.477273</v>
      </c>
      <c r="Y54">
        <v>15.949275</v>
      </c>
      <c r="Z54">
        <v>12.644295</v>
      </c>
      <c r="AA54">
        <v>5.3134329999999999</v>
      </c>
      <c r="AB54">
        <v>12.729507999999999</v>
      </c>
      <c r="AC54">
        <v>15.330356999999999</v>
      </c>
      <c r="AD54">
        <v>8.6492540000000009</v>
      </c>
      <c r="AE54">
        <v>15.408696000000001</v>
      </c>
      <c r="AF54">
        <v>14.966666999999999</v>
      </c>
      <c r="AG54">
        <v>13.337349</v>
      </c>
      <c r="AH54">
        <v>14.136986</v>
      </c>
      <c r="AI54">
        <v>9.6060610000000004</v>
      </c>
      <c r="AJ54">
        <v>10.983471</v>
      </c>
      <c r="AK54">
        <v>11.080645000000001</v>
      </c>
      <c r="AL54">
        <v>8.5714290000000002</v>
      </c>
      <c r="AM54">
        <v>9.0363640000000007</v>
      </c>
      <c r="AN54">
        <v>10.302083</v>
      </c>
      <c r="AO54">
        <v>11.0375</v>
      </c>
      <c r="AP54">
        <v>10.531746</v>
      </c>
      <c r="AQ54">
        <v>9.3113770000000002</v>
      </c>
      <c r="AR54">
        <v>10.93</v>
      </c>
      <c r="AS54">
        <v>8.5555559999999993</v>
      </c>
      <c r="AT54">
        <v>10.259615</v>
      </c>
      <c r="AU54">
        <v>9.6465519999999998</v>
      </c>
      <c r="AV54">
        <v>6.65</v>
      </c>
      <c r="AW54">
        <v>8.1882350000000006</v>
      </c>
    </row>
    <row r="55" spans="1:49" x14ac:dyDescent="0.25">
      <c r="A55" t="s">
        <v>104</v>
      </c>
      <c r="B55">
        <v>11.17802</v>
      </c>
      <c r="C55">
        <v>8.3326189999999993</v>
      </c>
      <c r="D55">
        <v>9.2854019999999995</v>
      </c>
      <c r="E55">
        <v>10.822362</v>
      </c>
      <c r="F55">
        <v>8.619745</v>
      </c>
      <c r="G55">
        <v>9.0080810000000007</v>
      </c>
      <c r="H55">
        <v>11.998443999999999</v>
      </c>
      <c r="I55">
        <v>14.648939</v>
      </c>
      <c r="J55">
        <v>8.0200949999999995</v>
      </c>
      <c r="K55">
        <v>8.6623339999999995</v>
      </c>
      <c r="L55">
        <v>13.901685000000001</v>
      </c>
      <c r="M55">
        <v>9.0535160000000001</v>
      </c>
      <c r="N55">
        <v>10.548492</v>
      </c>
      <c r="O55">
        <v>10.0395</v>
      </c>
      <c r="P55">
        <v>10.351461</v>
      </c>
      <c r="Q55">
        <v>12.357828</v>
      </c>
      <c r="R55">
        <v>15.373457999999999</v>
      </c>
      <c r="S55">
        <v>9.6722409999999996</v>
      </c>
      <c r="T55">
        <v>26.436917999999999</v>
      </c>
      <c r="U55">
        <v>18.185424999999999</v>
      </c>
      <c r="V55">
        <v>29.296686999999999</v>
      </c>
      <c r="W55">
        <v>29.387795000000001</v>
      </c>
      <c r="X55">
        <v>27.329412000000001</v>
      </c>
      <c r="Y55">
        <v>16.563164</v>
      </c>
      <c r="Z55">
        <v>15.610566</v>
      </c>
      <c r="AA55">
        <v>11.598330000000001</v>
      </c>
      <c r="AB55">
        <v>11.020267</v>
      </c>
      <c r="AC55">
        <v>14.313575</v>
      </c>
      <c r="AD55">
        <v>10.849624</v>
      </c>
      <c r="AE55">
        <v>15.891952</v>
      </c>
      <c r="AF55">
        <v>12.440149</v>
      </c>
      <c r="AG55">
        <v>14.060857</v>
      </c>
      <c r="AH55">
        <v>12.814238</v>
      </c>
      <c r="AI55">
        <v>8.5142000000000007</v>
      </c>
      <c r="AJ55">
        <v>15.972576999999999</v>
      </c>
      <c r="AK55">
        <v>17.597477000000001</v>
      </c>
      <c r="AL55">
        <v>9.7032830000000008</v>
      </c>
      <c r="AM55">
        <v>9.8320640000000008</v>
      </c>
      <c r="AN55">
        <v>9.3474699999999995</v>
      </c>
      <c r="AO55">
        <v>7.8179340000000002</v>
      </c>
      <c r="AP55">
        <v>9.3426919999999996</v>
      </c>
      <c r="AQ55">
        <v>11.776422</v>
      </c>
      <c r="AR55">
        <v>7.9061500000000002</v>
      </c>
      <c r="AS55">
        <v>7.408474</v>
      </c>
      <c r="AT55">
        <v>7.2822849999999999</v>
      </c>
      <c r="AU55">
        <v>11.478846000000001</v>
      </c>
      <c r="AV55">
        <v>11.056827999999999</v>
      </c>
      <c r="AW55">
        <v>9.2408400000000004</v>
      </c>
    </row>
    <row r="56" spans="1:49" x14ac:dyDescent="0.25">
      <c r="A56" t="s">
        <v>105</v>
      </c>
      <c r="B56">
        <v>99.794839999999994</v>
      </c>
      <c r="C56">
        <v>99.052132999999998</v>
      </c>
      <c r="D56">
        <v>99.890699999999995</v>
      </c>
      <c r="E56">
        <v>99.643396999999993</v>
      </c>
      <c r="F56">
        <v>99.839585999999997</v>
      </c>
      <c r="G56">
        <v>99.857149000000007</v>
      </c>
      <c r="H56">
        <v>98.229358000000005</v>
      </c>
      <c r="I56">
        <v>99.943515000000005</v>
      </c>
      <c r="J56">
        <v>94.510378000000003</v>
      </c>
      <c r="K56">
        <v>78.989681000000004</v>
      </c>
      <c r="L56">
        <v>99.343604999999997</v>
      </c>
      <c r="M56">
        <v>94.993106999999995</v>
      </c>
      <c r="N56">
        <v>92.270492000000004</v>
      </c>
      <c r="O56">
        <v>84.107247999999998</v>
      </c>
      <c r="P56">
        <v>95.480226000000002</v>
      </c>
      <c r="Q56">
        <v>86.805109999999999</v>
      </c>
      <c r="R56">
        <v>99.878281000000001</v>
      </c>
      <c r="S56">
        <v>99.464173000000002</v>
      </c>
      <c r="T56">
        <v>99.909133999999995</v>
      </c>
      <c r="U56">
        <v>99.9161</v>
      </c>
      <c r="V56">
        <v>99.905043000000006</v>
      </c>
      <c r="W56">
        <v>99.950693999999999</v>
      </c>
      <c r="X56">
        <v>99.843299000000002</v>
      </c>
      <c r="Y56">
        <v>98.491770000000002</v>
      </c>
      <c r="Z56">
        <v>99.907720999999995</v>
      </c>
      <c r="AA56">
        <v>84.203992999999997</v>
      </c>
      <c r="AB56">
        <v>98.752892000000003</v>
      </c>
      <c r="AC56">
        <v>99.754349000000005</v>
      </c>
      <c r="AD56">
        <v>97.285803000000001</v>
      </c>
      <c r="AE56">
        <v>99.716496000000006</v>
      </c>
      <c r="AF56">
        <v>99.786846999999995</v>
      </c>
      <c r="AG56">
        <v>96.074862999999993</v>
      </c>
      <c r="AH56">
        <v>91.964406999999994</v>
      </c>
      <c r="AI56">
        <v>85.120570999999998</v>
      </c>
      <c r="AJ56">
        <v>98.606160000000003</v>
      </c>
      <c r="AK56">
        <v>98.403084000000007</v>
      </c>
      <c r="AL56">
        <v>94.805440000000004</v>
      </c>
      <c r="AM56">
        <v>88.428279000000003</v>
      </c>
      <c r="AN56">
        <v>80.199029999999993</v>
      </c>
      <c r="AO56">
        <v>92.622789999999995</v>
      </c>
      <c r="AP56">
        <v>86.553004000000001</v>
      </c>
      <c r="AQ56">
        <v>86.970776000000001</v>
      </c>
      <c r="AR56">
        <v>80.837772999999999</v>
      </c>
      <c r="AS56">
        <v>48.550725</v>
      </c>
      <c r="AT56">
        <v>79.793751</v>
      </c>
      <c r="AU56">
        <v>92.474176</v>
      </c>
      <c r="AV56">
        <v>76.815498000000005</v>
      </c>
      <c r="AW56">
        <v>82.634882000000005</v>
      </c>
    </row>
    <row r="57" spans="1:49" x14ac:dyDescent="0.25">
      <c r="A57" t="s">
        <v>106</v>
      </c>
      <c r="B57">
        <v>0.55239000000000005</v>
      </c>
      <c r="C57">
        <v>0.343862</v>
      </c>
      <c r="D57">
        <v>0.35406900000000002</v>
      </c>
      <c r="E57">
        <v>0.23474300000000001</v>
      </c>
      <c r="F57">
        <v>0.44361400000000001</v>
      </c>
      <c r="G57">
        <v>0.170569</v>
      </c>
      <c r="H57">
        <v>0.199744</v>
      </c>
      <c r="I57">
        <v>0.31833899999999998</v>
      </c>
      <c r="J57">
        <v>0.42449300000000001</v>
      </c>
      <c r="K57">
        <v>0.47675499999999998</v>
      </c>
      <c r="L57">
        <v>0.30007499999999998</v>
      </c>
      <c r="M57">
        <v>0.47611399999999998</v>
      </c>
      <c r="N57">
        <v>0.43004700000000001</v>
      </c>
      <c r="O57">
        <v>0.38647399999999998</v>
      </c>
      <c r="P57">
        <v>0.35472999999999999</v>
      </c>
      <c r="Q57">
        <v>0.31735200000000002</v>
      </c>
      <c r="R57">
        <v>0.439828</v>
      </c>
      <c r="S57">
        <v>0.45805200000000001</v>
      </c>
      <c r="T57">
        <v>0.197961</v>
      </c>
      <c r="U57">
        <v>9.8264000000000004E-2</v>
      </c>
      <c r="V57">
        <v>0.144978</v>
      </c>
      <c r="W57">
        <v>0.39694800000000002</v>
      </c>
      <c r="X57">
        <v>0.285547</v>
      </c>
      <c r="Y57">
        <v>0.358848</v>
      </c>
      <c r="Z57">
        <v>0.43785000000000002</v>
      </c>
      <c r="AA57">
        <v>0.37305500000000003</v>
      </c>
      <c r="AB57">
        <v>0.32066600000000001</v>
      </c>
      <c r="AC57">
        <v>0.24465200000000001</v>
      </c>
      <c r="AD57">
        <v>0.30442000000000002</v>
      </c>
      <c r="AE57">
        <v>0.29462899999999997</v>
      </c>
      <c r="AF57">
        <v>0.24532000000000001</v>
      </c>
      <c r="AG57">
        <v>0.36359399999999997</v>
      </c>
      <c r="AH57">
        <v>0.47675400000000001</v>
      </c>
      <c r="AI57">
        <v>0.40925299999999998</v>
      </c>
      <c r="AJ57">
        <v>0.37568200000000002</v>
      </c>
      <c r="AK57">
        <v>0.32853199999999999</v>
      </c>
      <c r="AL57">
        <v>0.31607000000000002</v>
      </c>
      <c r="AM57">
        <v>0.383521</v>
      </c>
      <c r="AN57">
        <v>0.34125499999999998</v>
      </c>
      <c r="AO57">
        <v>0.47838799999999998</v>
      </c>
      <c r="AP57">
        <v>0.47303299999999998</v>
      </c>
      <c r="AQ57">
        <v>0.55769400000000002</v>
      </c>
      <c r="AR57">
        <v>0.50991500000000001</v>
      </c>
      <c r="AS57">
        <v>0.54886299999999999</v>
      </c>
      <c r="AT57">
        <v>0.43327500000000002</v>
      </c>
      <c r="AU57">
        <v>0.41067599999999999</v>
      </c>
      <c r="AV57">
        <v>0.54948399999999997</v>
      </c>
      <c r="AW57">
        <v>0.479769</v>
      </c>
    </row>
    <row r="58" spans="1:49" x14ac:dyDescent="0.25">
      <c r="A58" t="s">
        <v>107</v>
      </c>
      <c r="B58">
        <v>0.106626</v>
      </c>
      <c r="C58">
        <v>0.45867000000000002</v>
      </c>
      <c r="D58">
        <v>0</v>
      </c>
      <c r="E58">
        <v>0.12400899999999999</v>
      </c>
      <c r="F58">
        <v>0.74571699999999996</v>
      </c>
      <c r="G58">
        <v>0.580897</v>
      </c>
      <c r="H58">
        <v>0.41736200000000001</v>
      </c>
      <c r="I58">
        <v>9.2994999999999994E-2</v>
      </c>
      <c r="J58">
        <v>0.90597399999999995</v>
      </c>
      <c r="K58">
        <v>0.72789499999999996</v>
      </c>
      <c r="L58">
        <v>0.857823</v>
      </c>
      <c r="M58">
        <v>1.1606129999999999</v>
      </c>
      <c r="N58">
        <v>0.77927199999999996</v>
      </c>
      <c r="O58">
        <v>0.62607299999999999</v>
      </c>
      <c r="P58">
        <v>0.98160000000000003</v>
      </c>
      <c r="Q58">
        <v>0.44144</v>
      </c>
      <c r="R58">
        <v>0.18882099999999999</v>
      </c>
      <c r="S58">
        <v>0.57226200000000005</v>
      </c>
      <c r="T58">
        <v>0.45985799999999999</v>
      </c>
      <c r="U58">
        <v>0.53061899999999995</v>
      </c>
      <c r="V58">
        <v>0.34217599999999998</v>
      </c>
      <c r="W58">
        <v>0.31317400000000001</v>
      </c>
      <c r="X58">
        <v>0.34875400000000001</v>
      </c>
      <c r="Y58">
        <v>0.322737</v>
      </c>
      <c r="Z58">
        <v>0.39126100000000003</v>
      </c>
      <c r="AA58">
        <v>0.383378</v>
      </c>
      <c r="AB58">
        <v>0.81692100000000001</v>
      </c>
      <c r="AC58">
        <v>0.52750900000000001</v>
      </c>
      <c r="AD58">
        <v>1.1243320000000001</v>
      </c>
      <c r="AE58">
        <v>0.50321300000000002</v>
      </c>
      <c r="AF58">
        <v>0.343144</v>
      </c>
      <c r="AG58">
        <v>0.86915699999999996</v>
      </c>
      <c r="AH58">
        <v>0.89649500000000004</v>
      </c>
      <c r="AI58">
        <v>0.83695699999999995</v>
      </c>
      <c r="AJ58">
        <v>0.95138800000000001</v>
      </c>
      <c r="AK58">
        <v>0.976074</v>
      </c>
      <c r="AL58">
        <v>1.1104719999999999</v>
      </c>
      <c r="AM58">
        <v>0.84445199999999998</v>
      </c>
      <c r="AN58">
        <v>0.36680099999999999</v>
      </c>
      <c r="AO58">
        <v>1.3073779999999999</v>
      </c>
      <c r="AP58">
        <v>0.77125699999999997</v>
      </c>
      <c r="AQ58">
        <v>0.81709900000000002</v>
      </c>
      <c r="AR58">
        <v>0.87053700000000001</v>
      </c>
      <c r="AS58">
        <v>0.51761599999999997</v>
      </c>
      <c r="AT58">
        <v>0.87998200000000004</v>
      </c>
      <c r="AU58">
        <v>0.61515600000000004</v>
      </c>
      <c r="AV58">
        <v>0.98357799999999995</v>
      </c>
      <c r="AW58">
        <v>1.204434</v>
      </c>
    </row>
    <row r="59" spans="1:49" x14ac:dyDescent="0.25">
      <c r="A59" t="s">
        <v>108</v>
      </c>
    </row>
    <row r="60" spans="1:49" x14ac:dyDescent="0.25">
      <c r="A60" t="s">
        <v>109</v>
      </c>
      <c r="B60">
        <v>0.43706899999999999</v>
      </c>
      <c r="C60">
        <v>0.50197599999999998</v>
      </c>
      <c r="D60">
        <v>0.62131800000000004</v>
      </c>
      <c r="E60">
        <v>0.64892499999999997</v>
      </c>
      <c r="F60">
        <v>0.30796200000000001</v>
      </c>
      <c r="G60">
        <v>0.54932300000000001</v>
      </c>
      <c r="H60">
        <v>0.65741899999999998</v>
      </c>
      <c r="I60">
        <v>0.58973500000000001</v>
      </c>
      <c r="J60">
        <v>0.37417899999999998</v>
      </c>
      <c r="K60">
        <v>0.41457100000000002</v>
      </c>
      <c r="L60">
        <v>0.52881</v>
      </c>
      <c r="M60">
        <v>0.57667000000000002</v>
      </c>
      <c r="N60">
        <v>0.391542</v>
      </c>
      <c r="O60">
        <v>0.40837000000000001</v>
      </c>
      <c r="P60">
        <v>0.33212799999999998</v>
      </c>
      <c r="Q60">
        <v>0.28981499999999999</v>
      </c>
      <c r="R60">
        <v>0.52276599999999995</v>
      </c>
      <c r="S60">
        <v>0.25100299999999998</v>
      </c>
      <c r="T60">
        <v>0.58433299999999999</v>
      </c>
      <c r="U60">
        <v>0.47790500000000002</v>
      </c>
      <c r="V60">
        <v>0.64636000000000005</v>
      </c>
      <c r="W60">
        <v>0.61318099999999998</v>
      </c>
      <c r="X60">
        <v>0.54378099999999996</v>
      </c>
      <c r="Y60">
        <v>0.76651199999999997</v>
      </c>
      <c r="Z60">
        <v>0.54440699999999997</v>
      </c>
      <c r="AA60">
        <v>0.20707400000000001</v>
      </c>
      <c r="AB60">
        <v>0.49762499999999998</v>
      </c>
      <c r="AC60">
        <v>0.57329399999999997</v>
      </c>
      <c r="AD60">
        <v>0.28656700000000002</v>
      </c>
      <c r="AE60">
        <v>0.56853500000000001</v>
      </c>
      <c r="AF60">
        <v>0.53708699999999998</v>
      </c>
      <c r="AG60">
        <v>0.51137900000000003</v>
      </c>
      <c r="AH60">
        <v>0.64704600000000001</v>
      </c>
      <c r="AI60">
        <v>0.31307200000000002</v>
      </c>
      <c r="AJ60">
        <v>0.475325</v>
      </c>
      <c r="AK60">
        <v>0.404891</v>
      </c>
      <c r="AL60">
        <v>0.222106</v>
      </c>
      <c r="AM60">
        <v>0.203013</v>
      </c>
      <c r="AN60">
        <v>0.32880900000000002</v>
      </c>
      <c r="AO60">
        <v>0.33053500000000002</v>
      </c>
      <c r="AP60">
        <v>0.239705</v>
      </c>
      <c r="AQ60">
        <v>0.32248399999999999</v>
      </c>
      <c r="AR60">
        <v>0.29616999999999999</v>
      </c>
      <c r="AS60">
        <v>0.13436699999999999</v>
      </c>
      <c r="AT60">
        <v>0.16272700000000001</v>
      </c>
      <c r="AU60">
        <v>0.32242199999999999</v>
      </c>
      <c r="AV60">
        <v>0.15156900000000001</v>
      </c>
      <c r="AW60">
        <v>0.21329000000000001</v>
      </c>
    </row>
    <row r="61" spans="1:49" x14ac:dyDescent="0.25">
      <c r="A61" t="s">
        <v>110</v>
      </c>
      <c r="B61">
        <v>5.3887219999999996</v>
      </c>
      <c r="C61">
        <v>3.4843060000000001</v>
      </c>
      <c r="D61">
        <v>6.7157499999999999</v>
      </c>
      <c r="E61">
        <v>6.9628889999999997</v>
      </c>
      <c r="F61">
        <v>3.7951389999999998</v>
      </c>
      <c r="G61">
        <v>6.6056530000000002</v>
      </c>
      <c r="H61">
        <v>10.029806000000001</v>
      </c>
      <c r="I61">
        <v>13.369180999999999</v>
      </c>
      <c r="J61">
        <v>4.2475560000000003</v>
      </c>
      <c r="K61">
        <v>1.784764</v>
      </c>
      <c r="L61">
        <v>5.9160000000000004</v>
      </c>
      <c r="M61">
        <v>6.3522920000000003</v>
      </c>
      <c r="N61">
        <v>3.2533470000000002</v>
      </c>
      <c r="O61">
        <v>4.6784030000000003</v>
      </c>
      <c r="P61">
        <v>3.1074860000000002</v>
      </c>
      <c r="Q61">
        <v>4.5145140000000001</v>
      </c>
      <c r="R61">
        <v>10.787694</v>
      </c>
      <c r="S61">
        <v>1.0027779999999999</v>
      </c>
      <c r="T61">
        <v>9.0816809999999997</v>
      </c>
      <c r="U61">
        <v>6.0166810000000002</v>
      </c>
      <c r="V61">
        <v>17.618041999999999</v>
      </c>
      <c r="W61">
        <v>15.738</v>
      </c>
      <c r="X61">
        <v>13.014347000000001</v>
      </c>
      <c r="Y61">
        <v>21.918806</v>
      </c>
      <c r="Z61">
        <v>12.548778</v>
      </c>
      <c r="AA61">
        <v>1.166736</v>
      </c>
      <c r="AB61">
        <v>5.3478890000000003</v>
      </c>
      <c r="AC61">
        <v>11.904610999999999</v>
      </c>
      <c r="AD61">
        <v>2.4591669999999999</v>
      </c>
      <c r="AE61">
        <v>13.524667000000001</v>
      </c>
      <c r="AF61">
        <v>9.5147499999999994</v>
      </c>
      <c r="AG61">
        <v>12.971792000000001</v>
      </c>
      <c r="AH61">
        <v>7.7780279999999999</v>
      </c>
      <c r="AI61">
        <v>2.2551670000000001</v>
      </c>
      <c r="AJ61">
        <v>8.1465139999999998</v>
      </c>
      <c r="AK61">
        <v>10.227333</v>
      </c>
      <c r="AL61">
        <v>1.4735689999999999</v>
      </c>
      <c r="AM61">
        <v>1.553625</v>
      </c>
      <c r="AN61">
        <v>2.3319860000000001</v>
      </c>
      <c r="AO61">
        <v>2.9636529999999999</v>
      </c>
      <c r="AP61">
        <v>2.6157080000000001</v>
      </c>
      <c r="AQ61">
        <v>4.4190690000000004</v>
      </c>
      <c r="AR61">
        <v>1.594514</v>
      </c>
      <c r="AS61">
        <v>0.31718099999999999</v>
      </c>
      <c r="AT61">
        <v>0.860931</v>
      </c>
      <c r="AU61">
        <v>3.3704999999999998</v>
      </c>
      <c r="AV61">
        <v>0.99070800000000003</v>
      </c>
      <c r="AW61">
        <v>2.0750000000000002</v>
      </c>
    </row>
    <row r="62" spans="1:49" x14ac:dyDescent="0.25">
      <c r="A62" t="s">
        <v>111</v>
      </c>
      <c r="B62">
        <v>22</v>
      </c>
      <c r="C62">
        <v>14</v>
      </c>
      <c r="D62">
        <v>15</v>
      </c>
      <c r="E62">
        <v>14</v>
      </c>
      <c r="F62">
        <v>25</v>
      </c>
      <c r="G62">
        <v>21</v>
      </c>
      <c r="H62">
        <v>22</v>
      </c>
      <c r="I62">
        <v>24</v>
      </c>
      <c r="J62">
        <v>16</v>
      </c>
      <c r="K62">
        <v>21</v>
      </c>
      <c r="L62">
        <v>25</v>
      </c>
      <c r="M62">
        <v>20</v>
      </c>
      <c r="N62">
        <v>25</v>
      </c>
      <c r="O62">
        <v>16</v>
      </c>
      <c r="P62">
        <v>17</v>
      </c>
      <c r="Q62">
        <v>24</v>
      </c>
      <c r="R62">
        <v>23</v>
      </c>
      <c r="S62">
        <v>19</v>
      </c>
      <c r="T62">
        <v>16</v>
      </c>
      <c r="U62">
        <v>18</v>
      </c>
      <c r="V62">
        <v>22</v>
      </c>
      <c r="W62">
        <v>20</v>
      </c>
      <c r="X62">
        <v>19</v>
      </c>
      <c r="Y62">
        <v>16</v>
      </c>
      <c r="Z62">
        <v>22</v>
      </c>
      <c r="AA62">
        <v>22</v>
      </c>
      <c r="AB62">
        <v>25</v>
      </c>
      <c r="AC62">
        <v>26</v>
      </c>
      <c r="AD62">
        <v>28</v>
      </c>
      <c r="AE62">
        <v>27</v>
      </c>
      <c r="AF62">
        <v>25</v>
      </c>
      <c r="AG62">
        <v>19</v>
      </c>
      <c r="AH62">
        <v>21</v>
      </c>
      <c r="AI62">
        <v>14</v>
      </c>
      <c r="AJ62">
        <v>20</v>
      </c>
      <c r="AK62">
        <v>26</v>
      </c>
      <c r="AL62">
        <v>25</v>
      </c>
      <c r="AM62">
        <v>29</v>
      </c>
      <c r="AN62">
        <v>26</v>
      </c>
      <c r="AO62">
        <v>17</v>
      </c>
      <c r="AP62">
        <v>17</v>
      </c>
      <c r="AQ62">
        <v>16</v>
      </c>
      <c r="AR62">
        <v>11</v>
      </c>
      <c r="AS62">
        <v>17</v>
      </c>
      <c r="AT62">
        <v>19</v>
      </c>
      <c r="AU62">
        <v>17</v>
      </c>
      <c r="AV62">
        <v>30</v>
      </c>
      <c r="AW62">
        <v>18</v>
      </c>
    </row>
    <row r="63" spans="1:49" x14ac:dyDescent="0.25">
      <c r="A63" t="s">
        <v>112</v>
      </c>
      <c r="B63">
        <v>38</v>
      </c>
      <c r="C63">
        <v>23</v>
      </c>
      <c r="D63">
        <v>27</v>
      </c>
      <c r="E63">
        <v>26</v>
      </c>
      <c r="F63">
        <v>60</v>
      </c>
      <c r="G63">
        <v>43</v>
      </c>
      <c r="H63">
        <v>46</v>
      </c>
      <c r="I63">
        <v>50</v>
      </c>
      <c r="J63">
        <v>62</v>
      </c>
      <c r="K63">
        <v>71</v>
      </c>
      <c r="L63">
        <v>106</v>
      </c>
      <c r="M63">
        <v>68</v>
      </c>
      <c r="N63">
        <v>86</v>
      </c>
      <c r="O63">
        <v>80</v>
      </c>
      <c r="P63">
        <v>64</v>
      </c>
      <c r="Q63">
        <v>87</v>
      </c>
      <c r="R63">
        <v>57</v>
      </c>
      <c r="S63">
        <v>38</v>
      </c>
      <c r="T63">
        <v>37</v>
      </c>
      <c r="U63">
        <v>109</v>
      </c>
      <c r="V63">
        <v>165</v>
      </c>
      <c r="W63">
        <v>169</v>
      </c>
      <c r="X63">
        <v>149</v>
      </c>
      <c r="Y63">
        <v>42</v>
      </c>
      <c r="Z63">
        <v>70</v>
      </c>
      <c r="AA63">
        <v>70</v>
      </c>
      <c r="AB63">
        <v>74</v>
      </c>
      <c r="AC63">
        <v>78</v>
      </c>
      <c r="AD63">
        <v>66</v>
      </c>
      <c r="AE63">
        <v>92</v>
      </c>
      <c r="AF63">
        <v>79</v>
      </c>
      <c r="AG63">
        <v>71</v>
      </c>
      <c r="AH63">
        <v>64</v>
      </c>
      <c r="AI63">
        <v>58</v>
      </c>
      <c r="AJ63">
        <v>107</v>
      </c>
      <c r="AK63">
        <v>109</v>
      </c>
      <c r="AL63">
        <v>76</v>
      </c>
      <c r="AM63">
        <v>89</v>
      </c>
      <c r="AN63">
        <v>71</v>
      </c>
      <c r="AO63">
        <v>59</v>
      </c>
      <c r="AP63">
        <v>95</v>
      </c>
      <c r="AQ63">
        <v>69</v>
      </c>
      <c r="AR63">
        <v>77</v>
      </c>
      <c r="AS63">
        <v>84</v>
      </c>
      <c r="AT63">
        <v>114</v>
      </c>
      <c r="AU63">
        <v>78</v>
      </c>
      <c r="AV63">
        <v>89</v>
      </c>
      <c r="AW63">
        <v>62</v>
      </c>
    </row>
    <row r="64" spans="1:49" x14ac:dyDescent="0.25">
      <c r="A64" t="s">
        <v>113</v>
      </c>
      <c r="B64" t="s">
        <v>114</v>
      </c>
      <c r="C64" t="s">
        <v>114</v>
      </c>
      <c r="D64" t="s">
        <v>114</v>
      </c>
      <c r="E64" t="s">
        <v>114</v>
      </c>
      <c r="F64" t="s">
        <v>114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</row>
    <row r="65" spans="1:769" x14ac:dyDescent="0.25">
      <c r="A65" t="s">
        <v>115</v>
      </c>
      <c r="B65" t="s">
        <v>114</v>
      </c>
      <c r="C65" t="s">
        <v>114</v>
      </c>
      <c r="D65" t="s">
        <v>114</v>
      </c>
      <c r="E65" t="s">
        <v>114</v>
      </c>
      <c r="F65" t="s">
        <v>114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</row>
    <row r="66" spans="1:769" x14ac:dyDescent="0.25">
      <c r="A66" t="s">
        <v>116</v>
      </c>
    </row>
    <row r="67" spans="1:769" x14ac:dyDescent="0.25">
      <c r="A67" t="s">
        <v>117</v>
      </c>
      <c r="B67">
        <v>22</v>
      </c>
      <c r="C67">
        <v>32</v>
      </c>
      <c r="D67">
        <v>43</v>
      </c>
      <c r="E67">
        <v>44</v>
      </c>
      <c r="F67">
        <v>43</v>
      </c>
      <c r="G67">
        <v>34</v>
      </c>
      <c r="H67">
        <v>14</v>
      </c>
      <c r="I67">
        <v>24</v>
      </c>
      <c r="J67">
        <v>12</v>
      </c>
      <c r="K67">
        <v>11</v>
      </c>
      <c r="L67">
        <v>42</v>
      </c>
      <c r="M67">
        <v>11</v>
      </c>
      <c r="N67">
        <v>31</v>
      </c>
      <c r="O67">
        <v>13</v>
      </c>
      <c r="P67">
        <v>42</v>
      </c>
      <c r="Q67">
        <v>11</v>
      </c>
      <c r="R67">
        <v>12</v>
      </c>
      <c r="S67">
        <v>24</v>
      </c>
      <c r="T67">
        <v>11</v>
      </c>
      <c r="U67">
        <v>11</v>
      </c>
      <c r="V67">
        <v>14</v>
      </c>
      <c r="W67">
        <v>22</v>
      </c>
      <c r="X67">
        <v>11</v>
      </c>
      <c r="Y67">
        <v>14</v>
      </c>
      <c r="Z67">
        <v>12</v>
      </c>
      <c r="AA67">
        <v>13</v>
      </c>
      <c r="AB67">
        <v>12</v>
      </c>
      <c r="AC67">
        <v>14</v>
      </c>
      <c r="AD67">
        <v>44</v>
      </c>
      <c r="AE67">
        <v>44</v>
      </c>
      <c r="AF67">
        <v>41</v>
      </c>
      <c r="AG67">
        <v>44</v>
      </c>
      <c r="AH67">
        <v>12</v>
      </c>
      <c r="AI67">
        <v>43</v>
      </c>
      <c r="AJ67">
        <v>11</v>
      </c>
      <c r="AK67">
        <v>31</v>
      </c>
      <c r="AL67">
        <v>11</v>
      </c>
      <c r="AM67">
        <v>44</v>
      </c>
      <c r="AN67">
        <v>11</v>
      </c>
      <c r="AO67">
        <v>34</v>
      </c>
      <c r="AP67">
        <v>13</v>
      </c>
      <c r="AQ67">
        <v>43</v>
      </c>
      <c r="AR67">
        <v>22</v>
      </c>
      <c r="AS67">
        <v>42</v>
      </c>
      <c r="AT67">
        <v>11</v>
      </c>
      <c r="AU67">
        <v>42</v>
      </c>
      <c r="AV67">
        <v>31</v>
      </c>
      <c r="AW67">
        <v>11</v>
      </c>
    </row>
    <row r="68" spans="1:769" x14ac:dyDescent="0.25">
      <c r="A68" t="s">
        <v>118</v>
      </c>
      <c r="B68">
        <v>22.077922000000001</v>
      </c>
      <c r="C68">
        <v>28</v>
      </c>
      <c r="D68">
        <v>54.609929000000001</v>
      </c>
      <c r="E68">
        <v>43.243243</v>
      </c>
      <c r="F68">
        <v>57.142856999999999</v>
      </c>
      <c r="G68">
        <v>38.414634</v>
      </c>
      <c r="H68">
        <v>34.640523000000002</v>
      </c>
      <c r="I68">
        <v>38.922156000000001</v>
      </c>
      <c r="J68">
        <v>33.333333000000003</v>
      </c>
      <c r="K68">
        <v>18.75</v>
      </c>
      <c r="L68">
        <v>44</v>
      </c>
      <c r="M68">
        <v>25.203251999999999</v>
      </c>
      <c r="N68">
        <v>31.395349</v>
      </c>
      <c r="O68">
        <v>34.313724999999998</v>
      </c>
      <c r="P68">
        <v>33.057850999999999</v>
      </c>
      <c r="Q68">
        <v>73.134327999999996</v>
      </c>
      <c r="R68">
        <v>31.304348000000001</v>
      </c>
      <c r="S68">
        <v>36.153846000000001</v>
      </c>
      <c r="T68">
        <v>36.708860999999999</v>
      </c>
      <c r="U68">
        <v>26.506024</v>
      </c>
      <c r="V68">
        <v>29.347826000000001</v>
      </c>
      <c r="W68">
        <v>20.731707</v>
      </c>
      <c r="X68">
        <v>22.727273</v>
      </c>
      <c r="Y68">
        <v>23.913042999999998</v>
      </c>
      <c r="Z68">
        <v>25.503356</v>
      </c>
      <c r="AA68">
        <v>55.970148999999999</v>
      </c>
      <c r="AB68">
        <v>40.163933999999998</v>
      </c>
      <c r="AC68">
        <v>29.464286000000001</v>
      </c>
      <c r="AD68">
        <v>38.059700999999997</v>
      </c>
      <c r="AE68">
        <v>38.260869999999997</v>
      </c>
      <c r="AF68">
        <v>27.5</v>
      </c>
      <c r="AG68">
        <v>27.108433999999999</v>
      </c>
      <c r="AH68">
        <v>34.246575</v>
      </c>
      <c r="AI68">
        <v>33.333333000000003</v>
      </c>
      <c r="AJ68">
        <v>22.314050000000002</v>
      </c>
      <c r="AK68">
        <v>27.419354999999999</v>
      </c>
      <c r="AL68">
        <v>44.537815000000002</v>
      </c>
      <c r="AM68">
        <v>28.181818</v>
      </c>
      <c r="AN68">
        <v>75</v>
      </c>
      <c r="AO68">
        <v>37.5</v>
      </c>
      <c r="AP68">
        <v>37.301586999999998</v>
      </c>
      <c r="AQ68">
        <v>25.748502999999999</v>
      </c>
      <c r="AR68">
        <v>25</v>
      </c>
      <c r="AS68">
        <v>26.666667</v>
      </c>
      <c r="AT68">
        <v>39.423076999999999</v>
      </c>
      <c r="AU68">
        <v>31.034483000000002</v>
      </c>
      <c r="AV68">
        <v>40</v>
      </c>
      <c r="AW68">
        <v>27.058824000000001</v>
      </c>
    </row>
    <row r="69" spans="1:769" x14ac:dyDescent="0.25">
      <c r="A69" t="s">
        <v>119</v>
      </c>
      <c r="B69">
        <v>2344.1558439999999</v>
      </c>
      <c r="C69">
        <v>2816</v>
      </c>
      <c r="D69">
        <v>3510.6382979999998</v>
      </c>
      <c r="E69">
        <v>3351.3513509999998</v>
      </c>
      <c r="F69">
        <v>1209.8214290000001</v>
      </c>
      <c r="G69">
        <v>2621.9512199999999</v>
      </c>
      <c r="H69">
        <v>915.03268000000003</v>
      </c>
      <c r="I69">
        <v>2976.047904</v>
      </c>
      <c r="J69">
        <v>741.29353200000003</v>
      </c>
      <c r="K69">
        <v>1031.25</v>
      </c>
      <c r="L69">
        <v>1373.333333</v>
      </c>
      <c r="M69">
        <v>1195.1219510000001</v>
      </c>
      <c r="N69">
        <v>1348.837209</v>
      </c>
      <c r="O69">
        <v>1019.607843</v>
      </c>
      <c r="P69">
        <v>1033.057851</v>
      </c>
      <c r="Q69">
        <v>37.313433000000003</v>
      </c>
      <c r="R69">
        <v>3182.6086959999998</v>
      </c>
      <c r="S69">
        <v>1246.1538459999999</v>
      </c>
      <c r="T69">
        <v>3721.5189869999999</v>
      </c>
      <c r="U69">
        <v>3265.0602410000001</v>
      </c>
      <c r="V69">
        <v>3326.086957</v>
      </c>
      <c r="W69">
        <v>4012.1951220000001</v>
      </c>
      <c r="X69">
        <v>3556.818182</v>
      </c>
      <c r="Y69">
        <v>4079.710145</v>
      </c>
      <c r="Z69">
        <v>2610.7382550000002</v>
      </c>
      <c r="AA69">
        <v>910.44776100000001</v>
      </c>
      <c r="AB69">
        <v>1934.42623</v>
      </c>
      <c r="AC69">
        <v>2276.7857140000001</v>
      </c>
      <c r="AD69">
        <v>888.05970100000002</v>
      </c>
      <c r="AE69">
        <v>2365.2173910000001</v>
      </c>
      <c r="AF69">
        <v>2583.333333</v>
      </c>
      <c r="AG69">
        <v>1915.6626510000001</v>
      </c>
      <c r="AH69">
        <v>1424.6575339999999</v>
      </c>
      <c r="AI69">
        <v>901.51515199999994</v>
      </c>
      <c r="AJ69">
        <v>1454.5454549999999</v>
      </c>
      <c r="AK69">
        <v>1403.2258059999999</v>
      </c>
      <c r="AL69">
        <v>554.621849</v>
      </c>
      <c r="AM69">
        <v>527.27272700000003</v>
      </c>
      <c r="AN69">
        <v>72.916667000000004</v>
      </c>
      <c r="AO69">
        <v>762.5</v>
      </c>
      <c r="AP69">
        <v>785.71428600000002</v>
      </c>
      <c r="AQ69">
        <v>1125.748503</v>
      </c>
      <c r="AR69">
        <v>750</v>
      </c>
      <c r="AS69">
        <v>555.55555600000002</v>
      </c>
      <c r="AT69">
        <v>461.53846199999998</v>
      </c>
      <c r="AU69">
        <v>956.89655200000004</v>
      </c>
      <c r="AV69">
        <v>610</v>
      </c>
      <c r="AW69">
        <v>429.411765</v>
      </c>
    </row>
    <row r="70" spans="1:769" x14ac:dyDescent="0.25">
      <c r="A70" t="s">
        <v>120</v>
      </c>
      <c r="B70">
        <v>12.5</v>
      </c>
      <c r="C70">
        <v>12.5</v>
      </c>
      <c r="D70">
        <v>14.5</v>
      </c>
      <c r="E70">
        <v>16.5</v>
      </c>
      <c r="F70">
        <v>60.5</v>
      </c>
      <c r="G70">
        <v>16.5</v>
      </c>
      <c r="H70">
        <v>78.5</v>
      </c>
      <c r="I70">
        <v>16.5</v>
      </c>
      <c r="J70">
        <v>16.5</v>
      </c>
      <c r="K70">
        <v>38.5</v>
      </c>
      <c r="L70">
        <v>56.5</v>
      </c>
      <c r="M70">
        <v>38.5</v>
      </c>
      <c r="N70">
        <v>34.5</v>
      </c>
      <c r="O70">
        <v>76.5</v>
      </c>
      <c r="P70">
        <v>38.5</v>
      </c>
      <c r="Q70">
        <v>68.5</v>
      </c>
      <c r="R70">
        <v>20.5</v>
      </c>
      <c r="S70">
        <v>16.5</v>
      </c>
      <c r="T70">
        <v>12.5</v>
      </c>
      <c r="U70">
        <v>11.5</v>
      </c>
      <c r="V70">
        <v>20.5</v>
      </c>
      <c r="W70">
        <v>16.5</v>
      </c>
      <c r="X70">
        <v>18.5</v>
      </c>
      <c r="Y70">
        <v>14.5</v>
      </c>
      <c r="Z70">
        <v>28.5</v>
      </c>
      <c r="AA70">
        <v>41.5</v>
      </c>
      <c r="AB70">
        <v>32.5</v>
      </c>
      <c r="AC70">
        <v>36.5</v>
      </c>
      <c r="AD70">
        <v>12.5</v>
      </c>
      <c r="AE70">
        <v>43.5</v>
      </c>
      <c r="AF70">
        <v>28.5</v>
      </c>
      <c r="AG70">
        <v>32.5</v>
      </c>
      <c r="AH70">
        <v>40.5</v>
      </c>
      <c r="AI70">
        <v>12.5</v>
      </c>
      <c r="AJ70">
        <v>43.5</v>
      </c>
      <c r="AK70">
        <v>70.5</v>
      </c>
      <c r="AL70">
        <v>54.5</v>
      </c>
      <c r="AM70">
        <v>29.5</v>
      </c>
      <c r="AN70">
        <v>94.5</v>
      </c>
      <c r="AO70">
        <v>24.5</v>
      </c>
      <c r="AP70">
        <v>48.5</v>
      </c>
      <c r="AQ70">
        <v>40.5</v>
      </c>
      <c r="AR70">
        <v>72.5</v>
      </c>
      <c r="AS70">
        <v>48.5</v>
      </c>
      <c r="AT70">
        <v>69.5</v>
      </c>
      <c r="AU70">
        <v>36.5</v>
      </c>
      <c r="AV70">
        <v>52.5</v>
      </c>
      <c r="AW70">
        <v>28.5</v>
      </c>
    </row>
    <row r="72" spans="1:769" x14ac:dyDescent="0.25">
      <c r="A72" t="s">
        <v>121</v>
      </c>
      <c r="B72" t="s">
        <v>122</v>
      </c>
      <c r="C72" t="s">
        <v>123</v>
      </c>
      <c r="D72" t="s">
        <v>124</v>
      </c>
      <c r="E72" t="s">
        <v>125</v>
      </c>
      <c r="F72" t="s">
        <v>126</v>
      </c>
      <c r="G72" t="s">
        <v>127</v>
      </c>
      <c r="H72" t="s">
        <v>128</v>
      </c>
      <c r="I72" t="s">
        <v>129</v>
      </c>
      <c r="J72" t="s">
        <v>130</v>
      </c>
      <c r="K72" t="s">
        <v>131</v>
      </c>
      <c r="L72" t="s">
        <v>132</v>
      </c>
      <c r="M72" t="s">
        <v>133</v>
      </c>
      <c r="N72" t="s">
        <v>134</v>
      </c>
      <c r="O72" t="s">
        <v>135</v>
      </c>
      <c r="P72" t="s">
        <v>136</v>
      </c>
      <c r="Q72" t="s">
        <v>137</v>
      </c>
      <c r="R72" t="s">
        <v>138</v>
      </c>
      <c r="S72" t="s">
        <v>139</v>
      </c>
      <c r="T72" t="s">
        <v>140</v>
      </c>
      <c r="U72" t="s">
        <v>141</v>
      </c>
      <c r="V72" t="s">
        <v>142</v>
      </c>
      <c r="W72" t="s">
        <v>143</v>
      </c>
      <c r="X72" t="s">
        <v>144</v>
      </c>
      <c r="Y72" t="s">
        <v>145</v>
      </c>
      <c r="Z72" t="s">
        <v>146</v>
      </c>
      <c r="AA72" t="s">
        <v>147</v>
      </c>
      <c r="AB72" t="s">
        <v>148</v>
      </c>
      <c r="AC72" t="s">
        <v>149</v>
      </c>
      <c r="AD72" t="s">
        <v>150</v>
      </c>
      <c r="AE72" t="s">
        <v>151</v>
      </c>
      <c r="AF72" t="s">
        <v>152</v>
      </c>
      <c r="AG72" t="s">
        <v>153</v>
      </c>
      <c r="AH72" t="s">
        <v>154</v>
      </c>
      <c r="AI72" t="s">
        <v>155</v>
      </c>
      <c r="AJ72" t="s">
        <v>156</v>
      </c>
      <c r="AK72" t="s">
        <v>157</v>
      </c>
      <c r="AL72" t="s">
        <v>158</v>
      </c>
      <c r="AM72" t="s">
        <v>159</v>
      </c>
      <c r="AN72" t="s">
        <v>160</v>
      </c>
      <c r="AO72" t="s">
        <v>161</v>
      </c>
      <c r="AP72" t="s">
        <v>162</v>
      </c>
      <c r="AQ72" t="s">
        <v>163</v>
      </c>
      <c r="AR72" t="s">
        <v>164</v>
      </c>
      <c r="AS72" t="s">
        <v>165</v>
      </c>
      <c r="AT72" t="s">
        <v>166</v>
      </c>
      <c r="AU72" t="s">
        <v>167</v>
      </c>
      <c r="AV72" t="s">
        <v>168</v>
      </c>
      <c r="AW72" t="s">
        <v>169</v>
      </c>
      <c r="AX72" t="s">
        <v>170</v>
      </c>
      <c r="AY72" t="s">
        <v>171</v>
      </c>
      <c r="AZ72" t="s">
        <v>172</v>
      </c>
      <c r="BA72" t="s">
        <v>173</v>
      </c>
      <c r="BB72" t="s">
        <v>174</v>
      </c>
      <c r="BC72" t="s">
        <v>175</v>
      </c>
      <c r="BD72" t="s">
        <v>176</v>
      </c>
      <c r="BE72" t="s">
        <v>177</v>
      </c>
      <c r="BF72" t="s">
        <v>178</v>
      </c>
      <c r="BG72" t="s">
        <v>179</v>
      </c>
      <c r="BH72" t="s">
        <v>180</v>
      </c>
      <c r="BI72" t="s">
        <v>181</v>
      </c>
      <c r="BJ72" t="s">
        <v>182</v>
      </c>
      <c r="BK72" t="s">
        <v>183</v>
      </c>
      <c r="BL72" t="s">
        <v>184</v>
      </c>
      <c r="BM72" t="s">
        <v>185</v>
      </c>
      <c r="BN72" t="s">
        <v>186</v>
      </c>
      <c r="BO72" t="s">
        <v>187</v>
      </c>
      <c r="BP72" t="s">
        <v>188</v>
      </c>
      <c r="BQ72" t="s">
        <v>189</v>
      </c>
      <c r="BR72" t="s">
        <v>190</v>
      </c>
      <c r="BS72" t="s">
        <v>191</v>
      </c>
      <c r="BT72" t="s">
        <v>192</v>
      </c>
      <c r="BU72" t="s">
        <v>193</v>
      </c>
      <c r="BV72" t="s">
        <v>194</v>
      </c>
      <c r="BW72" t="s">
        <v>195</v>
      </c>
      <c r="BX72" t="s">
        <v>196</v>
      </c>
      <c r="BY72" t="s">
        <v>197</v>
      </c>
      <c r="BZ72" t="s">
        <v>198</v>
      </c>
      <c r="CA72" t="s">
        <v>199</v>
      </c>
      <c r="CB72" t="s">
        <v>200</v>
      </c>
      <c r="CC72" t="s">
        <v>201</v>
      </c>
      <c r="CD72" t="s">
        <v>202</v>
      </c>
      <c r="CE72" t="s">
        <v>203</v>
      </c>
      <c r="CF72" t="s">
        <v>204</v>
      </c>
      <c r="CG72" t="s">
        <v>205</v>
      </c>
      <c r="CH72" t="s">
        <v>206</v>
      </c>
      <c r="CI72" t="s">
        <v>207</v>
      </c>
      <c r="CJ72" t="s">
        <v>208</v>
      </c>
      <c r="CK72" t="s">
        <v>209</v>
      </c>
      <c r="CL72" t="s">
        <v>210</v>
      </c>
      <c r="CM72" t="s">
        <v>211</v>
      </c>
      <c r="CN72" t="s">
        <v>212</v>
      </c>
      <c r="CO72" t="s">
        <v>213</v>
      </c>
      <c r="CP72" t="s">
        <v>214</v>
      </c>
      <c r="CQ72" t="s">
        <v>215</v>
      </c>
      <c r="CR72" t="s">
        <v>216</v>
      </c>
      <c r="CS72" t="s">
        <v>217</v>
      </c>
      <c r="CT72" t="s">
        <v>218</v>
      </c>
      <c r="CU72" t="s">
        <v>219</v>
      </c>
      <c r="CV72" t="s">
        <v>220</v>
      </c>
      <c r="CW72" t="s">
        <v>221</v>
      </c>
      <c r="CX72" t="s">
        <v>222</v>
      </c>
      <c r="CY72" t="s">
        <v>223</v>
      </c>
      <c r="CZ72" t="s">
        <v>224</v>
      </c>
      <c r="DA72" t="s">
        <v>225</v>
      </c>
      <c r="DB72" t="s">
        <v>226</v>
      </c>
      <c r="DC72" t="s">
        <v>227</v>
      </c>
      <c r="DD72" t="s">
        <v>228</v>
      </c>
      <c r="DE72" t="s">
        <v>229</v>
      </c>
      <c r="DF72" t="s">
        <v>230</v>
      </c>
      <c r="DG72" t="s">
        <v>231</v>
      </c>
      <c r="DH72" t="s">
        <v>232</v>
      </c>
      <c r="DI72" t="s">
        <v>233</v>
      </c>
      <c r="DJ72" t="s">
        <v>234</v>
      </c>
      <c r="DK72" t="s">
        <v>235</v>
      </c>
      <c r="DL72" t="s">
        <v>236</v>
      </c>
      <c r="DM72" t="s">
        <v>237</v>
      </c>
      <c r="DN72" t="s">
        <v>238</v>
      </c>
      <c r="DO72" t="s">
        <v>239</v>
      </c>
      <c r="DP72" t="s">
        <v>240</v>
      </c>
      <c r="DQ72" t="s">
        <v>241</v>
      </c>
      <c r="DR72" t="s">
        <v>242</v>
      </c>
      <c r="DS72" t="s">
        <v>243</v>
      </c>
      <c r="DT72" t="s">
        <v>244</v>
      </c>
      <c r="DU72" t="s">
        <v>245</v>
      </c>
      <c r="DV72" t="s">
        <v>246</v>
      </c>
      <c r="DW72" t="s">
        <v>247</v>
      </c>
      <c r="DX72" t="s">
        <v>248</v>
      </c>
      <c r="DY72" t="s">
        <v>249</v>
      </c>
      <c r="DZ72" t="s">
        <v>250</v>
      </c>
      <c r="EA72" t="s">
        <v>251</v>
      </c>
      <c r="EB72" t="s">
        <v>252</v>
      </c>
      <c r="EC72" t="s">
        <v>253</v>
      </c>
      <c r="ED72" t="s">
        <v>254</v>
      </c>
      <c r="EE72" t="s">
        <v>255</v>
      </c>
      <c r="EF72" t="s">
        <v>256</v>
      </c>
      <c r="EG72" t="s">
        <v>257</v>
      </c>
      <c r="EH72" t="s">
        <v>258</v>
      </c>
      <c r="EI72" t="s">
        <v>259</v>
      </c>
      <c r="EJ72" t="s">
        <v>260</v>
      </c>
      <c r="EK72" t="s">
        <v>261</v>
      </c>
      <c r="EL72" t="s">
        <v>262</v>
      </c>
      <c r="EM72" t="s">
        <v>263</v>
      </c>
      <c r="EN72" t="s">
        <v>264</v>
      </c>
      <c r="EO72" t="s">
        <v>265</v>
      </c>
      <c r="EP72" t="s">
        <v>266</v>
      </c>
      <c r="EQ72" t="s">
        <v>267</v>
      </c>
      <c r="ER72" t="s">
        <v>268</v>
      </c>
      <c r="ES72" t="s">
        <v>269</v>
      </c>
      <c r="ET72" t="s">
        <v>270</v>
      </c>
      <c r="EU72" t="s">
        <v>271</v>
      </c>
      <c r="EV72" t="s">
        <v>272</v>
      </c>
      <c r="EW72" t="s">
        <v>273</v>
      </c>
      <c r="EX72" t="s">
        <v>274</v>
      </c>
      <c r="EY72" t="s">
        <v>275</v>
      </c>
      <c r="EZ72" t="s">
        <v>276</v>
      </c>
      <c r="FA72" t="s">
        <v>277</v>
      </c>
      <c r="FB72" t="s">
        <v>278</v>
      </c>
      <c r="FC72" t="s">
        <v>279</v>
      </c>
      <c r="FD72" t="s">
        <v>280</v>
      </c>
      <c r="FE72" t="s">
        <v>281</v>
      </c>
      <c r="FF72" t="s">
        <v>282</v>
      </c>
      <c r="FG72" t="s">
        <v>283</v>
      </c>
      <c r="FH72" t="s">
        <v>284</v>
      </c>
      <c r="FI72" t="s">
        <v>285</v>
      </c>
      <c r="FJ72" t="s">
        <v>286</v>
      </c>
      <c r="FK72" t="s">
        <v>287</v>
      </c>
      <c r="FL72" t="s">
        <v>288</v>
      </c>
      <c r="FM72" t="s">
        <v>289</v>
      </c>
      <c r="FN72" t="s">
        <v>290</v>
      </c>
      <c r="FO72" t="s">
        <v>291</v>
      </c>
      <c r="FP72" t="s">
        <v>292</v>
      </c>
      <c r="FQ72" t="s">
        <v>293</v>
      </c>
      <c r="FR72" t="s">
        <v>294</v>
      </c>
      <c r="FS72" t="s">
        <v>295</v>
      </c>
      <c r="FT72" t="s">
        <v>296</v>
      </c>
      <c r="FU72" t="s">
        <v>297</v>
      </c>
      <c r="FV72" t="s">
        <v>298</v>
      </c>
      <c r="FW72" t="s">
        <v>299</v>
      </c>
      <c r="FX72" t="s">
        <v>300</v>
      </c>
      <c r="FY72" t="s">
        <v>301</v>
      </c>
      <c r="FZ72" t="s">
        <v>302</v>
      </c>
      <c r="GA72" t="s">
        <v>303</v>
      </c>
      <c r="GB72" t="s">
        <v>304</v>
      </c>
      <c r="GC72" t="s">
        <v>305</v>
      </c>
      <c r="GD72" t="s">
        <v>306</v>
      </c>
      <c r="GE72" t="s">
        <v>307</v>
      </c>
      <c r="GF72" t="s">
        <v>308</v>
      </c>
      <c r="GG72" t="s">
        <v>309</v>
      </c>
      <c r="GH72" t="s">
        <v>310</v>
      </c>
      <c r="GI72" t="s">
        <v>311</v>
      </c>
      <c r="GJ72" t="s">
        <v>312</v>
      </c>
      <c r="GK72" t="s">
        <v>313</v>
      </c>
      <c r="GL72" t="s">
        <v>314</v>
      </c>
      <c r="GM72" t="s">
        <v>315</v>
      </c>
      <c r="GN72" t="s">
        <v>316</v>
      </c>
      <c r="GO72" t="s">
        <v>317</v>
      </c>
      <c r="GP72" t="s">
        <v>318</v>
      </c>
      <c r="GQ72" t="s">
        <v>319</v>
      </c>
      <c r="GR72" t="s">
        <v>320</v>
      </c>
      <c r="GS72" t="s">
        <v>321</v>
      </c>
      <c r="GT72" t="s">
        <v>322</v>
      </c>
      <c r="GU72" t="s">
        <v>323</v>
      </c>
      <c r="GV72" t="s">
        <v>324</v>
      </c>
      <c r="GW72" t="s">
        <v>325</v>
      </c>
      <c r="GX72" t="s">
        <v>326</v>
      </c>
      <c r="GY72" t="s">
        <v>327</v>
      </c>
      <c r="GZ72" t="s">
        <v>328</v>
      </c>
      <c r="HA72" t="s">
        <v>329</v>
      </c>
      <c r="HB72" t="s">
        <v>330</v>
      </c>
      <c r="HC72" t="s">
        <v>331</v>
      </c>
      <c r="HD72" t="s">
        <v>332</v>
      </c>
      <c r="HE72" t="s">
        <v>333</v>
      </c>
      <c r="HF72" t="s">
        <v>334</v>
      </c>
      <c r="HG72" t="s">
        <v>335</v>
      </c>
      <c r="HH72" t="s">
        <v>336</v>
      </c>
      <c r="HI72" t="s">
        <v>337</v>
      </c>
      <c r="HJ72" t="s">
        <v>338</v>
      </c>
      <c r="HK72" t="s">
        <v>339</v>
      </c>
      <c r="HL72" t="s">
        <v>340</v>
      </c>
      <c r="HM72" t="s">
        <v>341</v>
      </c>
      <c r="HN72" t="s">
        <v>342</v>
      </c>
      <c r="HO72" t="s">
        <v>343</v>
      </c>
      <c r="HP72" t="s">
        <v>344</v>
      </c>
      <c r="HQ72" t="s">
        <v>345</v>
      </c>
      <c r="HR72" t="s">
        <v>346</v>
      </c>
      <c r="HS72" t="s">
        <v>347</v>
      </c>
      <c r="HT72" t="s">
        <v>348</v>
      </c>
      <c r="HU72" t="s">
        <v>349</v>
      </c>
      <c r="HV72" t="s">
        <v>350</v>
      </c>
      <c r="HW72" t="s">
        <v>351</v>
      </c>
      <c r="HX72" t="s">
        <v>352</v>
      </c>
      <c r="HY72" t="s">
        <v>353</v>
      </c>
      <c r="HZ72" t="s">
        <v>354</v>
      </c>
      <c r="IA72" t="s">
        <v>355</v>
      </c>
      <c r="IB72" t="s">
        <v>356</v>
      </c>
      <c r="IC72" t="s">
        <v>357</v>
      </c>
      <c r="ID72" t="s">
        <v>358</v>
      </c>
      <c r="IE72" t="s">
        <v>359</v>
      </c>
      <c r="IF72" t="s">
        <v>360</v>
      </c>
      <c r="IG72" t="s">
        <v>361</v>
      </c>
      <c r="IH72" t="s">
        <v>362</v>
      </c>
      <c r="II72" t="s">
        <v>363</v>
      </c>
      <c r="IJ72" t="s">
        <v>364</v>
      </c>
      <c r="IK72" t="s">
        <v>365</v>
      </c>
      <c r="IL72" t="s">
        <v>366</v>
      </c>
      <c r="IM72" t="s">
        <v>367</v>
      </c>
      <c r="IN72" t="s">
        <v>368</v>
      </c>
      <c r="IO72" t="s">
        <v>369</v>
      </c>
      <c r="IP72" t="s">
        <v>370</v>
      </c>
      <c r="IQ72" t="s">
        <v>371</v>
      </c>
      <c r="IR72" t="s">
        <v>372</v>
      </c>
      <c r="IS72" t="s">
        <v>373</v>
      </c>
      <c r="IT72" t="s">
        <v>374</v>
      </c>
      <c r="IU72" t="s">
        <v>375</v>
      </c>
      <c r="IV72" t="s">
        <v>376</v>
      </c>
      <c r="IW72" t="s">
        <v>377</v>
      </c>
      <c r="IX72" t="s">
        <v>378</v>
      </c>
      <c r="IY72" t="s">
        <v>379</v>
      </c>
      <c r="IZ72" t="s">
        <v>380</v>
      </c>
      <c r="JA72" t="s">
        <v>381</v>
      </c>
      <c r="JB72" t="s">
        <v>382</v>
      </c>
      <c r="JC72" t="s">
        <v>383</v>
      </c>
      <c r="JD72" t="s">
        <v>384</v>
      </c>
      <c r="JE72" t="s">
        <v>385</v>
      </c>
      <c r="JF72" t="s">
        <v>386</v>
      </c>
      <c r="JG72" t="s">
        <v>387</v>
      </c>
      <c r="JH72" t="s">
        <v>388</v>
      </c>
      <c r="JI72" t="s">
        <v>389</v>
      </c>
      <c r="JJ72" t="s">
        <v>390</v>
      </c>
      <c r="JK72" t="s">
        <v>391</v>
      </c>
      <c r="JL72" t="s">
        <v>392</v>
      </c>
      <c r="JM72" t="s">
        <v>393</v>
      </c>
      <c r="JN72" t="s">
        <v>394</v>
      </c>
      <c r="JO72" t="s">
        <v>395</v>
      </c>
      <c r="JP72" t="s">
        <v>396</v>
      </c>
      <c r="JQ72" t="s">
        <v>397</v>
      </c>
      <c r="JR72" t="s">
        <v>398</v>
      </c>
      <c r="JS72" t="s">
        <v>399</v>
      </c>
      <c r="JT72" t="s">
        <v>400</v>
      </c>
      <c r="JU72" t="s">
        <v>401</v>
      </c>
      <c r="JV72" t="s">
        <v>402</v>
      </c>
      <c r="JW72" t="s">
        <v>403</v>
      </c>
      <c r="JX72" t="s">
        <v>404</v>
      </c>
      <c r="JY72" t="s">
        <v>405</v>
      </c>
      <c r="JZ72" t="s">
        <v>406</v>
      </c>
      <c r="KA72" t="s">
        <v>407</v>
      </c>
      <c r="KB72" t="s">
        <v>408</v>
      </c>
      <c r="KC72" t="s">
        <v>409</v>
      </c>
      <c r="KD72" t="s">
        <v>410</v>
      </c>
      <c r="KE72" t="s">
        <v>411</v>
      </c>
      <c r="KF72" t="s">
        <v>412</v>
      </c>
      <c r="KG72" t="s">
        <v>413</v>
      </c>
      <c r="KH72" t="s">
        <v>414</v>
      </c>
      <c r="KI72" t="s">
        <v>415</v>
      </c>
      <c r="KJ72" t="s">
        <v>416</v>
      </c>
      <c r="KK72" t="s">
        <v>417</v>
      </c>
      <c r="KL72" t="s">
        <v>418</v>
      </c>
      <c r="KM72" t="s">
        <v>419</v>
      </c>
      <c r="KN72" t="s">
        <v>420</v>
      </c>
      <c r="KO72" t="s">
        <v>421</v>
      </c>
      <c r="KP72" t="s">
        <v>422</v>
      </c>
      <c r="KQ72" t="s">
        <v>423</v>
      </c>
      <c r="KR72" t="s">
        <v>424</v>
      </c>
      <c r="KS72" t="s">
        <v>425</v>
      </c>
      <c r="KT72" t="s">
        <v>426</v>
      </c>
      <c r="KU72" t="s">
        <v>427</v>
      </c>
      <c r="KV72" t="s">
        <v>428</v>
      </c>
      <c r="KW72" t="s">
        <v>429</v>
      </c>
      <c r="KX72" t="s">
        <v>430</v>
      </c>
      <c r="KY72" t="s">
        <v>431</v>
      </c>
      <c r="KZ72" t="s">
        <v>432</v>
      </c>
      <c r="LA72" t="s">
        <v>433</v>
      </c>
      <c r="LB72" t="s">
        <v>434</v>
      </c>
      <c r="LC72" t="s">
        <v>435</v>
      </c>
      <c r="LD72" t="s">
        <v>436</v>
      </c>
      <c r="LE72" t="s">
        <v>437</v>
      </c>
      <c r="LF72" t="s">
        <v>438</v>
      </c>
      <c r="LG72" t="s">
        <v>439</v>
      </c>
      <c r="LH72" t="s">
        <v>440</v>
      </c>
      <c r="LI72" t="s">
        <v>441</v>
      </c>
      <c r="LJ72" t="s">
        <v>442</v>
      </c>
      <c r="LK72" t="s">
        <v>443</v>
      </c>
      <c r="LL72" t="s">
        <v>444</v>
      </c>
      <c r="LM72" t="s">
        <v>445</v>
      </c>
      <c r="LN72" t="s">
        <v>446</v>
      </c>
      <c r="LO72" t="s">
        <v>447</v>
      </c>
      <c r="LP72" t="s">
        <v>448</v>
      </c>
      <c r="LQ72" t="s">
        <v>449</v>
      </c>
      <c r="LR72" t="s">
        <v>450</v>
      </c>
      <c r="LS72" t="s">
        <v>451</v>
      </c>
      <c r="LT72" t="s">
        <v>452</v>
      </c>
      <c r="LU72" t="s">
        <v>453</v>
      </c>
      <c r="LV72" t="s">
        <v>454</v>
      </c>
      <c r="LW72" t="s">
        <v>455</v>
      </c>
      <c r="LX72" t="s">
        <v>456</v>
      </c>
      <c r="LY72" t="s">
        <v>457</v>
      </c>
      <c r="LZ72" t="s">
        <v>458</v>
      </c>
      <c r="MA72" t="s">
        <v>459</v>
      </c>
      <c r="MB72" t="s">
        <v>460</v>
      </c>
      <c r="MC72" t="s">
        <v>461</v>
      </c>
      <c r="MD72" t="s">
        <v>462</v>
      </c>
      <c r="ME72" t="s">
        <v>463</v>
      </c>
      <c r="MF72" t="s">
        <v>464</v>
      </c>
      <c r="MG72" t="s">
        <v>465</v>
      </c>
      <c r="MH72" t="s">
        <v>466</v>
      </c>
      <c r="MI72" t="s">
        <v>467</v>
      </c>
      <c r="MJ72" t="s">
        <v>468</v>
      </c>
      <c r="MK72" t="s">
        <v>469</v>
      </c>
      <c r="ML72" t="s">
        <v>470</v>
      </c>
      <c r="MM72" t="s">
        <v>471</v>
      </c>
      <c r="MN72" t="s">
        <v>472</v>
      </c>
      <c r="MO72" t="s">
        <v>473</v>
      </c>
      <c r="MP72" t="s">
        <v>474</v>
      </c>
      <c r="MQ72" t="s">
        <v>475</v>
      </c>
      <c r="MR72" t="s">
        <v>476</v>
      </c>
      <c r="MS72" t="s">
        <v>477</v>
      </c>
      <c r="MT72" t="s">
        <v>478</v>
      </c>
      <c r="MU72" t="s">
        <v>479</v>
      </c>
      <c r="MV72" t="s">
        <v>480</v>
      </c>
      <c r="MW72" t="s">
        <v>481</v>
      </c>
      <c r="MX72" t="s">
        <v>482</v>
      </c>
      <c r="MY72" t="s">
        <v>483</v>
      </c>
      <c r="MZ72" t="s">
        <v>484</v>
      </c>
      <c r="NA72" t="s">
        <v>485</v>
      </c>
      <c r="NB72" t="s">
        <v>486</v>
      </c>
      <c r="NC72" t="s">
        <v>487</v>
      </c>
      <c r="ND72" t="s">
        <v>488</v>
      </c>
      <c r="NE72" t="s">
        <v>489</v>
      </c>
      <c r="NF72" t="s">
        <v>490</v>
      </c>
      <c r="NG72" t="s">
        <v>491</v>
      </c>
      <c r="NH72" t="s">
        <v>492</v>
      </c>
      <c r="NI72" t="s">
        <v>493</v>
      </c>
      <c r="NJ72" t="s">
        <v>494</v>
      </c>
      <c r="NK72" t="s">
        <v>495</v>
      </c>
      <c r="NL72" t="s">
        <v>496</v>
      </c>
      <c r="NM72" t="s">
        <v>497</v>
      </c>
      <c r="NN72" t="s">
        <v>498</v>
      </c>
      <c r="NO72" t="s">
        <v>499</v>
      </c>
      <c r="NP72" t="s">
        <v>500</v>
      </c>
      <c r="NQ72" t="s">
        <v>501</v>
      </c>
      <c r="NR72" t="s">
        <v>502</v>
      </c>
      <c r="NS72" t="s">
        <v>503</v>
      </c>
      <c r="NT72" t="s">
        <v>504</v>
      </c>
      <c r="NU72" t="s">
        <v>505</v>
      </c>
      <c r="NV72" t="s">
        <v>506</v>
      </c>
      <c r="NW72" t="s">
        <v>507</v>
      </c>
      <c r="NX72" t="s">
        <v>508</v>
      </c>
      <c r="NY72" t="s">
        <v>509</v>
      </c>
      <c r="NZ72" t="s">
        <v>510</v>
      </c>
      <c r="OA72" t="s">
        <v>511</v>
      </c>
      <c r="OB72" t="s">
        <v>512</v>
      </c>
      <c r="OC72" t="s">
        <v>513</v>
      </c>
      <c r="OD72" t="s">
        <v>514</v>
      </c>
      <c r="OE72" t="s">
        <v>515</v>
      </c>
      <c r="OF72" t="s">
        <v>516</v>
      </c>
      <c r="OG72" t="s">
        <v>517</v>
      </c>
      <c r="OH72" t="s">
        <v>518</v>
      </c>
      <c r="OI72" t="s">
        <v>519</v>
      </c>
      <c r="OJ72" t="s">
        <v>520</v>
      </c>
      <c r="OK72" t="s">
        <v>521</v>
      </c>
      <c r="OL72" t="s">
        <v>522</v>
      </c>
      <c r="OM72" t="s">
        <v>523</v>
      </c>
      <c r="ON72" t="s">
        <v>524</v>
      </c>
      <c r="OO72" t="s">
        <v>525</v>
      </c>
      <c r="OP72" t="s">
        <v>526</v>
      </c>
      <c r="OQ72" t="s">
        <v>527</v>
      </c>
      <c r="OR72" t="s">
        <v>528</v>
      </c>
      <c r="OS72" t="s">
        <v>529</v>
      </c>
      <c r="OT72" t="s">
        <v>530</v>
      </c>
      <c r="OU72" t="s">
        <v>531</v>
      </c>
      <c r="OV72" t="s">
        <v>532</v>
      </c>
      <c r="OW72" t="s">
        <v>533</v>
      </c>
      <c r="OX72" t="s">
        <v>534</v>
      </c>
      <c r="OY72" t="s">
        <v>535</v>
      </c>
      <c r="OZ72" t="s">
        <v>536</v>
      </c>
      <c r="PA72" t="s">
        <v>537</v>
      </c>
      <c r="PB72" t="s">
        <v>538</v>
      </c>
      <c r="PC72" t="s">
        <v>539</v>
      </c>
      <c r="PD72" t="s">
        <v>540</v>
      </c>
      <c r="PE72" t="s">
        <v>541</v>
      </c>
      <c r="PF72" t="s">
        <v>542</v>
      </c>
      <c r="PG72" t="s">
        <v>543</v>
      </c>
      <c r="PH72" t="s">
        <v>544</v>
      </c>
      <c r="PI72" t="s">
        <v>545</v>
      </c>
      <c r="PJ72" t="s">
        <v>546</v>
      </c>
      <c r="PK72" t="s">
        <v>547</v>
      </c>
      <c r="PL72" t="s">
        <v>548</v>
      </c>
      <c r="PM72" t="s">
        <v>549</v>
      </c>
      <c r="PN72" t="s">
        <v>550</v>
      </c>
      <c r="PO72" t="s">
        <v>551</v>
      </c>
      <c r="PP72" t="s">
        <v>552</v>
      </c>
      <c r="PQ72" t="s">
        <v>553</v>
      </c>
      <c r="PR72" t="s">
        <v>554</v>
      </c>
      <c r="PS72" t="s">
        <v>555</v>
      </c>
      <c r="PT72" t="s">
        <v>556</v>
      </c>
      <c r="PU72" t="s">
        <v>557</v>
      </c>
      <c r="PV72" t="s">
        <v>558</v>
      </c>
      <c r="PW72" t="s">
        <v>559</v>
      </c>
      <c r="PX72" t="s">
        <v>560</v>
      </c>
      <c r="PY72" t="s">
        <v>561</v>
      </c>
      <c r="PZ72" t="s">
        <v>562</v>
      </c>
      <c r="QA72" t="s">
        <v>563</v>
      </c>
      <c r="QB72" t="s">
        <v>564</v>
      </c>
      <c r="QC72" t="s">
        <v>565</v>
      </c>
      <c r="QD72" t="s">
        <v>566</v>
      </c>
      <c r="QE72" t="s">
        <v>567</v>
      </c>
      <c r="QF72" t="s">
        <v>568</v>
      </c>
      <c r="QG72" t="s">
        <v>569</v>
      </c>
      <c r="QH72" t="s">
        <v>570</v>
      </c>
      <c r="QI72" t="s">
        <v>571</v>
      </c>
      <c r="QJ72" t="s">
        <v>572</v>
      </c>
      <c r="QK72" t="s">
        <v>573</v>
      </c>
      <c r="QL72" t="s">
        <v>574</v>
      </c>
      <c r="QM72" t="s">
        <v>575</v>
      </c>
      <c r="QN72" t="s">
        <v>576</v>
      </c>
      <c r="QO72" t="s">
        <v>577</v>
      </c>
      <c r="QP72" t="s">
        <v>578</v>
      </c>
      <c r="QQ72" t="s">
        <v>579</v>
      </c>
      <c r="QR72" t="s">
        <v>580</v>
      </c>
      <c r="QS72" t="s">
        <v>581</v>
      </c>
      <c r="QT72" t="s">
        <v>582</v>
      </c>
      <c r="QU72" t="s">
        <v>583</v>
      </c>
      <c r="QV72" t="s">
        <v>584</v>
      </c>
      <c r="QW72" t="s">
        <v>585</v>
      </c>
      <c r="QX72" t="s">
        <v>586</v>
      </c>
      <c r="QY72" t="s">
        <v>587</v>
      </c>
      <c r="QZ72" t="s">
        <v>588</v>
      </c>
      <c r="RA72" t="s">
        <v>589</v>
      </c>
      <c r="RB72" t="s">
        <v>590</v>
      </c>
      <c r="RC72" t="s">
        <v>591</v>
      </c>
      <c r="RD72" t="s">
        <v>592</v>
      </c>
      <c r="RE72" t="s">
        <v>593</v>
      </c>
      <c r="RF72" t="s">
        <v>594</v>
      </c>
      <c r="RG72" t="s">
        <v>595</v>
      </c>
      <c r="RH72" t="s">
        <v>596</v>
      </c>
      <c r="RI72" t="s">
        <v>597</v>
      </c>
      <c r="RJ72" t="s">
        <v>598</v>
      </c>
      <c r="RK72" t="s">
        <v>599</v>
      </c>
      <c r="RL72" t="s">
        <v>600</v>
      </c>
      <c r="RM72" t="s">
        <v>601</v>
      </c>
      <c r="RN72" t="s">
        <v>602</v>
      </c>
      <c r="RO72" t="s">
        <v>603</v>
      </c>
      <c r="RP72" t="s">
        <v>604</v>
      </c>
      <c r="RQ72" t="s">
        <v>605</v>
      </c>
      <c r="RR72" t="s">
        <v>606</v>
      </c>
      <c r="RS72" t="s">
        <v>607</v>
      </c>
      <c r="RT72" t="s">
        <v>608</v>
      </c>
      <c r="RU72" t="s">
        <v>609</v>
      </c>
      <c r="RV72" t="s">
        <v>610</v>
      </c>
      <c r="RW72" t="s">
        <v>611</v>
      </c>
      <c r="RX72" t="s">
        <v>612</v>
      </c>
      <c r="RY72" t="s">
        <v>613</v>
      </c>
      <c r="RZ72" t="s">
        <v>614</v>
      </c>
      <c r="SA72" t="s">
        <v>615</v>
      </c>
      <c r="SB72" t="s">
        <v>616</v>
      </c>
      <c r="SC72" t="s">
        <v>617</v>
      </c>
      <c r="SD72" t="s">
        <v>618</v>
      </c>
      <c r="SE72" t="s">
        <v>619</v>
      </c>
      <c r="SF72" t="s">
        <v>620</v>
      </c>
      <c r="SG72" t="s">
        <v>621</v>
      </c>
      <c r="SH72" t="s">
        <v>622</v>
      </c>
      <c r="SI72" t="s">
        <v>623</v>
      </c>
      <c r="SJ72" t="s">
        <v>624</v>
      </c>
      <c r="SK72" t="s">
        <v>625</v>
      </c>
      <c r="SL72" t="s">
        <v>626</v>
      </c>
      <c r="SM72" t="s">
        <v>627</v>
      </c>
      <c r="SN72" t="s">
        <v>628</v>
      </c>
      <c r="SO72" t="s">
        <v>629</v>
      </c>
      <c r="SP72" t="s">
        <v>630</v>
      </c>
      <c r="SQ72" t="s">
        <v>631</v>
      </c>
      <c r="SR72" t="s">
        <v>632</v>
      </c>
      <c r="SS72" t="s">
        <v>633</v>
      </c>
      <c r="ST72" t="s">
        <v>634</v>
      </c>
      <c r="SU72" t="s">
        <v>635</v>
      </c>
      <c r="SV72" t="s">
        <v>636</v>
      </c>
      <c r="SW72" t="s">
        <v>637</v>
      </c>
      <c r="SX72" t="s">
        <v>638</v>
      </c>
      <c r="SY72" t="s">
        <v>639</v>
      </c>
      <c r="SZ72" t="s">
        <v>640</v>
      </c>
      <c r="TA72" t="s">
        <v>641</v>
      </c>
      <c r="TB72" t="s">
        <v>642</v>
      </c>
      <c r="TC72" t="s">
        <v>643</v>
      </c>
      <c r="TD72" t="s">
        <v>644</v>
      </c>
      <c r="TE72" t="s">
        <v>645</v>
      </c>
      <c r="TF72" t="s">
        <v>646</v>
      </c>
      <c r="TG72" t="s">
        <v>647</v>
      </c>
      <c r="TH72" t="s">
        <v>648</v>
      </c>
      <c r="TI72" t="s">
        <v>649</v>
      </c>
      <c r="TJ72" t="s">
        <v>650</v>
      </c>
      <c r="TK72" t="s">
        <v>651</v>
      </c>
      <c r="TL72" t="s">
        <v>652</v>
      </c>
      <c r="TM72" t="s">
        <v>653</v>
      </c>
      <c r="TN72" t="s">
        <v>654</v>
      </c>
      <c r="TO72" t="s">
        <v>655</v>
      </c>
      <c r="TP72" t="s">
        <v>656</v>
      </c>
      <c r="TQ72" t="s">
        <v>657</v>
      </c>
      <c r="TR72" t="s">
        <v>658</v>
      </c>
      <c r="TS72" t="s">
        <v>659</v>
      </c>
      <c r="TT72" t="s">
        <v>660</v>
      </c>
      <c r="TU72" t="s">
        <v>661</v>
      </c>
      <c r="TV72" t="s">
        <v>662</v>
      </c>
      <c r="TW72" t="s">
        <v>663</v>
      </c>
      <c r="TX72" t="s">
        <v>664</v>
      </c>
      <c r="TY72" t="s">
        <v>665</v>
      </c>
      <c r="TZ72" t="s">
        <v>666</v>
      </c>
      <c r="UA72" t="s">
        <v>667</v>
      </c>
      <c r="UB72" t="s">
        <v>668</v>
      </c>
      <c r="UC72" t="s">
        <v>669</v>
      </c>
      <c r="UD72" t="s">
        <v>670</v>
      </c>
      <c r="UE72" t="s">
        <v>671</v>
      </c>
      <c r="UF72" t="s">
        <v>672</v>
      </c>
      <c r="UG72" t="s">
        <v>673</v>
      </c>
      <c r="UH72" t="s">
        <v>674</v>
      </c>
      <c r="UI72" t="s">
        <v>675</v>
      </c>
      <c r="UJ72" t="s">
        <v>676</v>
      </c>
      <c r="UK72" t="s">
        <v>677</v>
      </c>
      <c r="UL72" t="s">
        <v>678</v>
      </c>
      <c r="UM72" t="s">
        <v>679</v>
      </c>
      <c r="UN72" t="s">
        <v>680</v>
      </c>
      <c r="UO72" t="s">
        <v>681</v>
      </c>
      <c r="UP72" t="s">
        <v>682</v>
      </c>
      <c r="UQ72" t="s">
        <v>683</v>
      </c>
      <c r="UR72" t="s">
        <v>684</v>
      </c>
      <c r="US72" t="s">
        <v>685</v>
      </c>
      <c r="UT72" t="s">
        <v>686</v>
      </c>
      <c r="UU72" t="s">
        <v>687</v>
      </c>
      <c r="UV72" t="s">
        <v>688</v>
      </c>
      <c r="UW72" t="s">
        <v>689</v>
      </c>
      <c r="UX72" t="s">
        <v>690</v>
      </c>
      <c r="UY72" t="s">
        <v>691</v>
      </c>
      <c r="UZ72" t="s">
        <v>692</v>
      </c>
      <c r="VA72" t="s">
        <v>693</v>
      </c>
      <c r="VB72" t="s">
        <v>694</v>
      </c>
      <c r="VC72" t="s">
        <v>695</v>
      </c>
      <c r="VD72" t="s">
        <v>696</v>
      </c>
      <c r="VE72" t="s">
        <v>697</v>
      </c>
      <c r="VF72" t="s">
        <v>698</v>
      </c>
      <c r="VG72" t="s">
        <v>699</v>
      </c>
      <c r="VH72" t="s">
        <v>700</v>
      </c>
      <c r="VI72" t="s">
        <v>701</v>
      </c>
      <c r="VJ72" t="s">
        <v>702</v>
      </c>
      <c r="VK72" t="s">
        <v>703</v>
      </c>
      <c r="VL72" t="s">
        <v>704</v>
      </c>
      <c r="VM72" t="s">
        <v>705</v>
      </c>
      <c r="VN72" t="s">
        <v>706</v>
      </c>
      <c r="VO72" t="s">
        <v>707</v>
      </c>
      <c r="VP72" t="s">
        <v>708</v>
      </c>
      <c r="VQ72" t="s">
        <v>709</v>
      </c>
      <c r="VR72" t="s">
        <v>710</v>
      </c>
      <c r="VS72" t="s">
        <v>711</v>
      </c>
      <c r="VT72" t="s">
        <v>712</v>
      </c>
      <c r="VU72" t="s">
        <v>713</v>
      </c>
      <c r="VV72" t="s">
        <v>714</v>
      </c>
      <c r="VW72" t="s">
        <v>715</v>
      </c>
      <c r="VX72" t="s">
        <v>716</v>
      </c>
      <c r="VY72" t="s">
        <v>717</v>
      </c>
      <c r="VZ72" t="s">
        <v>718</v>
      </c>
      <c r="WA72" t="s">
        <v>719</v>
      </c>
      <c r="WB72" t="s">
        <v>720</v>
      </c>
      <c r="WC72" t="s">
        <v>721</v>
      </c>
      <c r="WD72" t="s">
        <v>722</v>
      </c>
      <c r="WE72" t="s">
        <v>723</v>
      </c>
      <c r="WF72" t="s">
        <v>724</v>
      </c>
      <c r="WG72" t="s">
        <v>725</v>
      </c>
      <c r="WH72" t="s">
        <v>726</v>
      </c>
      <c r="WI72" t="s">
        <v>727</v>
      </c>
      <c r="WJ72" t="s">
        <v>728</v>
      </c>
      <c r="WK72" t="s">
        <v>729</v>
      </c>
      <c r="WL72" t="s">
        <v>730</v>
      </c>
      <c r="WM72" t="s">
        <v>731</v>
      </c>
      <c r="WN72" t="s">
        <v>732</v>
      </c>
      <c r="WO72" t="s">
        <v>733</v>
      </c>
      <c r="WP72" t="s">
        <v>734</v>
      </c>
      <c r="WQ72" t="s">
        <v>735</v>
      </c>
      <c r="WR72" t="s">
        <v>736</v>
      </c>
      <c r="WS72" t="s">
        <v>737</v>
      </c>
      <c r="WT72" t="s">
        <v>738</v>
      </c>
      <c r="WU72" t="s">
        <v>739</v>
      </c>
      <c r="WV72" t="s">
        <v>740</v>
      </c>
      <c r="WW72" t="s">
        <v>741</v>
      </c>
      <c r="WX72" t="s">
        <v>742</v>
      </c>
      <c r="WY72" t="s">
        <v>743</v>
      </c>
      <c r="WZ72" t="s">
        <v>744</v>
      </c>
      <c r="XA72" t="s">
        <v>745</v>
      </c>
      <c r="XB72" t="s">
        <v>746</v>
      </c>
      <c r="XC72" t="s">
        <v>747</v>
      </c>
      <c r="XD72" t="s">
        <v>748</v>
      </c>
      <c r="XE72" t="s">
        <v>749</v>
      </c>
      <c r="XF72" t="s">
        <v>750</v>
      </c>
      <c r="XG72" t="s">
        <v>751</v>
      </c>
      <c r="XH72" t="s">
        <v>752</v>
      </c>
      <c r="XI72" t="s">
        <v>753</v>
      </c>
      <c r="XJ72" t="s">
        <v>754</v>
      </c>
      <c r="XK72" t="s">
        <v>755</v>
      </c>
      <c r="XL72" t="s">
        <v>756</v>
      </c>
      <c r="XM72" t="s">
        <v>757</v>
      </c>
      <c r="XN72" t="s">
        <v>758</v>
      </c>
      <c r="XO72" t="s">
        <v>759</v>
      </c>
      <c r="XP72" t="s">
        <v>760</v>
      </c>
      <c r="XQ72" t="s">
        <v>761</v>
      </c>
      <c r="XR72" t="s">
        <v>762</v>
      </c>
      <c r="XS72" t="s">
        <v>763</v>
      </c>
      <c r="XT72" t="s">
        <v>764</v>
      </c>
      <c r="XU72" t="s">
        <v>765</v>
      </c>
      <c r="XV72" t="s">
        <v>766</v>
      </c>
      <c r="XW72" t="s">
        <v>767</v>
      </c>
      <c r="XX72" t="s">
        <v>768</v>
      </c>
      <c r="XY72" t="s">
        <v>769</v>
      </c>
      <c r="XZ72" t="s">
        <v>770</v>
      </c>
      <c r="YA72" t="s">
        <v>771</v>
      </c>
      <c r="YB72" t="s">
        <v>772</v>
      </c>
      <c r="YC72" t="s">
        <v>773</v>
      </c>
      <c r="YD72" t="s">
        <v>774</v>
      </c>
      <c r="YE72" t="s">
        <v>775</v>
      </c>
      <c r="YF72" t="s">
        <v>776</v>
      </c>
      <c r="YG72" t="s">
        <v>777</v>
      </c>
      <c r="YH72" t="s">
        <v>778</v>
      </c>
      <c r="YI72" t="s">
        <v>779</v>
      </c>
      <c r="YJ72" t="s">
        <v>780</v>
      </c>
      <c r="YK72" t="s">
        <v>781</v>
      </c>
      <c r="YL72" t="s">
        <v>782</v>
      </c>
      <c r="YM72" t="s">
        <v>783</v>
      </c>
      <c r="YN72" t="s">
        <v>784</v>
      </c>
      <c r="YO72" t="s">
        <v>785</v>
      </c>
      <c r="YP72" t="s">
        <v>786</v>
      </c>
      <c r="YQ72" t="s">
        <v>787</v>
      </c>
      <c r="YR72" t="s">
        <v>788</v>
      </c>
      <c r="YS72" t="s">
        <v>789</v>
      </c>
      <c r="YT72" t="s">
        <v>790</v>
      </c>
      <c r="YU72" t="s">
        <v>791</v>
      </c>
      <c r="YV72" t="s">
        <v>792</v>
      </c>
      <c r="YW72" t="s">
        <v>793</v>
      </c>
      <c r="YX72" t="s">
        <v>794</v>
      </c>
      <c r="YY72" t="s">
        <v>795</v>
      </c>
      <c r="YZ72" t="s">
        <v>796</v>
      </c>
      <c r="ZA72" t="s">
        <v>797</v>
      </c>
      <c r="ZB72" t="s">
        <v>798</v>
      </c>
      <c r="ZC72" t="s">
        <v>799</v>
      </c>
      <c r="ZD72" t="s">
        <v>800</v>
      </c>
      <c r="ZE72" t="s">
        <v>801</v>
      </c>
      <c r="ZF72" t="s">
        <v>802</v>
      </c>
      <c r="ZG72" t="s">
        <v>803</v>
      </c>
      <c r="ZH72" t="s">
        <v>804</v>
      </c>
      <c r="ZI72" t="s">
        <v>805</v>
      </c>
      <c r="ZJ72" t="s">
        <v>806</v>
      </c>
      <c r="ZK72" t="s">
        <v>807</v>
      </c>
      <c r="ZL72" t="s">
        <v>808</v>
      </c>
      <c r="ZM72" t="s">
        <v>809</v>
      </c>
      <c r="ZN72" t="s">
        <v>810</v>
      </c>
      <c r="ZO72" t="s">
        <v>811</v>
      </c>
      <c r="ZP72" t="s">
        <v>812</v>
      </c>
      <c r="ZQ72" t="s">
        <v>813</v>
      </c>
      <c r="ZR72" t="s">
        <v>814</v>
      </c>
      <c r="ZS72" t="s">
        <v>815</v>
      </c>
      <c r="ZT72" t="s">
        <v>816</v>
      </c>
      <c r="ZU72" t="s">
        <v>817</v>
      </c>
      <c r="ZV72" t="s">
        <v>818</v>
      </c>
      <c r="ZW72" t="s">
        <v>819</v>
      </c>
      <c r="ZX72" t="s">
        <v>820</v>
      </c>
      <c r="ZY72" t="s">
        <v>821</v>
      </c>
      <c r="ZZ72" t="s">
        <v>822</v>
      </c>
      <c r="AAA72" t="s">
        <v>823</v>
      </c>
      <c r="AAB72" t="s">
        <v>824</v>
      </c>
      <c r="AAC72" t="s">
        <v>825</v>
      </c>
      <c r="AAD72" t="s">
        <v>826</v>
      </c>
      <c r="AAE72" t="s">
        <v>827</v>
      </c>
      <c r="AAF72" t="s">
        <v>828</v>
      </c>
      <c r="AAG72" t="s">
        <v>829</v>
      </c>
      <c r="AAH72" t="s">
        <v>830</v>
      </c>
      <c r="AAI72" t="s">
        <v>831</v>
      </c>
      <c r="AAJ72" t="s">
        <v>832</v>
      </c>
      <c r="AAK72" t="s">
        <v>833</v>
      </c>
      <c r="AAL72" t="s">
        <v>834</v>
      </c>
      <c r="AAM72" t="s">
        <v>835</v>
      </c>
      <c r="AAN72" t="s">
        <v>836</v>
      </c>
      <c r="AAO72" t="s">
        <v>837</v>
      </c>
      <c r="AAP72" t="s">
        <v>838</v>
      </c>
      <c r="AAQ72" t="s">
        <v>839</v>
      </c>
      <c r="AAR72" t="s">
        <v>840</v>
      </c>
      <c r="AAS72" t="s">
        <v>841</v>
      </c>
      <c r="AAT72" t="s">
        <v>842</v>
      </c>
      <c r="AAU72" t="s">
        <v>843</v>
      </c>
      <c r="AAV72" t="s">
        <v>844</v>
      </c>
      <c r="AAW72" t="s">
        <v>845</v>
      </c>
      <c r="AAX72" t="s">
        <v>846</v>
      </c>
      <c r="AAY72" t="s">
        <v>847</v>
      </c>
      <c r="AAZ72" t="s">
        <v>848</v>
      </c>
      <c r="ABA72" t="s">
        <v>849</v>
      </c>
      <c r="ABB72" t="s">
        <v>850</v>
      </c>
      <c r="ABC72" t="s">
        <v>851</v>
      </c>
      <c r="ABD72" t="s">
        <v>852</v>
      </c>
      <c r="ABE72" t="s">
        <v>853</v>
      </c>
      <c r="ABF72" t="s">
        <v>854</v>
      </c>
      <c r="ABG72" t="s">
        <v>855</v>
      </c>
      <c r="ABH72" t="s">
        <v>856</v>
      </c>
      <c r="ABI72" t="s">
        <v>857</v>
      </c>
      <c r="ABJ72" t="s">
        <v>858</v>
      </c>
      <c r="ABK72" t="s">
        <v>859</v>
      </c>
      <c r="ABL72" t="s">
        <v>860</v>
      </c>
      <c r="ABM72" t="s">
        <v>861</v>
      </c>
      <c r="ABN72" t="s">
        <v>862</v>
      </c>
      <c r="ABO72" t="s">
        <v>863</v>
      </c>
      <c r="ABP72" t="s">
        <v>864</v>
      </c>
      <c r="ABQ72" t="s">
        <v>865</v>
      </c>
      <c r="ABR72" t="s">
        <v>866</v>
      </c>
      <c r="ABS72" t="s">
        <v>867</v>
      </c>
      <c r="ABT72" t="s">
        <v>868</v>
      </c>
      <c r="ABU72" t="s">
        <v>869</v>
      </c>
      <c r="ABV72" t="s">
        <v>870</v>
      </c>
      <c r="ABW72" t="s">
        <v>871</v>
      </c>
      <c r="ABX72" t="s">
        <v>872</v>
      </c>
      <c r="ABY72" t="s">
        <v>873</v>
      </c>
      <c r="ABZ72" t="s">
        <v>874</v>
      </c>
      <c r="ACA72" t="s">
        <v>875</v>
      </c>
      <c r="ACB72" t="s">
        <v>876</v>
      </c>
      <c r="ACC72" t="s">
        <v>877</v>
      </c>
      <c r="ACD72" t="s">
        <v>878</v>
      </c>
      <c r="ACE72" t="s">
        <v>879</v>
      </c>
      <c r="ACF72" t="s">
        <v>880</v>
      </c>
      <c r="ACG72" t="s">
        <v>881</v>
      </c>
      <c r="ACH72" t="s">
        <v>882</v>
      </c>
      <c r="ACI72" t="s">
        <v>883</v>
      </c>
      <c r="ACJ72" t="s">
        <v>884</v>
      </c>
      <c r="ACK72" t="s">
        <v>885</v>
      </c>
      <c r="ACL72" t="s">
        <v>886</v>
      </c>
      <c r="ACM72" t="s">
        <v>887</v>
      </c>
      <c r="ACN72" t="s">
        <v>888</v>
      </c>
      <c r="ACO72" t="s">
        <v>889</v>
      </c>
    </row>
    <row r="73" spans="1:769" x14ac:dyDescent="0.25">
      <c r="A73" t="s">
        <v>77</v>
      </c>
    </row>
    <row r="74" spans="1:769" x14ac:dyDescent="0.25">
      <c r="A74" t="s">
        <v>78</v>
      </c>
      <c r="B74">
        <v>6</v>
      </c>
      <c r="C74">
        <v>0</v>
      </c>
      <c r="D74">
        <v>3897</v>
      </c>
      <c r="E74">
        <v>0</v>
      </c>
      <c r="F74">
        <v>2534</v>
      </c>
      <c r="G74">
        <v>3078</v>
      </c>
      <c r="H74">
        <v>1225</v>
      </c>
      <c r="I74">
        <v>1087</v>
      </c>
      <c r="J74">
        <v>138</v>
      </c>
      <c r="K74">
        <v>822</v>
      </c>
      <c r="L74">
        <v>142</v>
      </c>
      <c r="M74">
        <v>2188</v>
      </c>
      <c r="N74">
        <v>0</v>
      </c>
      <c r="O74">
        <v>2470</v>
      </c>
      <c r="P74">
        <v>1017</v>
      </c>
      <c r="Q74">
        <v>893</v>
      </c>
      <c r="R74">
        <v>218</v>
      </c>
      <c r="S74">
        <v>147</v>
      </c>
      <c r="T74">
        <v>392</v>
      </c>
      <c r="U74">
        <v>1500</v>
      </c>
      <c r="V74">
        <v>2353</v>
      </c>
      <c r="W74">
        <v>37</v>
      </c>
      <c r="X74">
        <v>1260</v>
      </c>
      <c r="Y74">
        <v>335</v>
      </c>
      <c r="Z74">
        <v>27</v>
      </c>
      <c r="AA74">
        <v>2025</v>
      </c>
      <c r="AB74">
        <v>1528</v>
      </c>
      <c r="AC74">
        <v>1322</v>
      </c>
      <c r="AD74">
        <v>11</v>
      </c>
      <c r="AE74">
        <v>1334</v>
      </c>
      <c r="AF74">
        <v>636</v>
      </c>
      <c r="AG74">
        <v>801</v>
      </c>
      <c r="AH74">
        <v>472</v>
      </c>
      <c r="AI74">
        <v>688</v>
      </c>
      <c r="AJ74">
        <v>2234</v>
      </c>
      <c r="AK74">
        <v>1293</v>
      </c>
      <c r="AL74">
        <v>1131</v>
      </c>
      <c r="AM74">
        <v>455</v>
      </c>
      <c r="AN74">
        <v>2000</v>
      </c>
      <c r="AO74">
        <v>3052</v>
      </c>
      <c r="AP74">
        <v>1111</v>
      </c>
      <c r="AQ74">
        <v>664</v>
      </c>
      <c r="AR74">
        <v>2795</v>
      </c>
      <c r="AS74">
        <v>849</v>
      </c>
      <c r="AT74">
        <v>71</v>
      </c>
      <c r="AU74">
        <v>1608</v>
      </c>
      <c r="AV74">
        <v>253</v>
      </c>
      <c r="AW74">
        <v>1452</v>
      </c>
      <c r="AX74">
        <v>1455</v>
      </c>
      <c r="AY74">
        <v>351</v>
      </c>
      <c r="AZ74">
        <v>1220</v>
      </c>
      <c r="BA74">
        <v>1677</v>
      </c>
      <c r="BB74">
        <v>286</v>
      </c>
      <c r="BC74">
        <v>58</v>
      </c>
      <c r="BD74">
        <v>1497</v>
      </c>
      <c r="BE74">
        <v>2729</v>
      </c>
      <c r="BF74">
        <v>1667</v>
      </c>
      <c r="BG74">
        <v>652</v>
      </c>
      <c r="BH74">
        <v>503</v>
      </c>
      <c r="BI74">
        <v>1063</v>
      </c>
      <c r="BJ74">
        <v>1842</v>
      </c>
      <c r="BK74">
        <v>1598</v>
      </c>
      <c r="BL74">
        <v>238</v>
      </c>
      <c r="BM74">
        <v>1672</v>
      </c>
      <c r="BN74">
        <v>46</v>
      </c>
      <c r="BO74">
        <v>0</v>
      </c>
      <c r="BP74">
        <v>2608</v>
      </c>
      <c r="BQ74">
        <v>1868</v>
      </c>
      <c r="BR74">
        <v>0</v>
      </c>
      <c r="BS74">
        <v>3283</v>
      </c>
      <c r="BT74">
        <v>1660</v>
      </c>
      <c r="BU74">
        <v>0</v>
      </c>
      <c r="BV74">
        <v>29</v>
      </c>
      <c r="BW74">
        <v>4691</v>
      </c>
      <c r="BX74">
        <v>50</v>
      </c>
      <c r="BY74">
        <v>147</v>
      </c>
      <c r="BZ74">
        <v>2308</v>
      </c>
      <c r="CA74">
        <v>392</v>
      </c>
      <c r="CB74">
        <v>1057</v>
      </c>
      <c r="CC74">
        <v>1186</v>
      </c>
      <c r="CD74">
        <v>1386</v>
      </c>
      <c r="CE74">
        <v>757</v>
      </c>
      <c r="CF74">
        <v>431</v>
      </c>
      <c r="CG74">
        <v>1879</v>
      </c>
      <c r="CH74">
        <v>0</v>
      </c>
      <c r="CI74">
        <v>3194</v>
      </c>
      <c r="CJ74">
        <v>2135</v>
      </c>
      <c r="CK74">
        <v>234</v>
      </c>
      <c r="CL74">
        <v>2199</v>
      </c>
      <c r="CM74">
        <v>943</v>
      </c>
      <c r="CN74">
        <v>246</v>
      </c>
      <c r="CO74">
        <v>1735</v>
      </c>
      <c r="CP74">
        <v>2238</v>
      </c>
      <c r="CQ74">
        <v>2099</v>
      </c>
      <c r="CR74">
        <v>921</v>
      </c>
      <c r="CS74">
        <v>1304</v>
      </c>
      <c r="CT74">
        <v>0</v>
      </c>
      <c r="CU74">
        <v>4167</v>
      </c>
      <c r="CV74">
        <v>3034</v>
      </c>
      <c r="CW74">
        <v>1441</v>
      </c>
      <c r="CX74">
        <v>1815</v>
      </c>
      <c r="CY74">
        <v>1310</v>
      </c>
      <c r="CZ74">
        <v>2856</v>
      </c>
      <c r="DA74">
        <v>49</v>
      </c>
      <c r="DB74">
        <v>1882</v>
      </c>
      <c r="DC74">
        <v>1339</v>
      </c>
      <c r="DD74">
        <v>1661</v>
      </c>
      <c r="DE74">
        <v>880</v>
      </c>
      <c r="DF74">
        <v>2195</v>
      </c>
      <c r="DG74">
        <v>669</v>
      </c>
      <c r="DH74">
        <v>598</v>
      </c>
      <c r="DI74">
        <v>2761</v>
      </c>
      <c r="DJ74">
        <v>1118</v>
      </c>
      <c r="DK74">
        <v>1051</v>
      </c>
      <c r="DL74">
        <v>4544</v>
      </c>
      <c r="DM74">
        <v>2503</v>
      </c>
      <c r="DN74">
        <v>470</v>
      </c>
      <c r="DO74">
        <v>3457</v>
      </c>
      <c r="DP74">
        <v>1452</v>
      </c>
      <c r="DQ74">
        <v>4804</v>
      </c>
      <c r="DR74">
        <v>3700</v>
      </c>
      <c r="DS74">
        <v>4335</v>
      </c>
      <c r="DT74">
        <v>177</v>
      </c>
      <c r="DU74">
        <v>2007</v>
      </c>
      <c r="DV74">
        <v>12</v>
      </c>
      <c r="DW74">
        <v>4</v>
      </c>
      <c r="DX74">
        <v>2899</v>
      </c>
      <c r="DY74">
        <v>1104</v>
      </c>
      <c r="DZ74">
        <v>1272</v>
      </c>
      <c r="EA74">
        <v>4119</v>
      </c>
      <c r="EB74">
        <v>0</v>
      </c>
      <c r="EC74">
        <v>433</v>
      </c>
      <c r="ED74">
        <v>0</v>
      </c>
      <c r="EE74">
        <v>742</v>
      </c>
      <c r="EF74">
        <v>1201</v>
      </c>
      <c r="EG74">
        <v>4184</v>
      </c>
      <c r="EH74">
        <v>515</v>
      </c>
      <c r="EI74">
        <v>2749</v>
      </c>
      <c r="EJ74">
        <v>312</v>
      </c>
      <c r="EK74">
        <v>171</v>
      </c>
      <c r="EL74">
        <v>1288</v>
      </c>
      <c r="EM74">
        <v>1871</v>
      </c>
      <c r="EN74">
        <v>270</v>
      </c>
      <c r="EO74">
        <v>0</v>
      </c>
      <c r="EP74">
        <v>1028</v>
      </c>
      <c r="EQ74">
        <v>1128</v>
      </c>
      <c r="ER74">
        <v>869</v>
      </c>
      <c r="ES74">
        <v>268</v>
      </c>
      <c r="ET74">
        <v>305</v>
      </c>
      <c r="EU74">
        <v>1489</v>
      </c>
      <c r="EV74">
        <v>5</v>
      </c>
      <c r="EW74">
        <v>218</v>
      </c>
      <c r="EX74">
        <v>774</v>
      </c>
      <c r="EY74">
        <v>242</v>
      </c>
      <c r="EZ74">
        <v>480</v>
      </c>
      <c r="FA74">
        <v>1061</v>
      </c>
      <c r="FB74">
        <v>0</v>
      </c>
      <c r="FC74">
        <v>456</v>
      </c>
      <c r="FD74">
        <v>7</v>
      </c>
      <c r="FE74">
        <v>4</v>
      </c>
      <c r="FF74">
        <v>1270</v>
      </c>
      <c r="FG74">
        <v>1928</v>
      </c>
      <c r="FH74">
        <v>2177</v>
      </c>
      <c r="FI74">
        <v>147</v>
      </c>
      <c r="FJ74">
        <v>993</v>
      </c>
      <c r="FK74">
        <v>1178</v>
      </c>
      <c r="FL74">
        <v>1549</v>
      </c>
      <c r="FM74">
        <v>324</v>
      </c>
      <c r="FN74">
        <v>3</v>
      </c>
      <c r="FO74">
        <v>29</v>
      </c>
      <c r="FP74">
        <v>1279</v>
      </c>
      <c r="FQ74">
        <v>145</v>
      </c>
      <c r="FR74">
        <v>726</v>
      </c>
      <c r="FS74">
        <v>1560</v>
      </c>
      <c r="FT74">
        <v>395</v>
      </c>
      <c r="FU74">
        <v>770</v>
      </c>
      <c r="FV74">
        <v>1633</v>
      </c>
      <c r="FW74">
        <v>634</v>
      </c>
      <c r="FX74">
        <v>856</v>
      </c>
      <c r="FY74">
        <v>1205</v>
      </c>
      <c r="FZ74">
        <v>2639</v>
      </c>
      <c r="GA74">
        <v>727</v>
      </c>
      <c r="GB74">
        <v>348</v>
      </c>
      <c r="GC74">
        <v>1133</v>
      </c>
      <c r="GD74">
        <v>2878</v>
      </c>
      <c r="GE74">
        <v>2549</v>
      </c>
      <c r="GF74">
        <v>362</v>
      </c>
      <c r="GG74">
        <v>518</v>
      </c>
      <c r="GH74">
        <v>984</v>
      </c>
      <c r="GI74">
        <v>126</v>
      </c>
      <c r="GJ74">
        <v>809</v>
      </c>
      <c r="GK74">
        <v>734</v>
      </c>
      <c r="GL74">
        <v>86</v>
      </c>
      <c r="GM74">
        <v>22</v>
      </c>
      <c r="GN74">
        <v>248</v>
      </c>
      <c r="GO74">
        <v>16</v>
      </c>
      <c r="GP74">
        <v>1944</v>
      </c>
      <c r="GQ74">
        <v>2715</v>
      </c>
      <c r="GR74">
        <v>960</v>
      </c>
      <c r="GS74">
        <v>94</v>
      </c>
      <c r="GT74">
        <v>1386</v>
      </c>
      <c r="GU74">
        <v>11</v>
      </c>
      <c r="GV74">
        <v>445</v>
      </c>
      <c r="GW74">
        <v>71</v>
      </c>
      <c r="GX74">
        <v>883</v>
      </c>
      <c r="GY74">
        <v>612</v>
      </c>
      <c r="GZ74">
        <v>2001</v>
      </c>
      <c r="HA74">
        <v>706</v>
      </c>
      <c r="HB74">
        <v>2073</v>
      </c>
      <c r="HC74">
        <v>644</v>
      </c>
      <c r="HD74">
        <v>1389</v>
      </c>
      <c r="HE74">
        <v>299</v>
      </c>
      <c r="HF74">
        <v>88</v>
      </c>
      <c r="HG74">
        <v>2108</v>
      </c>
      <c r="HH74">
        <v>2645</v>
      </c>
      <c r="HI74">
        <v>342</v>
      </c>
      <c r="HJ74">
        <v>2187</v>
      </c>
      <c r="HK74">
        <v>759</v>
      </c>
      <c r="HL74">
        <v>787</v>
      </c>
      <c r="HM74">
        <v>87</v>
      </c>
      <c r="HN74">
        <v>369</v>
      </c>
      <c r="HO74">
        <v>2608</v>
      </c>
      <c r="HP74">
        <v>117</v>
      </c>
      <c r="HQ74">
        <v>468</v>
      </c>
      <c r="HR74">
        <v>438</v>
      </c>
      <c r="HS74">
        <v>35</v>
      </c>
      <c r="HT74">
        <v>2092</v>
      </c>
      <c r="HU74">
        <v>1333</v>
      </c>
      <c r="HV74">
        <v>0</v>
      </c>
      <c r="HW74">
        <v>19</v>
      </c>
      <c r="HX74">
        <v>1314</v>
      </c>
      <c r="HY74">
        <v>2815</v>
      </c>
      <c r="HZ74">
        <v>867</v>
      </c>
      <c r="IA74">
        <v>187</v>
      </c>
      <c r="IB74">
        <v>0</v>
      </c>
      <c r="IC74">
        <v>0</v>
      </c>
      <c r="ID74">
        <v>42</v>
      </c>
      <c r="IE74">
        <v>2388</v>
      </c>
      <c r="IF74">
        <v>506</v>
      </c>
      <c r="IG74">
        <v>0</v>
      </c>
      <c r="IH74">
        <v>916</v>
      </c>
      <c r="II74">
        <v>86</v>
      </c>
      <c r="IJ74">
        <v>2430</v>
      </c>
      <c r="IK74">
        <v>2</v>
      </c>
      <c r="IL74">
        <v>0</v>
      </c>
      <c r="IM74">
        <v>25</v>
      </c>
      <c r="IN74">
        <v>2119</v>
      </c>
      <c r="IO74">
        <v>2208</v>
      </c>
      <c r="IP74">
        <v>2599</v>
      </c>
      <c r="IQ74">
        <v>8</v>
      </c>
      <c r="IR74">
        <v>3944</v>
      </c>
      <c r="IS74">
        <v>4668</v>
      </c>
      <c r="IT74">
        <v>446</v>
      </c>
      <c r="IU74">
        <v>108</v>
      </c>
      <c r="IV74">
        <v>437</v>
      </c>
      <c r="IW74">
        <v>277</v>
      </c>
      <c r="IX74">
        <v>1037</v>
      </c>
      <c r="IY74">
        <v>3410</v>
      </c>
      <c r="IZ74">
        <v>1447</v>
      </c>
      <c r="JA74">
        <v>1186</v>
      </c>
      <c r="JB74">
        <v>357</v>
      </c>
      <c r="JC74">
        <v>892</v>
      </c>
      <c r="JD74">
        <v>3409</v>
      </c>
      <c r="JE74">
        <v>1330</v>
      </c>
      <c r="JF74">
        <v>237</v>
      </c>
      <c r="JG74">
        <v>4450</v>
      </c>
      <c r="JH74">
        <v>780</v>
      </c>
      <c r="JI74">
        <v>213</v>
      </c>
      <c r="JJ74">
        <v>0</v>
      </c>
      <c r="JK74">
        <v>923</v>
      </c>
      <c r="JL74">
        <v>4375</v>
      </c>
      <c r="JM74">
        <v>2244</v>
      </c>
      <c r="JN74">
        <v>2521</v>
      </c>
      <c r="JO74">
        <v>2</v>
      </c>
      <c r="JP74">
        <v>1185</v>
      </c>
      <c r="JQ74">
        <v>230</v>
      </c>
      <c r="JR74">
        <v>1877</v>
      </c>
      <c r="JS74">
        <v>0</v>
      </c>
      <c r="JT74">
        <v>0</v>
      </c>
      <c r="JU74">
        <v>2774</v>
      </c>
      <c r="JV74">
        <v>0</v>
      </c>
      <c r="JW74">
        <v>348</v>
      </c>
      <c r="JX74">
        <v>0</v>
      </c>
      <c r="JY74">
        <v>455</v>
      </c>
      <c r="JZ74">
        <v>0</v>
      </c>
      <c r="KA74">
        <v>0</v>
      </c>
      <c r="KB74">
        <v>3</v>
      </c>
      <c r="KC74">
        <v>123</v>
      </c>
      <c r="KD74">
        <v>4411</v>
      </c>
      <c r="KE74">
        <v>560</v>
      </c>
      <c r="KF74">
        <v>2893</v>
      </c>
      <c r="KG74">
        <v>4262</v>
      </c>
      <c r="KH74">
        <v>45</v>
      </c>
      <c r="KI74">
        <v>1142</v>
      </c>
      <c r="KJ74">
        <v>368</v>
      </c>
      <c r="KK74">
        <v>3598</v>
      </c>
      <c r="KL74">
        <v>2</v>
      </c>
      <c r="KM74">
        <v>1686</v>
      </c>
      <c r="KN74">
        <v>2685</v>
      </c>
      <c r="KO74">
        <v>109</v>
      </c>
      <c r="KP74">
        <v>1633</v>
      </c>
      <c r="KQ74">
        <v>1591</v>
      </c>
      <c r="KR74">
        <v>1731</v>
      </c>
      <c r="KS74">
        <v>2998</v>
      </c>
      <c r="KT74">
        <v>1821</v>
      </c>
      <c r="KU74">
        <v>21</v>
      </c>
      <c r="KV74">
        <v>236</v>
      </c>
      <c r="KW74">
        <v>4559</v>
      </c>
      <c r="KX74">
        <v>407</v>
      </c>
      <c r="KY74">
        <v>2438</v>
      </c>
      <c r="KZ74">
        <v>380</v>
      </c>
      <c r="LA74">
        <v>1677</v>
      </c>
      <c r="LB74">
        <v>1099</v>
      </c>
      <c r="LC74">
        <v>2179</v>
      </c>
      <c r="LD74">
        <v>18</v>
      </c>
      <c r="LE74">
        <v>979</v>
      </c>
      <c r="LF74">
        <v>796</v>
      </c>
      <c r="LG74">
        <v>2328</v>
      </c>
      <c r="LH74">
        <v>958</v>
      </c>
      <c r="LI74">
        <v>1558</v>
      </c>
      <c r="LJ74">
        <v>2943</v>
      </c>
      <c r="LK74">
        <v>4679</v>
      </c>
      <c r="LL74">
        <v>3133</v>
      </c>
      <c r="LM74">
        <v>3581</v>
      </c>
      <c r="LN74">
        <v>625</v>
      </c>
      <c r="LO74">
        <v>4184</v>
      </c>
      <c r="LP74">
        <v>2136</v>
      </c>
      <c r="LQ74">
        <v>3336</v>
      </c>
      <c r="LR74">
        <v>0</v>
      </c>
      <c r="LS74">
        <v>770</v>
      </c>
      <c r="LT74">
        <v>2888</v>
      </c>
      <c r="LU74">
        <v>1489</v>
      </c>
      <c r="LV74">
        <v>5524</v>
      </c>
      <c r="LW74">
        <v>177</v>
      </c>
      <c r="LX74">
        <v>1735</v>
      </c>
      <c r="LY74">
        <v>2818</v>
      </c>
      <c r="LZ74">
        <v>151</v>
      </c>
      <c r="MA74">
        <v>1743</v>
      </c>
      <c r="MB74">
        <v>2033</v>
      </c>
      <c r="MC74">
        <v>338</v>
      </c>
      <c r="MD74">
        <v>1735</v>
      </c>
      <c r="ME74">
        <v>4511</v>
      </c>
      <c r="MF74">
        <v>4822</v>
      </c>
      <c r="MG74">
        <v>277</v>
      </c>
      <c r="MH74">
        <v>607</v>
      </c>
      <c r="MI74">
        <v>5528</v>
      </c>
      <c r="MJ74">
        <v>1660</v>
      </c>
      <c r="MK74">
        <v>3578</v>
      </c>
      <c r="ML74">
        <v>34</v>
      </c>
      <c r="MM74">
        <v>2757</v>
      </c>
      <c r="MN74">
        <v>2757</v>
      </c>
      <c r="MO74">
        <v>3976</v>
      </c>
      <c r="MP74">
        <v>4860</v>
      </c>
      <c r="MQ74">
        <v>422</v>
      </c>
      <c r="MR74">
        <v>1458</v>
      </c>
      <c r="MS74">
        <v>59</v>
      </c>
      <c r="MT74">
        <v>4730</v>
      </c>
      <c r="MU74">
        <v>1327</v>
      </c>
      <c r="MV74">
        <v>4604</v>
      </c>
      <c r="MW74">
        <v>3016</v>
      </c>
      <c r="MX74">
        <v>4</v>
      </c>
      <c r="MY74">
        <v>2</v>
      </c>
      <c r="MZ74">
        <v>2407</v>
      </c>
      <c r="NA74">
        <v>2445</v>
      </c>
      <c r="NB74">
        <v>248</v>
      </c>
      <c r="NC74">
        <v>2113</v>
      </c>
      <c r="ND74">
        <v>3775</v>
      </c>
      <c r="NE74">
        <v>1076</v>
      </c>
      <c r="NF74">
        <v>1120</v>
      </c>
      <c r="NG74">
        <v>837</v>
      </c>
      <c r="NH74">
        <v>2070</v>
      </c>
      <c r="NI74">
        <v>3138</v>
      </c>
      <c r="NJ74">
        <v>4067</v>
      </c>
      <c r="NK74">
        <v>645</v>
      </c>
      <c r="NL74">
        <v>4567</v>
      </c>
      <c r="NM74">
        <v>1865</v>
      </c>
      <c r="NN74">
        <v>2264</v>
      </c>
      <c r="NO74">
        <v>3696</v>
      </c>
      <c r="NP74">
        <v>4288</v>
      </c>
      <c r="NQ74">
        <v>325</v>
      </c>
      <c r="NR74">
        <v>2775</v>
      </c>
      <c r="NS74">
        <v>1986</v>
      </c>
      <c r="NT74">
        <v>1754</v>
      </c>
      <c r="NU74">
        <v>1600</v>
      </c>
      <c r="NV74">
        <v>2377</v>
      </c>
      <c r="NW74">
        <v>1674</v>
      </c>
      <c r="NX74">
        <v>1684</v>
      </c>
      <c r="NY74">
        <v>1</v>
      </c>
      <c r="NZ74">
        <v>5</v>
      </c>
      <c r="OA74">
        <v>585</v>
      </c>
      <c r="OB74">
        <v>2483</v>
      </c>
      <c r="OC74">
        <v>2115</v>
      </c>
      <c r="OD74">
        <v>847</v>
      </c>
      <c r="OE74">
        <v>881</v>
      </c>
      <c r="OF74">
        <v>153</v>
      </c>
      <c r="OG74">
        <v>3953</v>
      </c>
      <c r="OH74">
        <v>5277</v>
      </c>
      <c r="OI74">
        <v>0</v>
      </c>
      <c r="OJ74">
        <v>3880</v>
      </c>
      <c r="OK74">
        <v>3344</v>
      </c>
      <c r="OL74">
        <v>1915</v>
      </c>
      <c r="OM74">
        <v>1179</v>
      </c>
      <c r="ON74">
        <v>2968</v>
      </c>
      <c r="OO74">
        <v>0</v>
      </c>
      <c r="OP74">
        <v>3162</v>
      </c>
      <c r="OQ74">
        <v>0</v>
      </c>
      <c r="OR74">
        <v>15</v>
      </c>
      <c r="OS74">
        <v>353</v>
      </c>
      <c r="OT74">
        <v>0</v>
      </c>
      <c r="OU74">
        <v>0</v>
      </c>
      <c r="OV74">
        <v>0</v>
      </c>
      <c r="OW74">
        <v>1</v>
      </c>
      <c r="OX74">
        <v>72</v>
      </c>
      <c r="OY74">
        <v>2</v>
      </c>
      <c r="OZ74">
        <v>0</v>
      </c>
      <c r="PA74">
        <v>0</v>
      </c>
      <c r="PB74">
        <v>2892</v>
      </c>
      <c r="PC74">
        <v>2977</v>
      </c>
      <c r="PD74">
        <v>77</v>
      </c>
      <c r="PE74">
        <v>1313</v>
      </c>
      <c r="PF74">
        <v>751</v>
      </c>
      <c r="PG74">
        <v>1534</v>
      </c>
      <c r="PH74">
        <v>1312</v>
      </c>
      <c r="PI74">
        <v>352</v>
      </c>
      <c r="PJ74">
        <v>649</v>
      </c>
      <c r="PK74">
        <v>2324</v>
      </c>
      <c r="PL74">
        <v>101</v>
      </c>
      <c r="PM74">
        <v>1541</v>
      </c>
      <c r="PN74">
        <v>0</v>
      </c>
      <c r="PO74">
        <v>35</v>
      </c>
      <c r="PP74">
        <v>461</v>
      </c>
      <c r="PQ74">
        <v>1402</v>
      </c>
      <c r="PR74">
        <v>796</v>
      </c>
      <c r="PS74">
        <v>2673</v>
      </c>
      <c r="PT74">
        <v>303</v>
      </c>
      <c r="PU74">
        <v>2078</v>
      </c>
      <c r="PV74">
        <v>3450</v>
      </c>
      <c r="PW74">
        <v>2262</v>
      </c>
      <c r="PX74">
        <v>2377</v>
      </c>
      <c r="PY74">
        <v>1109</v>
      </c>
      <c r="PZ74">
        <v>3065</v>
      </c>
      <c r="QA74">
        <v>576</v>
      </c>
      <c r="QB74">
        <v>766</v>
      </c>
      <c r="QC74">
        <v>300</v>
      </c>
      <c r="QD74">
        <v>1373</v>
      </c>
      <c r="QE74">
        <v>859</v>
      </c>
      <c r="QF74">
        <v>412</v>
      </c>
      <c r="QG74">
        <v>2433</v>
      </c>
      <c r="QH74">
        <v>16</v>
      </c>
      <c r="QI74">
        <v>0</v>
      </c>
      <c r="QJ74">
        <v>1970</v>
      </c>
      <c r="QK74">
        <v>1509</v>
      </c>
      <c r="QL74">
        <v>105</v>
      </c>
      <c r="QM74">
        <v>1212</v>
      </c>
      <c r="QN74">
        <v>1</v>
      </c>
      <c r="QO74">
        <v>452</v>
      </c>
      <c r="QP74">
        <v>939</v>
      </c>
      <c r="QQ74">
        <v>9</v>
      </c>
      <c r="QR74">
        <v>13</v>
      </c>
      <c r="QS74">
        <v>1088</v>
      </c>
      <c r="QT74">
        <v>0</v>
      </c>
      <c r="QU74">
        <v>0</v>
      </c>
      <c r="QV74">
        <v>2747</v>
      </c>
      <c r="QW74">
        <v>2871</v>
      </c>
      <c r="QX74">
        <v>249</v>
      </c>
      <c r="QY74">
        <v>361</v>
      </c>
      <c r="QZ74">
        <v>2509</v>
      </c>
      <c r="RA74">
        <v>3164</v>
      </c>
      <c r="RB74">
        <v>3911</v>
      </c>
      <c r="RC74">
        <v>1153</v>
      </c>
      <c r="RD74">
        <v>705</v>
      </c>
      <c r="RE74">
        <v>2596</v>
      </c>
      <c r="RF74">
        <v>1532</v>
      </c>
      <c r="RG74">
        <v>1795</v>
      </c>
      <c r="RH74">
        <v>620</v>
      </c>
      <c r="RI74">
        <v>640</v>
      </c>
      <c r="RJ74">
        <v>3593</v>
      </c>
      <c r="RK74">
        <v>1136</v>
      </c>
      <c r="RL74">
        <v>1246</v>
      </c>
      <c r="RM74">
        <v>3361</v>
      </c>
      <c r="RN74">
        <v>182</v>
      </c>
      <c r="RO74">
        <v>3438</v>
      </c>
      <c r="RP74">
        <v>140</v>
      </c>
      <c r="RQ74">
        <v>2087</v>
      </c>
      <c r="RR74">
        <v>1075</v>
      </c>
      <c r="RS74">
        <v>506</v>
      </c>
      <c r="RT74">
        <v>3164</v>
      </c>
      <c r="RU74">
        <v>462</v>
      </c>
      <c r="RV74">
        <v>3348</v>
      </c>
      <c r="RW74">
        <v>1398</v>
      </c>
      <c r="RX74">
        <v>206</v>
      </c>
      <c r="RY74">
        <v>3367</v>
      </c>
      <c r="RZ74">
        <v>1668</v>
      </c>
      <c r="SA74">
        <v>345</v>
      </c>
      <c r="SB74">
        <v>202</v>
      </c>
      <c r="SC74">
        <v>931</v>
      </c>
      <c r="SD74">
        <v>2632</v>
      </c>
      <c r="SE74">
        <v>4417</v>
      </c>
      <c r="SF74">
        <v>2403</v>
      </c>
      <c r="SG74">
        <v>2696</v>
      </c>
      <c r="SH74">
        <v>1177</v>
      </c>
      <c r="SI74">
        <v>4452</v>
      </c>
      <c r="SJ74">
        <v>945</v>
      </c>
      <c r="SK74">
        <v>0</v>
      </c>
      <c r="SL74">
        <v>352</v>
      </c>
      <c r="SM74">
        <v>386</v>
      </c>
      <c r="SN74">
        <v>4627</v>
      </c>
      <c r="SO74">
        <v>17</v>
      </c>
      <c r="SP74">
        <v>1122</v>
      </c>
      <c r="SQ74">
        <v>450</v>
      </c>
      <c r="SR74">
        <v>3140</v>
      </c>
      <c r="SS74">
        <v>4151</v>
      </c>
      <c r="ST74">
        <v>478</v>
      </c>
      <c r="SU74">
        <v>1880</v>
      </c>
      <c r="SV74">
        <v>135</v>
      </c>
      <c r="SW74">
        <v>1826</v>
      </c>
      <c r="SX74">
        <v>25</v>
      </c>
      <c r="SY74">
        <v>561</v>
      </c>
      <c r="SZ74">
        <v>476</v>
      </c>
      <c r="TA74">
        <v>2104</v>
      </c>
      <c r="TB74">
        <v>519</v>
      </c>
      <c r="TC74">
        <v>1596</v>
      </c>
      <c r="TD74">
        <v>1726</v>
      </c>
      <c r="TE74">
        <v>1050</v>
      </c>
      <c r="TF74">
        <v>652</v>
      </c>
      <c r="TG74">
        <v>241</v>
      </c>
      <c r="TH74">
        <v>798</v>
      </c>
      <c r="TI74">
        <v>655</v>
      </c>
      <c r="TJ74">
        <v>13</v>
      </c>
      <c r="TK74">
        <v>779</v>
      </c>
      <c r="TL74">
        <v>0</v>
      </c>
      <c r="TM74">
        <v>28</v>
      </c>
      <c r="TN74">
        <v>2544</v>
      </c>
      <c r="TO74">
        <v>0</v>
      </c>
      <c r="TP74">
        <v>1337</v>
      </c>
      <c r="TQ74">
        <v>1486</v>
      </c>
      <c r="TR74">
        <v>409</v>
      </c>
      <c r="TS74">
        <v>789</v>
      </c>
      <c r="TT74">
        <v>212</v>
      </c>
      <c r="TU74">
        <v>0</v>
      </c>
      <c r="TV74">
        <v>813</v>
      </c>
      <c r="TW74">
        <v>850</v>
      </c>
      <c r="TX74">
        <v>3637</v>
      </c>
      <c r="TY74">
        <v>0</v>
      </c>
      <c r="TZ74">
        <v>3297</v>
      </c>
      <c r="UA74">
        <v>3286</v>
      </c>
      <c r="UB74">
        <v>1850</v>
      </c>
      <c r="UC74">
        <v>14</v>
      </c>
      <c r="UD74">
        <v>1604</v>
      </c>
      <c r="UE74">
        <v>2608</v>
      </c>
      <c r="UF74">
        <v>1161</v>
      </c>
      <c r="UG74">
        <v>662</v>
      </c>
      <c r="UH74">
        <v>3</v>
      </c>
      <c r="UI74">
        <v>2693</v>
      </c>
      <c r="UJ74">
        <v>1594</v>
      </c>
      <c r="UK74">
        <v>838</v>
      </c>
      <c r="UL74">
        <v>2268</v>
      </c>
      <c r="UM74">
        <v>4</v>
      </c>
      <c r="UN74">
        <v>0</v>
      </c>
      <c r="UO74">
        <v>0</v>
      </c>
      <c r="UP74">
        <v>1946</v>
      </c>
      <c r="UQ74">
        <v>1</v>
      </c>
      <c r="UR74">
        <v>3428</v>
      </c>
      <c r="US74">
        <v>2893</v>
      </c>
      <c r="UT74">
        <v>803</v>
      </c>
      <c r="UU74">
        <v>2307</v>
      </c>
      <c r="UV74">
        <v>1346</v>
      </c>
      <c r="UW74">
        <v>0</v>
      </c>
      <c r="UX74">
        <v>4194</v>
      </c>
      <c r="UY74">
        <v>2595</v>
      </c>
      <c r="UZ74">
        <v>6</v>
      </c>
      <c r="VA74">
        <v>3592</v>
      </c>
      <c r="VB74">
        <v>148</v>
      </c>
      <c r="VC74">
        <v>0</v>
      </c>
      <c r="VD74">
        <v>247</v>
      </c>
      <c r="VE74">
        <v>1918</v>
      </c>
      <c r="VF74">
        <v>3206</v>
      </c>
      <c r="VG74">
        <v>545</v>
      </c>
      <c r="VH74">
        <v>757</v>
      </c>
      <c r="VI74">
        <v>2</v>
      </c>
      <c r="VJ74">
        <v>0</v>
      </c>
      <c r="VK74">
        <v>0</v>
      </c>
      <c r="VL74">
        <v>0</v>
      </c>
      <c r="VM74">
        <v>0</v>
      </c>
      <c r="VN74">
        <v>80</v>
      </c>
      <c r="VO74">
        <v>2798</v>
      </c>
      <c r="VP74">
        <v>1247</v>
      </c>
      <c r="VQ74">
        <v>535</v>
      </c>
      <c r="VR74">
        <v>380</v>
      </c>
      <c r="VS74">
        <v>461</v>
      </c>
      <c r="VT74">
        <v>0</v>
      </c>
      <c r="VU74">
        <v>577</v>
      </c>
      <c r="VV74">
        <v>42</v>
      </c>
      <c r="VW74">
        <v>56</v>
      </c>
      <c r="VX74">
        <v>50</v>
      </c>
      <c r="VY74">
        <v>2626</v>
      </c>
      <c r="VZ74">
        <v>2234</v>
      </c>
      <c r="WA74">
        <v>5</v>
      </c>
      <c r="WB74">
        <v>0</v>
      </c>
      <c r="WC74">
        <v>31</v>
      </c>
      <c r="WD74">
        <v>166</v>
      </c>
      <c r="WE74">
        <v>698</v>
      </c>
      <c r="WF74">
        <v>1917</v>
      </c>
      <c r="WG74">
        <v>456</v>
      </c>
      <c r="WH74">
        <v>0</v>
      </c>
      <c r="WI74">
        <v>896</v>
      </c>
      <c r="WJ74">
        <v>154</v>
      </c>
      <c r="WK74">
        <v>1886</v>
      </c>
      <c r="WL74">
        <v>4</v>
      </c>
      <c r="WM74">
        <v>549</v>
      </c>
      <c r="WN74">
        <v>1988</v>
      </c>
      <c r="WO74">
        <v>3230</v>
      </c>
      <c r="WP74">
        <v>1038</v>
      </c>
      <c r="WQ74">
        <v>1527</v>
      </c>
      <c r="WR74">
        <v>1</v>
      </c>
      <c r="WS74">
        <v>2113</v>
      </c>
      <c r="WT74">
        <v>0</v>
      </c>
      <c r="WU74">
        <v>117</v>
      </c>
      <c r="WV74">
        <v>0</v>
      </c>
      <c r="WW74">
        <v>486</v>
      </c>
      <c r="WX74">
        <v>120</v>
      </c>
      <c r="WY74">
        <v>31</v>
      </c>
      <c r="WZ74">
        <v>180</v>
      </c>
      <c r="XA74">
        <v>373</v>
      </c>
      <c r="XB74">
        <v>2</v>
      </c>
      <c r="XC74">
        <v>275</v>
      </c>
      <c r="XD74">
        <v>430</v>
      </c>
      <c r="XE74">
        <v>1340</v>
      </c>
      <c r="XF74">
        <v>53</v>
      </c>
      <c r="XG74">
        <v>1506</v>
      </c>
      <c r="XH74">
        <v>3038</v>
      </c>
      <c r="XI74">
        <v>69</v>
      </c>
      <c r="XJ74">
        <v>137</v>
      </c>
      <c r="XK74">
        <v>1743</v>
      </c>
      <c r="XL74">
        <v>740</v>
      </c>
      <c r="XM74">
        <v>3515</v>
      </c>
      <c r="XN74">
        <v>1819</v>
      </c>
      <c r="XO74">
        <v>241</v>
      </c>
      <c r="XP74">
        <v>389</v>
      </c>
      <c r="XQ74">
        <v>34</v>
      </c>
      <c r="XR74">
        <v>344</v>
      </c>
      <c r="XS74">
        <v>760</v>
      </c>
      <c r="XT74">
        <v>4082</v>
      </c>
      <c r="XU74">
        <v>89</v>
      </c>
      <c r="XV74">
        <v>32</v>
      </c>
      <c r="XW74">
        <v>1</v>
      </c>
      <c r="XX74">
        <v>1339</v>
      </c>
      <c r="XY74">
        <v>650</v>
      </c>
      <c r="XZ74">
        <v>422</v>
      </c>
      <c r="YA74">
        <v>167</v>
      </c>
      <c r="YB74">
        <v>633</v>
      </c>
      <c r="YC74">
        <v>2041</v>
      </c>
      <c r="YD74">
        <v>1</v>
      </c>
      <c r="YE74">
        <v>700</v>
      </c>
      <c r="YF74">
        <v>88</v>
      </c>
      <c r="YG74">
        <v>3197</v>
      </c>
      <c r="YH74">
        <v>51</v>
      </c>
      <c r="YI74">
        <v>0</v>
      </c>
      <c r="YJ74">
        <v>2091</v>
      </c>
      <c r="YK74">
        <v>2378</v>
      </c>
      <c r="YL74">
        <v>1781</v>
      </c>
      <c r="YM74">
        <v>4639</v>
      </c>
      <c r="YN74">
        <v>0</v>
      </c>
      <c r="YO74">
        <v>0</v>
      </c>
      <c r="YP74">
        <v>88</v>
      </c>
      <c r="YQ74">
        <v>3047</v>
      </c>
      <c r="YR74">
        <v>1314</v>
      </c>
      <c r="YS74">
        <v>783</v>
      </c>
      <c r="YT74">
        <v>0</v>
      </c>
      <c r="YU74">
        <v>2051</v>
      </c>
      <c r="YV74">
        <v>3128</v>
      </c>
      <c r="YW74">
        <v>1</v>
      </c>
      <c r="YX74">
        <v>30</v>
      </c>
      <c r="YY74">
        <v>84</v>
      </c>
      <c r="YZ74">
        <v>959</v>
      </c>
      <c r="ZA74">
        <v>2049</v>
      </c>
      <c r="ZB74">
        <v>2</v>
      </c>
      <c r="ZC74">
        <v>1384</v>
      </c>
      <c r="ZD74">
        <v>1811</v>
      </c>
      <c r="ZE74">
        <v>2262</v>
      </c>
      <c r="ZF74">
        <v>84</v>
      </c>
      <c r="ZG74">
        <v>606</v>
      </c>
      <c r="ZH74">
        <v>359</v>
      </c>
      <c r="ZI74">
        <v>352</v>
      </c>
      <c r="ZJ74">
        <v>276</v>
      </c>
      <c r="ZK74">
        <v>0</v>
      </c>
      <c r="ZL74">
        <v>282</v>
      </c>
      <c r="ZM74">
        <v>346</v>
      </c>
      <c r="ZN74">
        <v>450</v>
      </c>
      <c r="ZO74">
        <v>204</v>
      </c>
      <c r="ZP74">
        <v>1</v>
      </c>
      <c r="ZQ74">
        <v>0</v>
      </c>
      <c r="ZR74">
        <v>0</v>
      </c>
      <c r="ZS74">
        <v>20</v>
      </c>
      <c r="ZT74">
        <v>0</v>
      </c>
      <c r="ZU74">
        <v>0</v>
      </c>
      <c r="ZV74">
        <v>884</v>
      </c>
      <c r="ZW74">
        <v>0</v>
      </c>
      <c r="ZX74">
        <v>301</v>
      </c>
      <c r="ZY74">
        <v>703</v>
      </c>
      <c r="ZZ74">
        <v>405</v>
      </c>
      <c r="AAA74">
        <v>1814</v>
      </c>
      <c r="AAB74">
        <v>823</v>
      </c>
      <c r="AAC74">
        <v>329</v>
      </c>
      <c r="AAD74">
        <v>2533</v>
      </c>
      <c r="AAE74">
        <v>837</v>
      </c>
      <c r="AAF74">
        <v>227</v>
      </c>
      <c r="AAG74">
        <v>367</v>
      </c>
      <c r="AAH74">
        <v>3</v>
      </c>
      <c r="AAI74">
        <v>321</v>
      </c>
      <c r="AAJ74">
        <v>319</v>
      </c>
      <c r="AAK74">
        <v>0</v>
      </c>
      <c r="AAL74">
        <v>0</v>
      </c>
      <c r="AAM74">
        <v>789</v>
      </c>
      <c r="AAN74">
        <v>1996</v>
      </c>
      <c r="AAO74">
        <v>680</v>
      </c>
      <c r="AAP74">
        <v>0</v>
      </c>
      <c r="AAQ74">
        <v>706</v>
      </c>
      <c r="AAR74">
        <v>1016</v>
      </c>
      <c r="AAS74">
        <v>0</v>
      </c>
      <c r="AAT74">
        <v>221</v>
      </c>
      <c r="AAU74">
        <v>99</v>
      </c>
      <c r="AAV74">
        <v>168</v>
      </c>
      <c r="AAW74">
        <v>1148</v>
      </c>
      <c r="AAX74">
        <v>5</v>
      </c>
      <c r="AAY74">
        <v>1715</v>
      </c>
      <c r="AAZ74">
        <v>1</v>
      </c>
      <c r="ABA74">
        <v>2929</v>
      </c>
      <c r="ABB74">
        <v>325</v>
      </c>
      <c r="ABC74">
        <v>2873</v>
      </c>
      <c r="ABD74">
        <v>0</v>
      </c>
      <c r="ABE74">
        <v>796</v>
      </c>
      <c r="ABF74">
        <v>0</v>
      </c>
      <c r="ABG74">
        <v>2141</v>
      </c>
      <c r="ABH74">
        <v>1810</v>
      </c>
      <c r="ABI74">
        <v>0</v>
      </c>
      <c r="ABJ74">
        <v>824</v>
      </c>
      <c r="ABK74">
        <v>2166</v>
      </c>
      <c r="ABL74">
        <v>36</v>
      </c>
      <c r="ABM74">
        <v>2056</v>
      </c>
      <c r="ABN74">
        <v>1</v>
      </c>
      <c r="ABO74">
        <v>0</v>
      </c>
      <c r="ABP74">
        <v>229</v>
      </c>
      <c r="ABQ74">
        <v>4</v>
      </c>
      <c r="ABR74">
        <v>1805</v>
      </c>
      <c r="ABS74">
        <v>2394</v>
      </c>
      <c r="ABT74">
        <v>0</v>
      </c>
      <c r="ABU74">
        <v>0</v>
      </c>
      <c r="ABV74">
        <v>2</v>
      </c>
      <c r="ABW74">
        <v>17</v>
      </c>
      <c r="ABX74">
        <v>118</v>
      </c>
      <c r="ABY74">
        <v>1</v>
      </c>
      <c r="ABZ74">
        <v>3241</v>
      </c>
      <c r="ACA74">
        <v>2123</v>
      </c>
      <c r="ACB74">
        <v>121</v>
      </c>
      <c r="ACC74">
        <v>1924</v>
      </c>
      <c r="ACD74">
        <v>0</v>
      </c>
      <c r="ACE74">
        <v>195</v>
      </c>
      <c r="ACF74">
        <v>0</v>
      </c>
      <c r="ACG74">
        <v>0</v>
      </c>
      <c r="ACH74">
        <v>6</v>
      </c>
      <c r="ACI74">
        <v>18</v>
      </c>
      <c r="ACJ74">
        <v>3</v>
      </c>
      <c r="ACK74">
        <v>2449</v>
      </c>
      <c r="ACL74">
        <v>2448</v>
      </c>
      <c r="ACM74">
        <v>22</v>
      </c>
      <c r="ACN74">
        <v>750</v>
      </c>
      <c r="ACO74">
        <v>2473</v>
      </c>
    </row>
    <row r="75" spans="1:769" x14ac:dyDescent="0.25">
      <c r="A75" t="s">
        <v>79</v>
      </c>
      <c r="B75">
        <v>0.01</v>
      </c>
      <c r="C75">
        <v>0</v>
      </c>
      <c r="D75">
        <v>6.4950000000000001</v>
      </c>
      <c r="E75">
        <v>0</v>
      </c>
      <c r="F75">
        <v>4.2233330000000002</v>
      </c>
      <c r="G75">
        <v>5.13</v>
      </c>
      <c r="H75">
        <v>2.0416669999999999</v>
      </c>
      <c r="I75">
        <v>1.8116669999999999</v>
      </c>
      <c r="J75">
        <v>0.23</v>
      </c>
      <c r="K75">
        <v>1.37</v>
      </c>
      <c r="L75">
        <v>0.23666699999999999</v>
      </c>
      <c r="M75">
        <v>3.6466669999999999</v>
      </c>
      <c r="N75">
        <v>0</v>
      </c>
      <c r="O75">
        <v>4.1166669999999996</v>
      </c>
      <c r="P75">
        <v>1.6950000000000001</v>
      </c>
      <c r="Q75">
        <v>1.4883329999999999</v>
      </c>
      <c r="R75">
        <v>0.36333300000000002</v>
      </c>
      <c r="S75">
        <v>0.245</v>
      </c>
      <c r="T75">
        <v>0.65333300000000005</v>
      </c>
      <c r="U75">
        <v>2.5</v>
      </c>
      <c r="V75">
        <v>3.9216669999999998</v>
      </c>
      <c r="W75">
        <v>6.1667E-2</v>
      </c>
      <c r="X75">
        <v>2.1</v>
      </c>
      <c r="Y75">
        <v>0.55833299999999997</v>
      </c>
      <c r="Z75">
        <v>4.4999999999999998E-2</v>
      </c>
      <c r="AA75">
        <v>3.375</v>
      </c>
      <c r="AB75">
        <v>2.5466669999999998</v>
      </c>
      <c r="AC75">
        <v>2.2033330000000002</v>
      </c>
      <c r="AD75">
        <v>1.8332999999999999E-2</v>
      </c>
      <c r="AE75">
        <v>2.2233329999999998</v>
      </c>
      <c r="AF75">
        <v>1.06</v>
      </c>
      <c r="AG75">
        <v>1.335</v>
      </c>
      <c r="AH75">
        <v>0.78666700000000001</v>
      </c>
      <c r="AI75">
        <v>1.1466670000000001</v>
      </c>
      <c r="AJ75">
        <v>3.7233329999999998</v>
      </c>
      <c r="AK75">
        <v>2.1549999999999998</v>
      </c>
      <c r="AL75">
        <v>1.885</v>
      </c>
      <c r="AM75">
        <v>0.75833300000000003</v>
      </c>
      <c r="AN75">
        <v>3.3333330000000001</v>
      </c>
      <c r="AO75">
        <v>5.0866670000000003</v>
      </c>
      <c r="AP75">
        <v>1.851667</v>
      </c>
      <c r="AQ75">
        <v>1.1066670000000001</v>
      </c>
      <c r="AR75">
        <v>4.6583329999999998</v>
      </c>
      <c r="AS75">
        <v>1.415</v>
      </c>
      <c r="AT75">
        <v>0.11833299999999999</v>
      </c>
      <c r="AU75">
        <v>2.68</v>
      </c>
      <c r="AV75">
        <v>0.42166700000000001</v>
      </c>
      <c r="AW75">
        <v>2.42</v>
      </c>
      <c r="AX75">
        <v>2.4249999999999998</v>
      </c>
      <c r="AY75">
        <v>0.58499999999999996</v>
      </c>
      <c r="AZ75">
        <v>2.0333329999999998</v>
      </c>
      <c r="BA75">
        <v>2.7949999999999999</v>
      </c>
      <c r="BB75">
        <v>0.47666700000000001</v>
      </c>
      <c r="BC75">
        <v>9.6667000000000003E-2</v>
      </c>
      <c r="BD75">
        <v>2.4950000000000001</v>
      </c>
      <c r="BE75">
        <v>4.5483330000000004</v>
      </c>
      <c r="BF75">
        <v>2.7783329999999999</v>
      </c>
      <c r="BG75">
        <v>1.086667</v>
      </c>
      <c r="BH75">
        <v>0.83833299999999999</v>
      </c>
      <c r="BI75">
        <v>1.7716670000000001</v>
      </c>
      <c r="BJ75">
        <v>3.07</v>
      </c>
      <c r="BK75">
        <v>2.6633330000000002</v>
      </c>
      <c r="BL75">
        <v>0.39666699999999999</v>
      </c>
      <c r="BM75">
        <v>2.786667</v>
      </c>
      <c r="BN75">
        <v>7.6666999999999999E-2</v>
      </c>
      <c r="BO75">
        <v>0</v>
      </c>
      <c r="BP75">
        <v>4.3466670000000001</v>
      </c>
      <c r="BQ75">
        <v>3.1133329999999999</v>
      </c>
      <c r="BR75">
        <v>0</v>
      </c>
      <c r="BS75">
        <v>5.4716670000000001</v>
      </c>
      <c r="BT75">
        <v>2.766667</v>
      </c>
      <c r="BU75">
        <v>0</v>
      </c>
      <c r="BV75">
        <v>4.8333000000000001E-2</v>
      </c>
      <c r="BW75">
        <v>7.818333</v>
      </c>
      <c r="BX75">
        <v>8.3333000000000004E-2</v>
      </c>
      <c r="BY75">
        <v>0.245</v>
      </c>
      <c r="BZ75">
        <v>3.8466670000000001</v>
      </c>
      <c r="CA75">
        <v>0.65333300000000005</v>
      </c>
      <c r="CB75">
        <v>1.7616670000000001</v>
      </c>
      <c r="CC75">
        <v>1.976667</v>
      </c>
      <c r="CD75">
        <v>2.31</v>
      </c>
      <c r="CE75">
        <v>1.2616670000000001</v>
      </c>
      <c r="CF75">
        <v>0.718333</v>
      </c>
      <c r="CG75">
        <v>3.1316670000000002</v>
      </c>
      <c r="CH75">
        <v>0</v>
      </c>
      <c r="CI75">
        <v>5.3233329999999999</v>
      </c>
      <c r="CJ75">
        <v>3.5583330000000002</v>
      </c>
      <c r="CK75">
        <v>0.39</v>
      </c>
      <c r="CL75">
        <v>3.665</v>
      </c>
      <c r="CM75">
        <v>1.5716669999999999</v>
      </c>
      <c r="CN75">
        <v>0.41</v>
      </c>
      <c r="CO75">
        <v>2.891667</v>
      </c>
      <c r="CP75">
        <v>3.73</v>
      </c>
      <c r="CQ75">
        <v>3.4983330000000001</v>
      </c>
      <c r="CR75">
        <v>1.5349999999999999</v>
      </c>
      <c r="CS75">
        <v>2.173333</v>
      </c>
      <c r="CT75">
        <v>0</v>
      </c>
      <c r="CU75">
        <v>6.9450000000000003</v>
      </c>
      <c r="CV75">
        <v>5.056667</v>
      </c>
      <c r="CW75">
        <v>2.4016670000000002</v>
      </c>
      <c r="CX75">
        <v>3.0249999999999999</v>
      </c>
      <c r="CY75">
        <v>2.1833330000000002</v>
      </c>
      <c r="CZ75">
        <v>4.76</v>
      </c>
      <c r="DA75">
        <v>8.1667000000000003E-2</v>
      </c>
      <c r="DB75">
        <v>3.1366670000000001</v>
      </c>
      <c r="DC75">
        <v>2.2316669999999998</v>
      </c>
      <c r="DD75">
        <v>2.7683330000000002</v>
      </c>
      <c r="DE75">
        <v>1.4666669999999999</v>
      </c>
      <c r="DF75">
        <v>3.6583329999999998</v>
      </c>
      <c r="DG75">
        <v>1.115</v>
      </c>
      <c r="DH75">
        <v>0.99666699999999997</v>
      </c>
      <c r="DI75">
        <v>4.601667</v>
      </c>
      <c r="DJ75">
        <v>1.8633329999999999</v>
      </c>
      <c r="DK75">
        <v>1.7516670000000001</v>
      </c>
      <c r="DL75">
        <v>7.5733329999999999</v>
      </c>
      <c r="DM75">
        <v>4.1716670000000002</v>
      </c>
      <c r="DN75">
        <v>0.78333299999999995</v>
      </c>
      <c r="DO75">
        <v>5.7616670000000001</v>
      </c>
      <c r="DP75">
        <v>2.42</v>
      </c>
      <c r="DQ75">
        <v>8.0066670000000002</v>
      </c>
      <c r="DR75">
        <v>6.1666670000000003</v>
      </c>
      <c r="DS75">
        <v>7.2249999999999996</v>
      </c>
      <c r="DT75">
        <v>0.29499999999999998</v>
      </c>
      <c r="DU75">
        <v>3.3450000000000002</v>
      </c>
      <c r="DV75">
        <v>0.02</v>
      </c>
      <c r="DW75">
        <v>6.6670000000000002E-3</v>
      </c>
      <c r="DX75">
        <v>4.8316670000000004</v>
      </c>
      <c r="DY75">
        <v>1.84</v>
      </c>
      <c r="DZ75">
        <v>2.12</v>
      </c>
      <c r="EA75">
        <v>6.8650000000000002</v>
      </c>
      <c r="EB75">
        <v>0</v>
      </c>
      <c r="EC75">
        <v>0.72166699999999995</v>
      </c>
      <c r="ED75">
        <v>0</v>
      </c>
      <c r="EE75">
        <v>1.236667</v>
      </c>
      <c r="EF75">
        <v>2.0016669999999999</v>
      </c>
      <c r="EG75">
        <v>6.9733330000000002</v>
      </c>
      <c r="EH75">
        <v>0.85833300000000001</v>
      </c>
      <c r="EI75">
        <v>4.5816670000000004</v>
      </c>
      <c r="EJ75">
        <v>0.52</v>
      </c>
      <c r="EK75">
        <v>0.28499999999999998</v>
      </c>
      <c r="EL75">
        <v>2.1466669999999999</v>
      </c>
      <c r="EM75">
        <v>3.1183329999999998</v>
      </c>
      <c r="EN75">
        <v>0.45</v>
      </c>
      <c r="EO75">
        <v>0</v>
      </c>
      <c r="EP75">
        <v>1.713333</v>
      </c>
      <c r="EQ75">
        <v>1.88</v>
      </c>
      <c r="ER75">
        <v>1.4483330000000001</v>
      </c>
      <c r="ES75">
        <v>0.44666699999999998</v>
      </c>
      <c r="ET75">
        <v>0.50833300000000003</v>
      </c>
      <c r="EU75">
        <v>2.4816669999999998</v>
      </c>
      <c r="EV75">
        <v>8.3330000000000001E-3</v>
      </c>
      <c r="EW75">
        <v>0.36333300000000002</v>
      </c>
      <c r="EX75">
        <v>1.29</v>
      </c>
      <c r="EY75">
        <v>0.403333</v>
      </c>
      <c r="EZ75">
        <v>0.8</v>
      </c>
      <c r="FA75">
        <v>1.7683329999999999</v>
      </c>
      <c r="FB75">
        <v>0</v>
      </c>
      <c r="FC75">
        <v>0.76</v>
      </c>
      <c r="FD75">
        <v>1.1667E-2</v>
      </c>
      <c r="FE75">
        <v>6.6670000000000002E-3</v>
      </c>
      <c r="FF75">
        <v>2.1166670000000001</v>
      </c>
      <c r="FG75">
        <v>3.213333</v>
      </c>
      <c r="FH75">
        <v>3.628333</v>
      </c>
      <c r="FI75">
        <v>0.245</v>
      </c>
      <c r="FJ75">
        <v>1.655</v>
      </c>
      <c r="FK75">
        <v>1.963333</v>
      </c>
      <c r="FL75">
        <v>2.5816669999999999</v>
      </c>
      <c r="FM75">
        <v>0.54</v>
      </c>
      <c r="FN75">
        <v>5.0000000000000001E-3</v>
      </c>
      <c r="FO75">
        <v>4.8333000000000001E-2</v>
      </c>
      <c r="FP75">
        <v>2.1316670000000002</v>
      </c>
      <c r="FQ75">
        <v>0.24166699999999999</v>
      </c>
      <c r="FR75">
        <v>1.21</v>
      </c>
      <c r="FS75">
        <v>2.6</v>
      </c>
      <c r="FT75">
        <v>0.65833299999999995</v>
      </c>
      <c r="FU75">
        <v>1.2833330000000001</v>
      </c>
      <c r="FV75">
        <v>2.7216670000000001</v>
      </c>
      <c r="FW75">
        <v>1.056667</v>
      </c>
      <c r="FX75">
        <v>1.4266669999999999</v>
      </c>
      <c r="FY75">
        <v>2.0083329999999999</v>
      </c>
      <c r="FZ75">
        <v>4.398333</v>
      </c>
      <c r="GA75">
        <v>1.211667</v>
      </c>
      <c r="GB75">
        <v>0.57999999999999996</v>
      </c>
      <c r="GC75">
        <v>1.888333</v>
      </c>
      <c r="GD75">
        <v>4.7966670000000002</v>
      </c>
      <c r="GE75">
        <v>4.2483329999999997</v>
      </c>
      <c r="GF75">
        <v>0.60333300000000001</v>
      </c>
      <c r="GG75">
        <v>0.86333300000000002</v>
      </c>
      <c r="GH75">
        <v>1.64</v>
      </c>
      <c r="GI75">
        <v>0.21</v>
      </c>
      <c r="GJ75">
        <v>1.348333</v>
      </c>
      <c r="GK75">
        <v>1.223333</v>
      </c>
      <c r="GL75">
        <v>0.14333299999999999</v>
      </c>
      <c r="GM75">
        <v>3.6666999999999998E-2</v>
      </c>
      <c r="GN75">
        <v>0.41333300000000001</v>
      </c>
      <c r="GO75">
        <v>2.6667E-2</v>
      </c>
      <c r="GP75">
        <v>3.24</v>
      </c>
      <c r="GQ75">
        <v>4.5250000000000004</v>
      </c>
      <c r="GR75">
        <v>1.6</v>
      </c>
      <c r="GS75">
        <v>0.156667</v>
      </c>
      <c r="GT75">
        <v>2.31</v>
      </c>
      <c r="GU75">
        <v>1.8332999999999999E-2</v>
      </c>
      <c r="GV75">
        <v>0.74166699999999997</v>
      </c>
      <c r="GW75">
        <v>0.11833299999999999</v>
      </c>
      <c r="GX75">
        <v>1.4716670000000001</v>
      </c>
      <c r="GY75">
        <v>1.02</v>
      </c>
      <c r="GZ75">
        <v>3.335</v>
      </c>
      <c r="HA75">
        <v>1.1766669999999999</v>
      </c>
      <c r="HB75">
        <v>3.4550000000000001</v>
      </c>
      <c r="HC75">
        <v>1.0733330000000001</v>
      </c>
      <c r="HD75">
        <v>2.3149999999999999</v>
      </c>
      <c r="HE75">
        <v>0.49833300000000003</v>
      </c>
      <c r="HF75">
        <v>0.14666699999999999</v>
      </c>
      <c r="HG75">
        <v>3.5133329999999998</v>
      </c>
      <c r="HH75">
        <v>4.4083329999999998</v>
      </c>
      <c r="HI75">
        <v>0.56999999999999995</v>
      </c>
      <c r="HJ75">
        <v>3.645</v>
      </c>
      <c r="HK75">
        <v>1.2649999999999999</v>
      </c>
      <c r="HL75">
        <v>1.3116669999999999</v>
      </c>
      <c r="HM75">
        <v>0.14499999999999999</v>
      </c>
      <c r="HN75">
        <v>0.61499999999999999</v>
      </c>
      <c r="HO75">
        <v>4.3466670000000001</v>
      </c>
      <c r="HP75">
        <v>0.19500000000000001</v>
      </c>
      <c r="HQ75">
        <v>0.78</v>
      </c>
      <c r="HR75">
        <v>0.73</v>
      </c>
      <c r="HS75">
        <v>5.8333000000000003E-2</v>
      </c>
      <c r="HT75">
        <v>3.4866670000000002</v>
      </c>
      <c r="HU75">
        <v>2.2216670000000001</v>
      </c>
      <c r="HV75">
        <v>0</v>
      </c>
      <c r="HW75">
        <v>3.1667000000000001E-2</v>
      </c>
      <c r="HX75">
        <v>2.19</v>
      </c>
      <c r="HY75">
        <v>4.6916669999999998</v>
      </c>
      <c r="HZ75">
        <v>1.4450000000000001</v>
      </c>
      <c r="IA75">
        <v>0.31166700000000003</v>
      </c>
      <c r="IB75">
        <v>0</v>
      </c>
      <c r="IC75">
        <v>0</v>
      </c>
      <c r="ID75">
        <v>7.0000000000000007E-2</v>
      </c>
      <c r="IE75">
        <v>3.98</v>
      </c>
      <c r="IF75">
        <v>0.843333</v>
      </c>
      <c r="IG75">
        <v>0</v>
      </c>
      <c r="IH75">
        <v>1.526667</v>
      </c>
      <c r="II75">
        <v>0.14333299999999999</v>
      </c>
      <c r="IJ75">
        <v>4.05</v>
      </c>
      <c r="IK75">
        <v>3.333E-3</v>
      </c>
      <c r="IL75">
        <v>0</v>
      </c>
      <c r="IM75">
        <v>4.1667000000000003E-2</v>
      </c>
      <c r="IN75">
        <v>3.5316670000000001</v>
      </c>
      <c r="IO75">
        <v>3.68</v>
      </c>
      <c r="IP75">
        <v>4.3316670000000004</v>
      </c>
      <c r="IQ75">
        <v>1.3332999999999999E-2</v>
      </c>
      <c r="IR75">
        <v>6.5733329999999999</v>
      </c>
      <c r="IS75">
        <v>7.78</v>
      </c>
      <c r="IT75">
        <v>0.74333300000000002</v>
      </c>
      <c r="IU75">
        <v>0.18</v>
      </c>
      <c r="IV75">
        <v>0.72833300000000001</v>
      </c>
      <c r="IW75">
        <v>0.46166699999999999</v>
      </c>
      <c r="IX75">
        <v>1.7283329999999999</v>
      </c>
      <c r="IY75">
        <v>5.6833330000000002</v>
      </c>
      <c r="IZ75">
        <v>2.411667</v>
      </c>
      <c r="JA75">
        <v>1.976667</v>
      </c>
      <c r="JB75">
        <v>0.59499999999999997</v>
      </c>
      <c r="JC75">
        <v>1.486667</v>
      </c>
      <c r="JD75">
        <v>5.681667</v>
      </c>
      <c r="JE75">
        <v>2.2166670000000002</v>
      </c>
      <c r="JF75">
        <v>0.39500000000000002</v>
      </c>
      <c r="JG75">
        <v>7.4166670000000003</v>
      </c>
      <c r="JH75">
        <v>1.3</v>
      </c>
      <c r="JI75">
        <v>0.35499999999999998</v>
      </c>
      <c r="JJ75">
        <v>0</v>
      </c>
      <c r="JK75">
        <v>1.538333</v>
      </c>
      <c r="JL75">
        <v>7.2916670000000003</v>
      </c>
      <c r="JM75">
        <v>3.74</v>
      </c>
      <c r="JN75">
        <v>4.2016669999999996</v>
      </c>
      <c r="JO75">
        <v>3.333E-3</v>
      </c>
      <c r="JP75">
        <v>1.9750000000000001</v>
      </c>
      <c r="JQ75">
        <v>0.38333299999999998</v>
      </c>
      <c r="JR75">
        <v>3.128333</v>
      </c>
      <c r="JS75">
        <v>0</v>
      </c>
      <c r="JT75">
        <v>0</v>
      </c>
      <c r="JU75">
        <v>4.6233329999999997</v>
      </c>
      <c r="JV75">
        <v>0</v>
      </c>
      <c r="JW75">
        <v>0.57999999999999996</v>
      </c>
      <c r="JX75">
        <v>0</v>
      </c>
      <c r="JY75">
        <v>0.75833300000000003</v>
      </c>
      <c r="JZ75">
        <v>0</v>
      </c>
      <c r="KA75">
        <v>0</v>
      </c>
      <c r="KB75">
        <v>5.0000000000000001E-3</v>
      </c>
      <c r="KC75">
        <v>0.20499999999999999</v>
      </c>
      <c r="KD75">
        <v>7.351667</v>
      </c>
      <c r="KE75">
        <v>0.93333299999999997</v>
      </c>
      <c r="KF75">
        <v>4.8216669999999997</v>
      </c>
      <c r="KG75">
        <v>7.1033330000000001</v>
      </c>
      <c r="KH75">
        <v>7.4999999999999997E-2</v>
      </c>
      <c r="KI75">
        <v>1.9033329999999999</v>
      </c>
      <c r="KJ75">
        <v>0.61333300000000002</v>
      </c>
      <c r="KK75">
        <v>5.9966670000000004</v>
      </c>
      <c r="KL75">
        <v>3.333E-3</v>
      </c>
      <c r="KM75">
        <v>2.81</v>
      </c>
      <c r="KN75">
        <v>4.4749999999999996</v>
      </c>
      <c r="KO75">
        <v>0.181667</v>
      </c>
      <c r="KP75">
        <v>2.7216670000000001</v>
      </c>
      <c r="KQ75">
        <v>2.6516670000000002</v>
      </c>
      <c r="KR75">
        <v>2.8849999999999998</v>
      </c>
      <c r="KS75">
        <v>4.9966670000000004</v>
      </c>
      <c r="KT75">
        <v>3.0350000000000001</v>
      </c>
      <c r="KU75">
        <v>3.5000000000000003E-2</v>
      </c>
      <c r="KV75">
        <v>0.39333299999999999</v>
      </c>
      <c r="KW75">
        <v>7.5983330000000002</v>
      </c>
      <c r="KX75">
        <v>0.67833299999999996</v>
      </c>
      <c r="KY75">
        <v>4.0633330000000001</v>
      </c>
      <c r="KZ75">
        <v>0.63333300000000003</v>
      </c>
      <c r="LA75">
        <v>2.7949999999999999</v>
      </c>
      <c r="LB75">
        <v>1.8316669999999999</v>
      </c>
      <c r="LC75">
        <v>3.6316670000000002</v>
      </c>
      <c r="LD75">
        <v>0.03</v>
      </c>
      <c r="LE75">
        <v>1.631667</v>
      </c>
      <c r="LF75">
        <v>1.326667</v>
      </c>
      <c r="LG75">
        <v>3.88</v>
      </c>
      <c r="LH75">
        <v>1.5966670000000001</v>
      </c>
      <c r="LI75">
        <v>2.5966670000000001</v>
      </c>
      <c r="LJ75">
        <v>4.9050000000000002</v>
      </c>
      <c r="LK75">
        <v>7.7983330000000004</v>
      </c>
      <c r="LL75">
        <v>5.2216670000000001</v>
      </c>
      <c r="LM75">
        <v>5.9683330000000003</v>
      </c>
      <c r="LN75">
        <v>1.0416669999999999</v>
      </c>
      <c r="LO75">
        <v>6.9733330000000002</v>
      </c>
      <c r="LP75">
        <v>3.56</v>
      </c>
      <c r="LQ75">
        <v>5.56</v>
      </c>
      <c r="LR75">
        <v>0</v>
      </c>
      <c r="LS75">
        <v>1.2833330000000001</v>
      </c>
      <c r="LT75">
        <v>4.8133330000000001</v>
      </c>
      <c r="LU75">
        <v>2.4816669999999998</v>
      </c>
      <c r="LV75">
        <v>9.2066669999999995</v>
      </c>
      <c r="LW75">
        <v>0.29499999999999998</v>
      </c>
      <c r="LX75">
        <v>2.891667</v>
      </c>
      <c r="LY75">
        <v>4.6966669999999997</v>
      </c>
      <c r="LZ75">
        <v>0.25166699999999997</v>
      </c>
      <c r="MA75">
        <v>2.9049999999999998</v>
      </c>
      <c r="MB75">
        <v>3.3883329999999998</v>
      </c>
      <c r="MC75">
        <v>0.56333299999999997</v>
      </c>
      <c r="MD75">
        <v>2.891667</v>
      </c>
      <c r="ME75">
        <v>7.5183330000000002</v>
      </c>
      <c r="MF75">
        <v>8.0366669999999996</v>
      </c>
      <c r="MG75">
        <v>0.46166699999999999</v>
      </c>
      <c r="MH75">
        <v>1.0116670000000001</v>
      </c>
      <c r="MI75">
        <v>9.2133330000000004</v>
      </c>
      <c r="MJ75">
        <v>2.766667</v>
      </c>
      <c r="MK75">
        <v>5.9633330000000004</v>
      </c>
      <c r="ML75">
        <v>5.6667000000000002E-2</v>
      </c>
      <c r="MM75">
        <v>4.5949999999999998</v>
      </c>
      <c r="MN75">
        <v>4.5949999999999998</v>
      </c>
      <c r="MO75">
        <v>6.6266670000000003</v>
      </c>
      <c r="MP75">
        <v>8.1</v>
      </c>
      <c r="MQ75">
        <v>0.70333299999999999</v>
      </c>
      <c r="MR75">
        <v>2.4300000000000002</v>
      </c>
      <c r="MS75">
        <v>9.8333000000000004E-2</v>
      </c>
      <c r="MT75">
        <v>7.8833330000000004</v>
      </c>
      <c r="MU75">
        <v>2.2116669999999998</v>
      </c>
      <c r="MV75">
        <v>7.6733330000000004</v>
      </c>
      <c r="MW75">
        <v>5.0266669999999998</v>
      </c>
      <c r="MX75">
        <v>6.6670000000000002E-3</v>
      </c>
      <c r="MY75">
        <v>3.333E-3</v>
      </c>
      <c r="MZ75">
        <v>4.0116670000000001</v>
      </c>
      <c r="NA75">
        <v>4.0750000000000002</v>
      </c>
      <c r="NB75">
        <v>0.41333300000000001</v>
      </c>
      <c r="NC75">
        <v>3.5216669999999999</v>
      </c>
      <c r="ND75">
        <v>6.2916670000000003</v>
      </c>
      <c r="NE75">
        <v>1.7933330000000001</v>
      </c>
      <c r="NF75">
        <v>1.8666670000000001</v>
      </c>
      <c r="NG75">
        <v>1.395</v>
      </c>
      <c r="NH75">
        <v>3.45</v>
      </c>
      <c r="NI75">
        <v>5.23</v>
      </c>
      <c r="NJ75">
        <v>6.7783329999999999</v>
      </c>
      <c r="NK75">
        <v>1.075</v>
      </c>
      <c r="NL75">
        <v>7.6116669999999997</v>
      </c>
      <c r="NM75">
        <v>3.108333</v>
      </c>
      <c r="NN75">
        <v>3.773333</v>
      </c>
      <c r="NO75">
        <v>6.16</v>
      </c>
      <c r="NP75">
        <v>7.1466669999999999</v>
      </c>
      <c r="NQ75">
        <v>0.54166700000000001</v>
      </c>
      <c r="NR75">
        <v>4.625</v>
      </c>
      <c r="NS75">
        <v>3.31</v>
      </c>
      <c r="NT75">
        <v>2.923333</v>
      </c>
      <c r="NU75">
        <v>2.6666669999999999</v>
      </c>
      <c r="NV75">
        <v>3.9616669999999998</v>
      </c>
      <c r="NW75">
        <v>2.79</v>
      </c>
      <c r="NX75">
        <v>2.806667</v>
      </c>
      <c r="NY75">
        <v>1.6670000000000001E-3</v>
      </c>
      <c r="NZ75">
        <v>8.3330000000000001E-3</v>
      </c>
      <c r="OA75">
        <v>0.97499999999999998</v>
      </c>
      <c r="OB75">
        <v>4.1383330000000003</v>
      </c>
      <c r="OC75">
        <v>3.5249999999999999</v>
      </c>
      <c r="OD75">
        <v>1.411667</v>
      </c>
      <c r="OE75">
        <v>1.4683330000000001</v>
      </c>
      <c r="OF75">
        <v>0.255</v>
      </c>
      <c r="OG75">
        <v>6.5883330000000004</v>
      </c>
      <c r="OH75">
        <v>8.7949999999999999</v>
      </c>
      <c r="OI75">
        <v>0</v>
      </c>
      <c r="OJ75">
        <v>6.4666670000000002</v>
      </c>
      <c r="OK75">
        <v>5.5733329999999999</v>
      </c>
      <c r="OL75">
        <v>3.1916669999999998</v>
      </c>
      <c r="OM75">
        <v>1.9650000000000001</v>
      </c>
      <c r="ON75">
        <v>4.9466669999999997</v>
      </c>
      <c r="OO75">
        <v>0</v>
      </c>
      <c r="OP75">
        <v>5.27</v>
      </c>
      <c r="OQ75">
        <v>0</v>
      </c>
      <c r="OR75">
        <v>2.5000000000000001E-2</v>
      </c>
      <c r="OS75">
        <v>0.58833299999999999</v>
      </c>
      <c r="OT75">
        <v>0</v>
      </c>
      <c r="OU75">
        <v>0</v>
      </c>
      <c r="OV75">
        <v>0</v>
      </c>
      <c r="OW75">
        <v>1.6670000000000001E-3</v>
      </c>
      <c r="OX75">
        <v>0.12</v>
      </c>
      <c r="OY75">
        <v>3.333E-3</v>
      </c>
      <c r="OZ75">
        <v>0</v>
      </c>
      <c r="PA75">
        <v>0</v>
      </c>
      <c r="PB75">
        <v>4.82</v>
      </c>
      <c r="PC75">
        <v>4.9616670000000003</v>
      </c>
      <c r="PD75">
        <v>0.128333</v>
      </c>
      <c r="PE75">
        <v>2.1883330000000001</v>
      </c>
      <c r="PF75">
        <v>1.2516670000000001</v>
      </c>
      <c r="PG75">
        <v>2.556667</v>
      </c>
      <c r="PH75">
        <v>2.1866669999999999</v>
      </c>
      <c r="PI75">
        <v>0.58666700000000005</v>
      </c>
      <c r="PJ75">
        <v>1.0816669999999999</v>
      </c>
      <c r="PK75">
        <v>3.8733330000000001</v>
      </c>
      <c r="PL75">
        <v>0.16833300000000001</v>
      </c>
      <c r="PM75">
        <v>2.568333</v>
      </c>
      <c r="PN75">
        <v>0</v>
      </c>
      <c r="PO75">
        <v>5.8333000000000003E-2</v>
      </c>
      <c r="PP75">
        <v>0.76833300000000004</v>
      </c>
      <c r="PQ75">
        <v>2.3366669999999998</v>
      </c>
      <c r="PR75">
        <v>1.326667</v>
      </c>
      <c r="PS75">
        <v>4.4550000000000001</v>
      </c>
      <c r="PT75">
        <v>0.505</v>
      </c>
      <c r="PU75">
        <v>3.463333</v>
      </c>
      <c r="PV75">
        <v>5.75</v>
      </c>
      <c r="PW75">
        <v>3.77</v>
      </c>
      <c r="PX75">
        <v>3.9616669999999998</v>
      </c>
      <c r="PY75">
        <v>1.848333</v>
      </c>
      <c r="PZ75">
        <v>5.108333</v>
      </c>
      <c r="QA75">
        <v>0.96</v>
      </c>
      <c r="QB75">
        <v>1.276667</v>
      </c>
      <c r="QC75">
        <v>0.5</v>
      </c>
      <c r="QD75">
        <v>2.2883330000000002</v>
      </c>
      <c r="QE75">
        <v>1.431667</v>
      </c>
      <c r="QF75">
        <v>0.68666700000000003</v>
      </c>
      <c r="QG75">
        <v>4.0549999999999997</v>
      </c>
      <c r="QH75">
        <v>2.6667E-2</v>
      </c>
      <c r="QI75">
        <v>0</v>
      </c>
      <c r="QJ75">
        <v>3.2833329999999998</v>
      </c>
      <c r="QK75">
        <v>2.5150000000000001</v>
      </c>
      <c r="QL75">
        <v>0.17499999999999999</v>
      </c>
      <c r="QM75">
        <v>2.02</v>
      </c>
      <c r="QN75">
        <v>1.6670000000000001E-3</v>
      </c>
      <c r="QO75">
        <v>0.75333300000000003</v>
      </c>
      <c r="QP75">
        <v>1.5649999999999999</v>
      </c>
      <c r="QQ75">
        <v>1.4999999999999999E-2</v>
      </c>
      <c r="QR75">
        <v>2.1666999999999999E-2</v>
      </c>
      <c r="QS75">
        <v>1.8133330000000001</v>
      </c>
      <c r="QT75">
        <v>0</v>
      </c>
      <c r="QU75">
        <v>0</v>
      </c>
      <c r="QV75">
        <v>4.5783329999999998</v>
      </c>
      <c r="QW75">
        <v>4.7850000000000001</v>
      </c>
      <c r="QX75">
        <v>0.41499999999999998</v>
      </c>
      <c r="QY75">
        <v>0.60166699999999995</v>
      </c>
      <c r="QZ75">
        <v>4.181667</v>
      </c>
      <c r="RA75">
        <v>5.273333</v>
      </c>
      <c r="RB75">
        <v>6.5183330000000002</v>
      </c>
      <c r="RC75">
        <v>1.921667</v>
      </c>
      <c r="RD75">
        <v>1.175</v>
      </c>
      <c r="RE75">
        <v>4.3266669999999996</v>
      </c>
      <c r="RF75">
        <v>2.5533329999999999</v>
      </c>
      <c r="RG75">
        <v>2.9916670000000001</v>
      </c>
      <c r="RH75">
        <v>1.0333330000000001</v>
      </c>
      <c r="RI75">
        <v>1.066667</v>
      </c>
      <c r="RJ75">
        <v>5.9883329999999999</v>
      </c>
      <c r="RK75">
        <v>1.8933329999999999</v>
      </c>
      <c r="RL75">
        <v>2.076667</v>
      </c>
      <c r="RM75">
        <v>5.601667</v>
      </c>
      <c r="RN75">
        <v>0.30333300000000002</v>
      </c>
      <c r="RO75">
        <v>5.73</v>
      </c>
      <c r="RP75">
        <v>0.23333300000000001</v>
      </c>
      <c r="RQ75">
        <v>3.4783330000000001</v>
      </c>
      <c r="RR75">
        <v>1.7916669999999999</v>
      </c>
      <c r="RS75">
        <v>0.843333</v>
      </c>
      <c r="RT75">
        <v>5.273333</v>
      </c>
      <c r="RU75">
        <v>0.77</v>
      </c>
      <c r="RV75">
        <v>5.58</v>
      </c>
      <c r="RW75">
        <v>2.33</v>
      </c>
      <c r="RX75">
        <v>0.343333</v>
      </c>
      <c r="RY75">
        <v>5.6116669999999997</v>
      </c>
      <c r="RZ75">
        <v>2.78</v>
      </c>
      <c r="SA75">
        <v>0.57499999999999996</v>
      </c>
      <c r="SB75">
        <v>0.33666699999999999</v>
      </c>
      <c r="SC75">
        <v>1.5516669999999999</v>
      </c>
      <c r="SD75">
        <v>4.3866670000000001</v>
      </c>
      <c r="SE75">
        <v>7.3616669999999997</v>
      </c>
      <c r="SF75">
        <v>4.0049999999999999</v>
      </c>
      <c r="SG75">
        <v>4.4933329999999998</v>
      </c>
      <c r="SH75">
        <v>1.961667</v>
      </c>
      <c r="SI75">
        <v>7.42</v>
      </c>
      <c r="SJ75">
        <v>1.575</v>
      </c>
      <c r="SK75">
        <v>0</v>
      </c>
      <c r="SL75">
        <v>0.58666700000000005</v>
      </c>
      <c r="SM75">
        <v>0.64333300000000004</v>
      </c>
      <c r="SN75">
        <v>7.7116670000000003</v>
      </c>
      <c r="SO75">
        <v>2.8333000000000001E-2</v>
      </c>
      <c r="SP75">
        <v>1.87</v>
      </c>
      <c r="SQ75">
        <v>0.75</v>
      </c>
      <c r="SR75">
        <v>5.233333</v>
      </c>
      <c r="SS75">
        <v>6.9183329999999996</v>
      </c>
      <c r="ST75">
        <v>0.79666700000000001</v>
      </c>
      <c r="SU75">
        <v>3.1333329999999999</v>
      </c>
      <c r="SV75">
        <v>0.22500000000000001</v>
      </c>
      <c r="SW75">
        <v>3.0433330000000001</v>
      </c>
      <c r="SX75">
        <v>4.1667000000000003E-2</v>
      </c>
      <c r="SY75">
        <v>0.93500000000000005</v>
      </c>
      <c r="SZ75">
        <v>0.79333299999999995</v>
      </c>
      <c r="TA75">
        <v>3.5066670000000002</v>
      </c>
      <c r="TB75">
        <v>0.86499999999999999</v>
      </c>
      <c r="TC75">
        <v>2.66</v>
      </c>
      <c r="TD75">
        <v>2.8766669999999999</v>
      </c>
      <c r="TE75">
        <v>1.75</v>
      </c>
      <c r="TF75">
        <v>1.086667</v>
      </c>
      <c r="TG75">
        <v>0.401667</v>
      </c>
      <c r="TH75">
        <v>1.33</v>
      </c>
      <c r="TI75">
        <v>1.0916669999999999</v>
      </c>
      <c r="TJ75">
        <v>2.1666999999999999E-2</v>
      </c>
      <c r="TK75">
        <v>1.298333</v>
      </c>
      <c r="TL75">
        <v>0</v>
      </c>
      <c r="TM75">
        <v>4.6667E-2</v>
      </c>
      <c r="TN75">
        <v>4.24</v>
      </c>
      <c r="TO75">
        <v>0</v>
      </c>
      <c r="TP75">
        <v>2.2283330000000001</v>
      </c>
      <c r="TQ75">
        <v>2.476667</v>
      </c>
      <c r="TR75">
        <v>0.68166700000000002</v>
      </c>
      <c r="TS75">
        <v>1.3149999999999999</v>
      </c>
      <c r="TT75">
        <v>0.35333300000000001</v>
      </c>
      <c r="TU75">
        <v>0</v>
      </c>
      <c r="TV75">
        <v>1.355</v>
      </c>
      <c r="TW75">
        <v>1.4166669999999999</v>
      </c>
      <c r="TX75">
        <v>6.0616669999999999</v>
      </c>
      <c r="TY75">
        <v>0</v>
      </c>
      <c r="TZ75">
        <v>5.4950000000000001</v>
      </c>
      <c r="UA75">
        <v>5.476667</v>
      </c>
      <c r="UB75">
        <v>3.0833330000000001</v>
      </c>
      <c r="UC75">
        <v>2.3333E-2</v>
      </c>
      <c r="UD75">
        <v>2.673333</v>
      </c>
      <c r="UE75">
        <v>4.3466670000000001</v>
      </c>
      <c r="UF75">
        <v>1.9350000000000001</v>
      </c>
      <c r="UG75">
        <v>1.1033329999999999</v>
      </c>
      <c r="UH75">
        <v>5.0000000000000001E-3</v>
      </c>
      <c r="UI75">
        <v>4.4883329999999999</v>
      </c>
      <c r="UJ75">
        <v>2.6566670000000001</v>
      </c>
      <c r="UK75">
        <v>1.3966670000000001</v>
      </c>
      <c r="UL75">
        <v>3.78</v>
      </c>
      <c r="UM75">
        <v>6.6670000000000002E-3</v>
      </c>
      <c r="UN75">
        <v>0</v>
      </c>
      <c r="UO75">
        <v>0</v>
      </c>
      <c r="UP75">
        <v>3.2433329999999998</v>
      </c>
      <c r="UQ75">
        <v>1.6670000000000001E-3</v>
      </c>
      <c r="UR75">
        <v>5.7133330000000004</v>
      </c>
      <c r="US75">
        <v>4.8216669999999997</v>
      </c>
      <c r="UT75">
        <v>1.338333</v>
      </c>
      <c r="UU75">
        <v>3.8450000000000002</v>
      </c>
      <c r="UV75">
        <v>2.2433329999999998</v>
      </c>
      <c r="UW75">
        <v>0</v>
      </c>
      <c r="UX75">
        <v>6.99</v>
      </c>
      <c r="UY75">
        <v>4.3250000000000002</v>
      </c>
      <c r="UZ75">
        <v>0.01</v>
      </c>
      <c r="VA75">
        <v>5.9866669999999997</v>
      </c>
      <c r="VB75">
        <v>0.246667</v>
      </c>
      <c r="VC75">
        <v>0</v>
      </c>
      <c r="VD75">
        <v>0.41166700000000001</v>
      </c>
      <c r="VE75">
        <v>3.1966670000000001</v>
      </c>
      <c r="VF75">
        <v>5.3433330000000003</v>
      </c>
      <c r="VG75">
        <v>0.90833299999999995</v>
      </c>
      <c r="VH75">
        <v>1.2616670000000001</v>
      </c>
      <c r="VI75">
        <v>3.333E-3</v>
      </c>
      <c r="VJ75">
        <v>0</v>
      </c>
      <c r="VK75">
        <v>0</v>
      </c>
      <c r="VL75">
        <v>0</v>
      </c>
      <c r="VM75">
        <v>0</v>
      </c>
      <c r="VN75">
        <v>0.13333300000000001</v>
      </c>
      <c r="VO75">
        <v>4.6633329999999997</v>
      </c>
      <c r="VP75">
        <v>2.0783330000000002</v>
      </c>
      <c r="VQ75">
        <v>0.89166699999999999</v>
      </c>
      <c r="VR75">
        <v>0.63333300000000003</v>
      </c>
      <c r="VS75">
        <v>0.76833300000000004</v>
      </c>
      <c r="VT75">
        <v>0</v>
      </c>
      <c r="VU75">
        <v>0.96166700000000005</v>
      </c>
      <c r="VV75">
        <v>7.0000000000000007E-2</v>
      </c>
      <c r="VW75">
        <v>9.3332999999999999E-2</v>
      </c>
      <c r="VX75">
        <v>8.3333000000000004E-2</v>
      </c>
      <c r="VY75">
        <v>4.3766670000000003</v>
      </c>
      <c r="VZ75">
        <v>3.7233329999999998</v>
      </c>
      <c r="WA75">
        <v>8.3330000000000001E-3</v>
      </c>
      <c r="WB75">
        <v>0</v>
      </c>
      <c r="WC75">
        <v>5.1666999999999998E-2</v>
      </c>
      <c r="WD75">
        <v>0.276667</v>
      </c>
      <c r="WE75">
        <v>1.163333</v>
      </c>
      <c r="WF75">
        <v>3.1949999999999998</v>
      </c>
      <c r="WG75">
        <v>0.76</v>
      </c>
      <c r="WH75">
        <v>0</v>
      </c>
      <c r="WI75">
        <v>1.493333</v>
      </c>
      <c r="WJ75">
        <v>0.25666699999999998</v>
      </c>
      <c r="WK75">
        <v>3.1433330000000002</v>
      </c>
      <c r="WL75">
        <v>6.6670000000000002E-3</v>
      </c>
      <c r="WM75">
        <v>0.91500000000000004</v>
      </c>
      <c r="WN75">
        <v>3.3133330000000001</v>
      </c>
      <c r="WO75">
        <v>5.3833330000000004</v>
      </c>
      <c r="WP75">
        <v>1.73</v>
      </c>
      <c r="WQ75">
        <v>2.5449999999999999</v>
      </c>
      <c r="WR75">
        <v>1.6670000000000001E-3</v>
      </c>
      <c r="WS75">
        <v>3.5216669999999999</v>
      </c>
      <c r="WT75">
        <v>0</v>
      </c>
      <c r="WU75">
        <v>0.19500000000000001</v>
      </c>
      <c r="WV75">
        <v>0</v>
      </c>
      <c r="WW75">
        <v>0.81</v>
      </c>
      <c r="WX75">
        <v>0.2</v>
      </c>
      <c r="WY75">
        <v>5.1666999999999998E-2</v>
      </c>
      <c r="WZ75">
        <v>0.3</v>
      </c>
      <c r="XA75">
        <v>0.62166699999999997</v>
      </c>
      <c r="XB75">
        <v>3.333E-3</v>
      </c>
      <c r="XC75">
        <v>0.45833299999999999</v>
      </c>
      <c r="XD75">
        <v>0.71666700000000005</v>
      </c>
      <c r="XE75">
        <v>2.233333</v>
      </c>
      <c r="XF75">
        <v>8.8332999999999995E-2</v>
      </c>
      <c r="XG75">
        <v>2.5099999999999998</v>
      </c>
      <c r="XH75">
        <v>5.0633330000000001</v>
      </c>
      <c r="XI75">
        <v>0.115</v>
      </c>
      <c r="XJ75">
        <v>0.22833300000000001</v>
      </c>
      <c r="XK75">
        <v>2.9049999999999998</v>
      </c>
      <c r="XL75">
        <v>1.233333</v>
      </c>
      <c r="XM75">
        <v>5.858333</v>
      </c>
      <c r="XN75">
        <v>3.0316670000000001</v>
      </c>
      <c r="XO75">
        <v>0.401667</v>
      </c>
      <c r="XP75">
        <v>0.64833300000000005</v>
      </c>
      <c r="XQ75">
        <v>5.6667000000000002E-2</v>
      </c>
      <c r="XR75">
        <v>0.57333299999999998</v>
      </c>
      <c r="XS75">
        <v>1.266667</v>
      </c>
      <c r="XT75">
        <v>6.8033330000000003</v>
      </c>
      <c r="XU75">
        <v>0.14833299999999999</v>
      </c>
      <c r="XV75">
        <v>5.3332999999999998E-2</v>
      </c>
      <c r="XW75">
        <v>1.6670000000000001E-3</v>
      </c>
      <c r="XX75">
        <v>2.2316669999999998</v>
      </c>
      <c r="XY75">
        <v>1.0833330000000001</v>
      </c>
      <c r="XZ75">
        <v>0.70333299999999999</v>
      </c>
      <c r="YA75">
        <v>0.278333</v>
      </c>
      <c r="YB75">
        <v>1.0549999999999999</v>
      </c>
      <c r="YC75">
        <v>3.4016670000000002</v>
      </c>
      <c r="YD75">
        <v>1.6670000000000001E-3</v>
      </c>
      <c r="YE75">
        <v>1.1666669999999999</v>
      </c>
      <c r="YF75">
        <v>0.14666699999999999</v>
      </c>
      <c r="YG75">
        <v>5.3283329999999998</v>
      </c>
      <c r="YH75">
        <v>8.5000000000000006E-2</v>
      </c>
      <c r="YI75">
        <v>0</v>
      </c>
      <c r="YJ75">
        <v>3.4849999999999999</v>
      </c>
      <c r="YK75">
        <v>3.963333</v>
      </c>
      <c r="YL75">
        <v>2.9683329999999999</v>
      </c>
      <c r="YM75">
        <v>7.7316669999999998</v>
      </c>
      <c r="YN75">
        <v>0</v>
      </c>
      <c r="YO75">
        <v>0</v>
      </c>
      <c r="YP75">
        <v>0.14666699999999999</v>
      </c>
      <c r="YQ75">
        <v>5.0783329999999998</v>
      </c>
      <c r="YR75">
        <v>2.19</v>
      </c>
      <c r="YS75">
        <v>1.3049999999999999</v>
      </c>
      <c r="YT75">
        <v>0</v>
      </c>
      <c r="YU75">
        <v>3.4183330000000001</v>
      </c>
      <c r="YV75">
        <v>5.2133330000000004</v>
      </c>
      <c r="YW75">
        <v>1.6670000000000001E-3</v>
      </c>
      <c r="YX75">
        <v>0.05</v>
      </c>
      <c r="YY75">
        <v>0.14000000000000001</v>
      </c>
      <c r="YZ75">
        <v>1.598333</v>
      </c>
      <c r="ZA75">
        <v>3.415</v>
      </c>
      <c r="ZB75">
        <v>3.333E-3</v>
      </c>
      <c r="ZC75">
        <v>2.306667</v>
      </c>
      <c r="ZD75">
        <v>3.0183330000000002</v>
      </c>
      <c r="ZE75">
        <v>3.77</v>
      </c>
      <c r="ZF75">
        <v>0.14000000000000001</v>
      </c>
      <c r="ZG75">
        <v>1.01</v>
      </c>
      <c r="ZH75">
        <v>0.598333</v>
      </c>
      <c r="ZI75">
        <v>0.58666700000000005</v>
      </c>
      <c r="ZJ75">
        <v>0.46</v>
      </c>
      <c r="ZK75">
        <v>0</v>
      </c>
      <c r="ZL75">
        <v>0.47</v>
      </c>
      <c r="ZM75">
        <v>0.57666700000000004</v>
      </c>
      <c r="ZN75">
        <v>0.75</v>
      </c>
      <c r="ZO75">
        <v>0.34</v>
      </c>
      <c r="ZP75">
        <v>1.6670000000000001E-3</v>
      </c>
      <c r="ZQ75">
        <v>0</v>
      </c>
      <c r="ZR75">
        <v>0</v>
      </c>
      <c r="ZS75">
        <v>3.3333000000000002E-2</v>
      </c>
      <c r="ZT75">
        <v>0</v>
      </c>
      <c r="ZU75">
        <v>0</v>
      </c>
      <c r="ZV75">
        <v>1.473333</v>
      </c>
      <c r="ZW75">
        <v>0</v>
      </c>
      <c r="ZX75">
        <v>0.50166699999999997</v>
      </c>
      <c r="ZY75">
        <v>1.171667</v>
      </c>
      <c r="ZZ75">
        <v>0.67500000000000004</v>
      </c>
      <c r="AAA75">
        <v>3.023333</v>
      </c>
      <c r="AAB75">
        <v>1.371667</v>
      </c>
      <c r="AAC75">
        <v>0.54833299999999996</v>
      </c>
      <c r="AAD75">
        <v>4.2216670000000001</v>
      </c>
      <c r="AAE75">
        <v>1.395</v>
      </c>
      <c r="AAF75">
        <v>0.37833299999999997</v>
      </c>
      <c r="AAG75">
        <v>0.61166699999999996</v>
      </c>
      <c r="AAH75">
        <v>5.0000000000000001E-3</v>
      </c>
      <c r="AAI75">
        <v>0.53500000000000003</v>
      </c>
      <c r="AAJ75">
        <v>0.531667</v>
      </c>
      <c r="AAK75">
        <v>0</v>
      </c>
      <c r="AAL75">
        <v>0</v>
      </c>
      <c r="AAM75">
        <v>1.3149999999999999</v>
      </c>
      <c r="AAN75">
        <v>3.326667</v>
      </c>
      <c r="AAO75">
        <v>1.1333329999999999</v>
      </c>
      <c r="AAP75">
        <v>0</v>
      </c>
      <c r="AAQ75">
        <v>1.1766669999999999</v>
      </c>
      <c r="AAR75">
        <v>1.693333</v>
      </c>
      <c r="AAS75">
        <v>0</v>
      </c>
      <c r="AAT75">
        <v>0.36833300000000002</v>
      </c>
      <c r="AAU75">
        <v>0.16500000000000001</v>
      </c>
      <c r="AAV75">
        <v>0.28000000000000003</v>
      </c>
      <c r="AAW75">
        <v>1.913333</v>
      </c>
      <c r="AAX75">
        <v>8.3330000000000001E-3</v>
      </c>
      <c r="AAY75">
        <v>2.858333</v>
      </c>
      <c r="AAZ75">
        <v>1.6670000000000001E-3</v>
      </c>
      <c r="ABA75">
        <v>4.8816670000000002</v>
      </c>
      <c r="ABB75">
        <v>0.54166700000000001</v>
      </c>
      <c r="ABC75">
        <v>4.7883329999999997</v>
      </c>
      <c r="ABD75">
        <v>0</v>
      </c>
      <c r="ABE75">
        <v>1.326667</v>
      </c>
      <c r="ABF75">
        <v>0</v>
      </c>
      <c r="ABG75">
        <v>3.568333</v>
      </c>
      <c r="ABH75">
        <v>3.016667</v>
      </c>
      <c r="ABI75">
        <v>0</v>
      </c>
      <c r="ABJ75">
        <v>1.3733329999999999</v>
      </c>
      <c r="ABK75">
        <v>3.61</v>
      </c>
      <c r="ABL75">
        <v>0.06</v>
      </c>
      <c r="ABM75">
        <v>3.4266670000000001</v>
      </c>
      <c r="ABN75">
        <v>1.6670000000000001E-3</v>
      </c>
      <c r="ABO75">
        <v>0</v>
      </c>
      <c r="ABP75">
        <v>0.38166699999999998</v>
      </c>
      <c r="ABQ75">
        <v>6.6670000000000002E-3</v>
      </c>
      <c r="ABR75">
        <v>3.0083329999999999</v>
      </c>
      <c r="ABS75">
        <v>3.99</v>
      </c>
      <c r="ABT75">
        <v>0</v>
      </c>
      <c r="ABU75">
        <v>0</v>
      </c>
      <c r="ABV75">
        <v>3.333E-3</v>
      </c>
      <c r="ABW75">
        <v>2.8333000000000001E-2</v>
      </c>
      <c r="ABX75">
        <v>0.19666700000000001</v>
      </c>
      <c r="ABY75">
        <v>1.6670000000000001E-3</v>
      </c>
      <c r="ABZ75">
        <v>5.4016669999999998</v>
      </c>
      <c r="ACA75">
        <v>3.5383330000000002</v>
      </c>
      <c r="ACB75">
        <v>0.20166700000000001</v>
      </c>
      <c r="ACC75">
        <v>3.2066669999999999</v>
      </c>
      <c r="ACD75">
        <v>0</v>
      </c>
      <c r="ACE75">
        <v>0.32500000000000001</v>
      </c>
      <c r="ACF75">
        <v>0</v>
      </c>
      <c r="ACG75">
        <v>0</v>
      </c>
      <c r="ACH75">
        <v>0.01</v>
      </c>
      <c r="ACI75">
        <v>0.03</v>
      </c>
      <c r="ACJ75">
        <v>5.0000000000000001E-3</v>
      </c>
      <c r="ACK75">
        <v>4.0816670000000004</v>
      </c>
      <c r="ACL75">
        <v>4.08</v>
      </c>
      <c r="ACM75">
        <v>3.6666999999999998E-2</v>
      </c>
      <c r="ACN75">
        <v>1.25</v>
      </c>
      <c r="ACO75">
        <v>4.1216670000000004</v>
      </c>
    </row>
    <row r="76" spans="1:769" x14ac:dyDescent="0.25">
      <c r="A76" t="s">
        <v>890</v>
      </c>
      <c r="B76" t="s">
        <v>114</v>
      </c>
      <c r="C76" t="s">
        <v>114</v>
      </c>
      <c r="D76">
        <v>5.3715390000000003</v>
      </c>
      <c r="E76" t="s">
        <v>114</v>
      </c>
      <c r="F76">
        <v>4.4035349999999998</v>
      </c>
      <c r="G76">
        <v>4.857259</v>
      </c>
      <c r="H76">
        <v>2.960331</v>
      </c>
      <c r="I76">
        <v>2.7797529999999999</v>
      </c>
      <c r="J76">
        <v>0.95723899999999995</v>
      </c>
      <c r="K76">
        <v>2.376903</v>
      </c>
      <c r="L76">
        <v>1.134976</v>
      </c>
      <c r="M76">
        <v>4.0706889999999998</v>
      </c>
      <c r="N76" t="s">
        <v>114</v>
      </c>
      <c r="O76">
        <v>4.324897</v>
      </c>
      <c r="P76">
        <v>2.6839559999999998</v>
      </c>
      <c r="Q76">
        <v>2.4872990000000001</v>
      </c>
      <c r="R76">
        <v>1.0531680000000001</v>
      </c>
      <c r="S76">
        <v>1.0324599999999999</v>
      </c>
      <c r="T76">
        <v>1.547582</v>
      </c>
      <c r="U76">
        <v>3.4358680000000001</v>
      </c>
      <c r="V76">
        <v>4.2851150000000002</v>
      </c>
      <c r="W76" t="s">
        <v>114</v>
      </c>
      <c r="X76">
        <v>3.1319840000000001</v>
      </c>
      <c r="Y76">
        <v>1.3537129999999999</v>
      </c>
      <c r="Z76" t="s">
        <v>114</v>
      </c>
      <c r="AA76">
        <v>4.0288649999999997</v>
      </c>
      <c r="AB76">
        <v>3.4698880000000001</v>
      </c>
      <c r="AC76">
        <v>2.7426219999999999</v>
      </c>
      <c r="AD76" t="s">
        <v>114</v>
      </c>
      <c r="AE76">
        <v>3.2308500000000002</v>
      </c>
      <c r="AF76">
        <v>2.1105700000000001</v>
      </c>
      <c r="AG76">
        <v>2.3941530000000002</v>
      </c>
      <c r="AH76">
        <v>1.630439</v>
      </c>
      <c r="AI76">
        <v>2.066157</v>
      </c>
      <c r="AJ76">
        <v>3.9905889999999999</v>
      </c>
      <c r="AK76">
        <v>2.9769610000000002</v>
      </c>
      <c r="AL76">
        <v>2.7641659999999999</v>
      </c>
      <c r="AM76">
        <v>1.647308</v>
      </c>
      <c r="AN76">
        <v>3.761053</v>
      </c>
      <c r="AO76">
        <v>4.6883039999999996</v>
      </c>
      <c r="AP76">
        <v>2.731004</v>
      </c>
      <c r="AQ76">
        <v>2.0203730000000002</v>
      </c>
      <c r="AR76">
        <v>4.4816659999999997</v>
      </c>
      <c r="AS76">
        <v>2.339461</v>
      </c>
      <c r="AT76">
        <v>0.79442400000000002</v>
      </c>
      <c r="AU76">
        <v>3.3469760000000002</v>
      </c>
      <c r="AV76">
        <v>0.99282800000000004</v>
      </c>
      <c r="AW76">
        <v>3.1702509999999999</v>
      </c>
      <c r="AX76">
        <v>3.4935369999999999</v>
      </c>
      <c r="AY76">
        <v>1.5248660000000001</v>
      </c>
      <c r="AZ76">
        <v>3.1905679999999998</v>
      </c>
      <c r="BA76">
        <v>3.793037</v>
      </c>
      <c r="BB76">
        <v>1.3367469999999999</v>
      </c>
      <c r="BC76" t="s">
        <v>114</v>
      </c>
      <c r="BD76">
        <v>3.5585339999999999</v>
      </c>
      <c r="BE76">
        <v>4.842581</v>
      </c>
      <c r="BF76">
        <v>3.777466</v>
      </c>
      <c r="BG76">
        <v>2.2371089999999998</v>
      </c>
      <c r="BH76">
        <v>1.9066099999999999</v>
      </c>
      <c r="BI76">
        <v>2.9606560000000002</v>
      </c>
      <c r="BJ76">
        <v>3.7049219999999998</v>
      </c>
      <c r="BK76">
        <v>3.6853379999999998</v>
      </c>
      <c r="BL76">
        <v>1.223195</v>
      </c>
      <c r="BM76">
        <v>3.7801490000000002</v>
      </c>
      <c r="BN76" t="s">
        <v>114</v>
      </c>
      <c r="BO76" t="s">
        <v>114</v>
      </c>
      <c r="BP76">
        <v>3.469662</v>
      </c>
      <c r="BQ76">
        <v>2.8827020000000001</v>
      </c>
      <c r="BR76" t="s">
        <v>114</v>
      </c>
      <c r="BS76">
        <v>3.8587020000000001</v>
      </c>
      <c r="BT76">
        <v>2.742292</v>
      </c>
      <c r="BU76" t="s">
        <v>114</v>
      </c>
      <c r="BV76" t="s">
        <v>114</v>
      </c>
      <c r="BW76">
        <v>4.6466390000000004</v>
      </c>
      <c r="BX76" t="s">
        <v>114</v>
      </c>
      <c r="BY76">
        <v>1.0521720000000001</v>
      </c>
      <c r="BZ76">
        <v>3.2047129999999999</v>
      </c>
      <c r="CA76">
        <v>1.025671</v>
      </c>
      <c r="CB76">
        <v>2.094309</v>
      </c>
      <c r="CC76">
        <v>2.2416019999999999</v>
      </c>
      <c r="CD76">
        <v>2.6598869999999999</v>
      </c>
      <c r="CE76">
        <v>1.8639859999999999</v>
      </c>
      <c r="CF76">
        <v>1.27166</v>
      </c>
      <c r="CG76">
        <v>3.1635740000000001</v>
      </c>
      <c r="CH76" t="s">
        <v>114</v>
      </c>
      <c r="CI76">
        <v>4.1922680000000003</v>
      </c>
      <c r="CJ76">
        <v>3.388522</v>
      </c>
      <c r="CK76">
        <v>1.065239</v>
      </c>
      <c r="CL76">
        <v>3.4390000000000001</v>
      </c>
      <c r="CM76">
        <v>2.134045</v>
      </c>
      <c r="CN76">
        <v>1.0210109999999999</v>
      </c>
      <c r="CO76">
        <v>3.0096599999999998</v>
      </c>
      <c r="CP76">
        <v>3.4443350000000001</v>
      </c>
      <c r="CQ76">
        <v>3.331229</v>
      </c>
      <c r="CR76">
        <v>2.1034130000000002</v>
      </c>
      <c r="CS76">
        <v>2.5416370000000001</v>
      </c>
      <c r="CT76" t="s">
        <v>114</v>
      </c>
      <c r="CU76">
        <v>4.7446590000000004</v>
      </c>
      <c r="CV76">
        <v>4.2305149999999996</v>
      </c>
      <c r="CW76">
        <v>2.7146710000000001</v>
      </c>
      <c r="CX76">
        <v>2.6778089999999999</v>
      </c>
      <c r="CY76">
        <v>2.7591350000000001</v>
      </c>
      <c r="CZ76">
        <v>4.1269600000000004</v>
      </c>
      <c r="DA76" t="s">
        <v>114</v>
      </c>
      <c r="DB76">
        <v>3.292259</v>
      </c>
      <c r="DC76">
        <v>2.754756</v>
      </c>
      <c r="DD76">
        <v>3.1297429999999999</v>
      </c>
      <c r="DE76">
        <v>2.1652209999999998</v>
      </c>
      <c r="DF76">
        <v>3.5831740000000001</v>
      </c>
      <c r="DG76">
        <v>1.853515</v>
      </c>
      <c r="DH76">
        <v>1.7321759999999999</v>
      </c>
      <c r="DI76">
        <v>3.9634839999999998</v>
      </c>
      <c r="DJ76">
        <v>2.4141270000000001</v>
      </c>
      <c r="DK76">
        <v>2.340481</v>
      </c>
      <c r="DL76">
        <v>5.1182090000000002</v>
      </c>
      <c r="DM76">
        <v>3.7536</v>
      </c>
      <c r="DN76">
        <v>1.3913219999999999</v>
      </c>
      <c r="DO76">
        <v>4.4586079999999999</v>
      </c>
      <c r="DP76">
        <v>2.7958280000000002</v>
      </c>
      <c r="DQ76">
        <v>5.2693250000000003</v>
      </c>
      <c r="DR76">
        <v>4.6334689999999998</v>
      </c>
      <c r="DS76">
        <v>5.0171590000000004</v>
      </c>
      <c r="DT76">
        <v>1.0496920000000001</v>
      </c>
      <c r="DU76">
        <v>3.3299449999999999</v>
      </c>
      <c r="DV76" t="s">
        <v>114</v>
      </c>
      <c r="DW76" t="s">
        <v>114</v>
      </c>
      <c r="DX76">
        <v>4.0614359999999996</v>
      </c>
      <c r="DY76">
        <v>2.3883169999999998</v>
      </c>
      <c r="DZ76">
        <v>2.3816799999999998</v>
      </c>
      <c r="EA76">
        <v>4.4044179999999997</v>
      </c>
      <c r="EB76" t="s">
        <v>114</v>
      </c>
      <c r="EC76">
        <v>1.206615</v>
      </c>
      <c r="ED76" t="s">
        <v>114</v>
      </c>
      <c r="EE76">
        <v>1.742267</v>
      </c>
      <c r="EF76">
        <v>2.2928289999999998</v>
      </c>
      <c r="EG76">
        <v>2.8635320000000002</v>
      </c>
      <c r="EH76">
        <v>1.4407749999999999</v>
      </c>
      <c r="EI76">
        <v>3.5923790000000002</v>
      </c>
      <c r="EJ76">
        <v>2.4196870000000001</v>
      </c>
      <c r="EK76">
        <v>1.7906439999999999</v>
      </c>
      <c r="EL76">
        <v>2.395216</v>
      </c>
      <c r="EM76">
        <v>2.9350149999999999</v>
      </c>
      <c r="EN76">
        <v>1.622052</v>
      </c>
      <c r="EO76" t="s">
        <v>114</v>
      </c>
      <c r="EP76">
        <v>2.8515700000000002</v>
      </c>
      <c r="EQ76">
        <v>3.3524289999999999</v>
      </c>
      <c r="ER76">
        <v>2.5538319999999999</v>
      </c>
      <c r="ES76">
        <v>2.0872459999999999</v>
      </c>
      <c r="ET76">
        <v>1.3887069999999999</v>
      </c>
      <c r="EU76">
        <v>3.4366650000000001</v>
      </c>
      <c r="EV76" t="s">
        <v>114</v>
      </c>
      <c r="EW76">
        <v>1.749071</v>
      </c>
      <c r="EX76">
        <v>2.38442</v>
      </c>
      <c r="EY76">
        <v>1.649254</v>
      </c>
      <c r="EZ76">
        <v>1.810467</v>
      </c>
      <c r="FA76">
        <v>2.9070239999999998</v>
      </c>
      <c r="FB76" t="s">
        <v>114</v>
      </c>
      <c r="FC76">
        <v>1.9159330000000001</v>
      </c>
      <c r="FD76" t="s">
        <v>114</v>
      </c>
      <c r="FE76" t="s">
        <v>114</v>
      </c>
      <c r="FF76">
        <v>4.2205500000000002</v>
      </c>
      <c r="FG76">
        <v>5.0156989999999997</v>
      </c>
      <c r="FH76">
        <v>5.3924729999999998</v>
      </c>
      <c r="FI76">
        <v>1.674887</v>
      </c>
      <c r="FJ76">
        <v>3.85995</v>
      </c>
      <c r="FK76">
        <v>3.915794</v>
      </c>
      <c r="FL76">
        <v>4.6389199999999997</v>
      </c>
      <c r="FM76">
        <v>2.1612659999999999</v>
      </c>
      <c r="FN76" t="s">
        <v>114</v>
      </c>
      <c r="FO76" t="s">
        <v>114</v>
      </c>
      <c r="FP76">
        <v>4.1189619999999998</v>
      </c>
      <c r="FQ76">
        <v>2.092733</v>
      </c>
      <c r="FR76">
        <v>3.020127</v>
      </c>
      <c r="FS76">
        <v>4.4573859999999996</v>
      </c>
      <c r="FT76">
        <v>2.0561389999999999</v>
      </c>
      <c r="FU76">
        <v>3.0929570000000002</v>
      </c>
      <c r="FV76">
        <v>3.556581</v>
      </c>
      <c r="FW76">
        <v>2.2966120000000001</v>
      </c>
      <c r="FX76">
        <v>2.6362009999999998</v>
      </c>
      <c r="FY76">
        <v>3.288478</v>
      </c>
      <c r="FZ76">
        <v>3.3793500000000001</v>
      </c>
      <c r="GA76">
        <v>2.2506179999999998</v>
      </c>
      <c r="GB76">
        <v>1.713192</v>
      </c>
      <c r="GC76">
        <v>2.6559300000000001</v>
      </c>
      <c r="GD76">
        <v>4.69869</v>
      </c>
      <c r="GE76">
        <v>4.1779469999999996</v>
      </c>
      <c r="GF76">
        <v>1.567232</v>
      </c>
      <c r="GG76">
        <v>1.6815450000000001</v>
      </c>
      <c r="GH76">
        <v>2.72112</v>
      </c>
      <c r="GI76">
        <v>1.0313570000000001</v>
      </c>
      <c r="GJ76">
        <v>2.5731649999999999</v>
      </c>
      <c r="GK76">
        <v>2.3249360000000001</v>
      </c>
      <c r="GL76">
        <v>1.3990800000000001</v>
      </c>
      <c r="GM76" t="s">
        <v>114</v>
      </c>
      <c r="GN76">
        <v>2.3379219999999998</v>
      </c>
      <c r="GO76" t="s">
        <v>114</v>
      </c>
      <c r="GP76">
        <v>4.0917510000000004</v>
      </c>
      <c r="GQ76">
        <v>4.9714039999999997</v>
      </c>
      <c r="GR76">
        <v>2.9533369999999999</v>
      </c>
      <c r="GS76">
        <v>1.506372</v>
      </c>
      <c r="GT76">
        <v>3.4536730000000002</v>
      </c>
      <c r="GU76" t="s">
        <v>114</v>
      </c>
      <c r="GV76">
        <v>1.94181</v>
      </c>
      <c r="GW76">
        <v>1.021536</v>
      </c>
      <c r="GX76">
        <v>2.7000540000000002</v>
      </c>
      <c r="GY76">
        <v>2.1674739999999999</v>
      </c>
      <c r="GZ76">
        <v>4.2437040000000001</v>
      </c>
      <c r="HA76">
        <v>2.4356710000000001</v>
      </c>
      <c r="HB76">
        <v>3.2115740000000002</v>
      </c>
      <c r="HC76">
        <v>2.483676</v>
      </c>
      <c r="HD76">
        <v>2.6560060000000001</v>
      </c>
      <c r="HE76">
        <v>1.216599</v>
      </c>
      <c r="HF76">
        <v>1.1501969999999999</v>
      </c>
      <c r="HG76">
        <v>3.8368950000000002</v>
      </c>
      <c r="HH76">
        <v>4.2164710000000003</v>
      </c>
      <c r="HI76">
        <v>2.9951120000000002</v>
      </c>
      <c r="HJ76">
        <v>3.9879500000000001</v>
      </c>
      <c r="HK76">
        <v>2.2571720000000002</v>
      </c>
      <c r="HL76">
        <v>2.206156</v>
      </c>
      <c r="HM76">
        <v>1.228485</v>
      </c>
      <c r="HN76">
        <v>1.926744</v>
      </c>
      <c r="HO76">
        <v>4.3901240000000001</v>
      </c>
      <c r="HP76">
        <v>1.237789</v>
      </c>
      <c r="HQ76">
        <v>1.8674409999999999</v>
      </c>
      <c r="HR76">
        <v>1.6391389999999999</v>
      </c>
      <c r="HS76" t="s">
        <v>114</v>
      </c>
      <c r="HT76">
        <v>3.979571</v>
      </c>
      <c r="HU76">
        <v>3.5637129999999999</v>
      </c>
      <c r="HV76" t="s">
        <v>114</v>
      </c>
      <c r="HW76" t="s">
        <v>114</v>
      </c>
      <c r="HX76">
        <v>3.0699390000000002</v>
      </c>
      <c r="HY76">
        <v>4.037312</v>
      </c>
      <c r="HZ76">
        <v>2.551056</v>
      </c>
      <c r="IA76">
        <v>1.4057580000000001</v>
      </c>
      <c r="IB76" t="s">
        <v>114</v>
      </c>
      <c r="IC76" t="s">
        <v>114</v>
      </c>
      <c r="ID76" t="s">
        <v>114</v>
      </c>
      <c r="IE76">
        <v>4.0740629999999998</v>
      </c>
      <c r="IF76">
        <v>2.1071040000000001</v>
      </c>
      <c r="IG76" t="s">
        <v>114</v>
      </c>
      <c r="IH76">
        <v>2.3356349999999999</v>
      </c>
      <c r="II76">
        <v>1.468564</v>
      </c>
      <c r="IJ76">
        <v>3.9298139999999999</v>
      </c>
      <c r="IK76" t="s">
        <v>114</v>
      </c>
      <c r="IL76" t="s">
        <v>114</v>
      </c>
      <c r="IM76" t="s">
        <v>114</v>
      </c>
      <c r="IN76">
        <v>3.782003</v>
      </c>
      <c r="IO76">
        <v>4.1593410000000004</v>
      </c>
      <c r="IP76">
        <v>4.008311</v>
      </c>
      <c r="IQ76" t="s">
        <v>114</v>
      </c>
      <c r="IR76">
        <v>4.8174530000000004</v>
      </c>
      <c r="IS76">
        <v>1.097032</v>
      </c>
      <c r="IT76">
        <v>1.6399859999999999</v>
      </c>
      <c r="IU76">
        <v>1.1721509999999999</v>
      </c>
      <c r="IV76">
        <v>1.6086389999999999</v>
      </c>
      <c r="IW76">
        <v>1.568983</v>
      </c>
      <c r="IX76">
        <v>3.0265610000000001</v>
      </c>
      <c r="IY76">
        <v>5.6700210000000002</v>
      </c>
      <c r="IZ76">
        <v>3.6328049999999998</v>
      </c>
      <c r="JA76">
        <v>3.2714259999999999</v>
      </c>
      <c r="JB76">
        <v>1.6056969999999999</v>
      </c>
      <c r="JC76">
        <v>2.7894040000000002</v>
      </c>
      <c r="JD76">
        <v>5.6778870000000001</v>
      </c>
      <c r="JE76">
        <v>3.4695580000000001</v>
      </c>
      <c r="JF76">
        <v>1.240391</v>
      </c>
      <c r="JG76">
        <v>6.4666930000000002</v>
      </c>
      <c r="JH76">
        <v>2.5953400000000002</v>
      </c>
      <c r="JI76">
        <v>1.2575130000000001</v>
      </c>
      <c r="JJ76" t="s">
        <v>114</v>
      </c>
      <c r="JK76">
        <v>2.8461460000000001</v>
      </c>
      <c r="JL76">
        <v>6.4489929999999998</v>
      </c>
      <c r="JM76">
        <v>4.5845229999999999</v>
      </c>
      <c r="JN76">
        <v>4.3883039999999998</v>
      </c>
      <c r="JO76" t="s">
        <v>114</v>
      </c>
      <c r="JP76">
        <v>3.028054</v>
      </c>
      <c r="JQ76">
        <v>1.168266</v>
      </c>
      <c r="JR76">
        <v>3.808179</v>
      </c>
      <c r="JS76" t="s">
        <v>114</v>
      </c>
      <c r="JT76" t="s">
        <v>114</v>
      </c>
      <c r="JU76">
        <v>4.5731770000000003</v>
      </c>
      <c r="JV76" t="s">
        <v>114</v>
      </c>
      <c r="JW76">
        <v>1.473905</v>
      </c>
      <c r="JX76" t="s">
        <v>114</v>
      </c>
      <c r="JY76">
        <v>1.768146</v>
      </c>
      <c r="JZ76" t="s">
        <v>114</v>
      </c>
      <c r="KA76" t="s">
        <v>114</v>
      </c>
      <c r="KB76" t="s">
        <v>114</v>
      </c>
      <c r="KC76">
        <v>1.0361119999999999</v>
      </c>
      <c r="KD76">
        <v>7.1025559999999999</v>
      </c>
      <c r="KE76">
        <v>2.451543</v>
      </c>
      <c r="KF76">
        <v>5.7635269999999998</v>
      </c>
      <c r="KG76">
        <v>7.0131139999999998</v>
      </c>
      <c r="KH76" t="s">
        <v>114</v>
      </c>
      <c r="KI76">
        <v>3.5528189999999999</v>
      </c>
      <c r="KJ76">
        <v>1.8915839999999999</v>
      </c>
      <c r="KK76">
        <v>6.4405710000000003</v>
      </c>
      <c r="KL76" t="s">
        <v>114</v>
      </c>
      <c r="KM76">
        <v>4.37425</v>
      </c>
      <c r="KN76">
        <v>5.5465920000000004</v>
      </c>
      <c r="KO76">
        <v>1.0123580000000001</v>
      </c>
      <c r="KP76">
        <v>4.2763730000000004</v>
      </c>
      <c r="KQ76">
        <v>4.1642809999999999</v>
      </c>
      <c r="KR76">
        <v>4.426126</v>
      </c>
      <c r="KS76">
        <v>5.8288310000000001</v>
      </c>
      <c r="KT76">
        <v>4.4472779999999998</v>
      </c>
      <c r="KU76" t="s">
        <v>114</v>
      </c>
      <c r="KV76">
        <v>1.883068</v>
      </c>
      <c r="KW76">
        <v>7.0501509999999996</v>
      </c>
      <c r="KX76">
        <v>1.976505</v>
      </c>
      <c r="KY76">
        <v>5.1575579999999999</v>
      </c>
      <c r="KZ76">
        <v>1.8735839999999999</v>
      </c>
      <c r="LA76">
        <v>4.2504010000000001</v>
      </c>
      <c r="LB76">
        <v>3.4037220000000001</v>
      </c>
      <c r="LC76">
        <v>4.8646799999999999</v>
      </c>
      <c r="LD76" t="s">
        <v>114</v>
      </c>
      <c r="LE76">
        <v>3.1502590000000001</v>
      </c>
      <c r="LF76">
        <v>2.8181569999999998</v>
      </c>
      <c r="LG76">
        <v>5.0296200000000004</v>
      </c>
      <c r="LH76">
        <v>3.1582680000000001</v>
      </c>
      <c r="LI76">
        <v>4.0471769999999996</v>
      </c>
      <c r="LJ76">
        <v>5.4250759999999998</v>
      </c>
      <c r="LK76">
        <v>6.3690319999999998</v>
      </c>
      <c r="LL76">
        <v>5.5922729999999996</v>
      </c>
      <c r="LM76">
        <v>5.860595</v>
      </c>
      <c r="LN76">
        <v>2.3780839999999999</v>
      </c>
      <c r="LO76">
        <v>6.4312950000000004</v>
      </c>
      <c r="LP76">
        <v>4.5763160000000003</v>
      </c>
      <c r="LQ76">
        <v>5.6757460000000002</v>
      </c>
      <c r="LR76" t="s">
        <v>114</v>
      </c>
      <c r="LS76">
        <v>2.6450990000000001</v>
      </c>
      <c r="LT76">
        <v>5.305256</v>
      </c>
      <c r="LU76">
        <v>3.838546</v>
      </c>
      <c r="LV76">
        <v>7.4169989999999997</v>
      </c>
      <c r="LW76">
        <v>1.266448</v>
      </c>
      <c r="LX76">
        <v>4.1307419999999997</v>
      </c>
      <c r="LY76">
        <v>5.2760949999999998</v>
      </c>
      <c r="LZ76">
        <v>1.268392</v>
      </c>
      <c r="MA76">
        <v>4.6837650000000002</v>
      </c>
      <c r="MB76">
        <v>5.047593</v>
      </c>
      <c r="MC76">
        <v>1.937381</v>
      </c>
      <c r="MD76">
        <v>4.7559899999999997</v>
      </c>
      <c r="ME76">
        <v>7.5891789999999997</v>
      </c>
      <c r="MF76">
        <v>7.9533370000000003</v>
      </c>
      <c r="MG76">
        <v>1.7614270000000001</v>
      </c>
      <c r="MH76">
        <v>2.707147</v>
      </c>
      <c r="MI76">
        <v>8.4842060000000004</v>
      </c>
      <c r="MJ76">
        <v>4.590166</v>
      </c>
      <c r="MK76">
        <v>6.7821220000000002</v>
      </c>
      <c r="ML76" t="s">
        <v>114</v>
      </c>
      <c r="MM76">
        <v>5.9809270000000003</v>
      </c>
      <c r="MN76">
        <v>6.0098710000000004</v>
      </c>
      <c r="MO76">
        <v>7.2090319999999997</v>
      </c>
      <c r="MP76">
        <v>7.3252629999999996</v>
      </c>
      <c r="MQ76">
        <v>2.0360969999999998</v>
      </c>
      <c r="MR76">
        <v>3.938825</v>
      </c>
      <c r="MS76" t="s">
        <v>114</v>
      </c>
      <c r="MT76">
        <v>7.2362890000000002</v>
      </c>
      <c r="MU76">
        <v>3.7378680000000002</v>
      </c>
      <c r="MV76">
        <v>7.0656619999999997</v>
      </c>
      <c r="MW76">
        <v>5.7580159999999996</v>
      </c>
      <c r="MX76" t="s">
        <v>114</v>
      </c>
      <c r="MY76" t="s">
        <v>114</v>
      </c>
      <c r="MZ76">
        <v>5.1091360000000003</v>
      </c>
      <c r="NA76">
        <v>5.0062980000000001</v>
      </c>
      <c r="NB76">
        <v>1.4717260000000001</v>
      </c>
      <c r="NC76">
        <v>4.7675010000000002</v>
      </c>
      <c r="ND76">
        <v>6.4046779999999996</v>
      </c>
      <c r="NE76">
        <v>3.3338450000000002</v>
      </c>
      <c r="NF76">
        <v>2.795347</v>
      </c>
      <c r="NG76">
        <v>2.373075</v>
      </c>
      <c r="NH76">
        <v>3.906244</v>
      </c>
      <c r="NI76">
        <v>2.3552149999999998</v>
      </c>
      <c r="NJ76">
        <v>5.5441190000000002</v>
      </c>
      <c r="NK76">
        <v>2.0318269999999998</v>
      </c>
      <c r="NL76">
        <v>5.6373740000000003</v>
      </c>
      <c r="NM76">
        <v>3.691011</v>
      </c>
      <c r="NN76">
        <v>4.086239</v>
      </c>
      <c r="NO76">
        <v>5.2786559999999998</v>
      </c>
      <c r="NP76">
        <v>5.6973200000000004</v>
      </c>
      <c r="NQ76">
        <v>1.3362419999999999</v>
      </c>
      <c r="NR76">
        <v>4.4995799999999999</v>
      </c>
      <c r="NS76">
        <v>3.4971779999999999</v>
      </c>
      <c r="NT76">
        <v>3.5622400000000001</v>
      </c>
      <c r="NU76">
        <v>3.3864030000000001</v>
      </c>
      <c r="NV76">
        <v>4.065385</v>
      </c>
      <c r="NW76">
        <v>3.3800460000000001</v>
      </c>
      <c r="NX76">
        <v>3.4053740000000001</v>
      </c>
      <c r="NY76" t="s">
        <v>114</v>
      </c>
      <c r="NZ76" t="s">
        <v>114</v>
      </c>
      <c r="OA76">
        <v>1.932976</v>
      </c>
      <c r="OB76">
        <v>4.1805479999999999</v>
      </c>
      <c r="OC76">
        <v>3.8247800000000001</v>
      </c>
      <c r="OD76">
        <v>2.3303379999999998</v>
      </c>
      <c r="OE76">
        <v>2.3746909999999999</v>
      </c>
      <c r="OF76">
        <v>1.1370169999999999</v>
      </c>
      <c r="OG76">
        <v>5.2916160000000003</v>
      </c>
      <c r="OH76">
        <v>6.1366550000000002</v>
      </c>
      <c r="OI76" t="s">
        <v>114</v>
      </c>
      <c r="OJ76">
        <v>5.2632490000000001</v>
      </c>
      <c r="OK76">
        <v>4.8914869999999997</v>
      </c>
      <c r="OL76">
        <v>3.1934960000000001</v>
      </c>
      <c r="OM76">
        <v>2.597502</v>
      </c>
      <c r="ON76">
        <v>4.0562120000000004</v>
      </c>
      <c r="OO76" t="s">
        <v>114</v>
      </c>
      <c r="OP76">
        <v>3.8390360000000001</v>
      </c>
      <c r="OQ76" t="s">
        <v>114</v>
      </c>
      <c r="OR76" t="s">
        <v>114</v>
      </c>
      <c r="OS76">
        <v>1.257007</v>
      </c>
      <c r="OT76" t="s">
        <v>114</v>
      </c>
      <c r="OU76" t="s">
        <v>114</v>
      </c>
      <c r="OV76" t="s">
        <v>114</v>
      </c>
      <c r="OW76" t="s">
        <v>114</v>
      </c>
      <c r="OX76">
        <v>1.019034</v>
      </c>
      <c r="OY76" t="s">
        <v>114</v>
      </c>
      <c r="OZ76" t="s">
        <v>114</v>
      </c>
      <c r="PA76" t="s">
        <v>114</v>
      </c>
      <c r="PB76">
        <v>4.8272000000000004</v>
      </c>
      <c r="PC76">
        <v>4.9008620000000001</v>
      </c>
      <c r="PD76">
        <v>0.998502</v>
      </c>
      <c r="PE76">
        <v>3.2337349999999998</v>
      </c>
      <c r="PF76">
        <v>2.3576489999999999</v>
      </c>
      <c r="PG76">
        <v>3.5179840000000002</v>
      </c>
      <c r="PH76">
        <v>3.2068850000000002</v>
      </c>
      <c r="PI76">
        <v>1.727384</v>
      </c>
      <c r="PJ76">
        <v>2.2963840000000002</v>
      </c>
      <c r="PK76">
        <v>4.2806829999999998</v>
      </c>
      <c r="PL76">
        <v>0.99853899999999995</v>
      </c>
      <c r="PM76">
        <v>3.4096449999999998</v>
      </c>
      <c r="PN76" t="s">
        <v>114</v>
      </c>
      <c r="PO76" t="s">
        <v>114</v>
      </c>
      <c r="PP76">
        <v>1.9379649999999999</v>
      </c>
      <c r="PQ76">
        <v>3.2182149999999998</v>
      </c>
      <c r="PR76">
        <v>2.5271029999999999</v>
      </c>
      <c r="PS76">
        <v>4.7554360000000004</v>
      </c>
      <c r="PT76">
        <v>1.5795650000000001</v>
      </c>
      <c r="PU76">
        <v>4.1570280000000004</v>
      </c>
      <c r="PV76">
        <v>5.4644649999999997</v>
      </c>
      <c r="PW76">
        <v>4.3684789999999998</v>
      </c>
      <c r="PX76">
        <v>4.4720519999999997</v>
      </c>
      <c r="PY76">
        <v>3.0048189999999999</v>
      </c>
      <c r="PZ76">
        <v>5.1654439999999999</v>
      </c>
      <c r="QA76">
        <v>2.2128809999999999</v>
      </c>
      <c r="QB76">
        <v>2.453274</v>
      </c>
      <c r="QC76">
        <v>2.0518619999999999</v>
      </c>
      <c r="QD76">
        <v>3.4044340000000002</v>
      </c>
      <c r="QE76">
        <v>2.636063</v>
      </c>
      <c r="QF76">
        <v>1.874228</v>
      </c>
      <c r="QG76">
        <v>4.523682</v>
      </c>
      <c r="QH76" t="s">
        <v>114</v>
      </c>
      <c r="QI76" t="s">
        <v>114</v>
      </c>
      <c r="QJ76">
        <v>3.7523140000000001</v>
      </c>
      <c r="QK76">
        <v>3.233063</v>
      </c>
      <c r="QL76">
        <v>0.94137199999999999</v>
      </c>
      <c r="QM76">
        <v>2.8741919999999999</v>
      </c>
      <c r="QN76" t="s">
        <v>114</v>
      </c>
      <c r="QO76">
        <v>1.738715</v>
      </c>
      <c r="QP76">
        <v>2.4213260000000001</v>
      </c>
      <c r="QQ76" t="s">
        <v>114</v>
      </c>
      <c r="QR76" t="s">
        <v>114</v>
      </c>
      <c r="QS76">
        <v>2.6780439999999999</v>
      </c>
      <c r="QT76" t="s">
        <v>114</v>
      </c>
      <c r="QU76" t="s">
        <v>114</v>
      </c>
      <c r="QV76">
        <v>3.9668359999999998</v>
      </c>
      <c r="QW76">
        <v>4.3783750000000001</v>
      </c>
      <c r="QX76">
        <v>1.602277</v>
      </c>
      <c r="QY76">
        <v>1.807744</v>
      </c>
      <c r="QZ76">
        <v>4.5190900000000003</v>
      </c>
      <c r="RA76">
        <v>5.1427069999999997</v>
      </c>
      <c r="RB76">
        <v>5.7401330000000002</v>
      </c>
      <c r="RC76">
        <v>2.907454</v>
      </c>
      <c r="RD76">
        <v>2.3168139999999999</v>
      </c>
      <c r="RE76">
        <v>4.6492969999999998</v>
      </c>
      <c r="RF76">
        <v>3.584981</v>
      </c>
      <c r="RG76">
        <v>3.873386</v>
      </c>
      <c r="RH76">
        <v>2.1257359999999998</v>
      </c>
      <c r="RI76">
        <v>2.3791190000000002</v>
      </c>
      <c r="RJ76">
        <v>5.5615779999999999</v>
      </c>
      <c r="RK76">
        <v>3.0753409999999999</v>
      </c>
      <c r="RL76">
        <v>3.2644850000000001</v>
      </c>
      <c r="RM76">
        <v>5.1852419999999997</v>
      </c>
      <c r="RN76">
        <v>1.016213</v>
      </c>
      <c r="RO76">
        <v>5.2099700000000002</v>
      </c>
      <c r="RP76">
        <v>1.0945229999999999</v>
      </c>
      <c r="RQ76">
        <v>4.0740509999999999</v>
      </c>
      <c r="RR76">
        <v>2.8810750000000001</v>
      </c>
      <c r="RS76">
        <v>1.928871</v>
      </c>
      <c r="RT76">
        <v>5.0298889999999998</v>
      </c>
      <c r="RU76">
        <v>1.772435</v>
      </c>
      <c r="RV76">
        <v>5.1779440000000001</v>
      </c>
      <c r="RW76">
        <v>3.3263720000000001</v>
      </c>
      <c r="RX76">
        <v>1.1059140000000001</v>
      </c>
      <c r="RY76">
        <v>5.2101959999999998</v>
      </c>
      <c r="RZ76">
        <v>3.6247859999999998</v>
      </c>
      <c r="SA76">
        <v>1.4433320000000001</v>
      </c>
      <c r="SB76">
        <v>1.481876</v>
      </c>
      <c r="SC76">
        <v>2.6536240000000002</v>
      </c>
      <c r="SD76">
        <v>3.8729680000000002</v>
      </c>
      <c r="SE76">
        <v>4.8413529999999998</v>
      </c>
      <c r="SF76">
        <v>3.580438</v>
      </c>
      <c r="SG76">
        <v>3.9869189999999999</v>
      </c>
      <c r="SH76">
        <v>1.6997359999999999</v>
      </c>
      <c r="SI76">
        <v>5.0970639999999996</v>
      </c>
      <c r="SJ76">
        <v>2.3602620000000001</v>
      </c>
      <c r="SK76" t="s">
        <v>114</v>
      </c>
      <c r="SL76">
        <v>1.225743</v>
      </c>
      <c r="SM76">
        <v>1.536729</v>
      </c>
      <c r="SN76">
        <v>5.1576630000000003</v>
      </c>
      <c r="SO76" t="s">
        <v>114</v>
      </c>
      <c r="SP76">
        <v>2.4569220000000001</v>
      </c>
      <c r="SQ76">
        <v>1.6626989999999999</v>
      </c>
      <c r="SR76">
        <v>4.201435</v>
      </c>
      <c r="SS76">
        <v>4.770931</v>
      </c>
      <c r="ST76">
        <v>1.8356790000000001</v>
      </c>
      <c r="SU76">
        <v>3.6666500000000002</v>
      </c>
      <c r="SV76">
        <v>1.1235269999999999</v>
      </c>
      <c r="SW76">
        <v>4.0768149999999999</v>
      </c>
      <c r="SX76" t="s">
        <v>114</v>
      </c>
      <c r="SY76">
        <v>3.190448</v>
      </c>
      <c r="SZ76">
        <v>2.0739230000000002</v>
      </c>
      <c r="TA76">
        <v>4.0860560000000001</v>
      </c>
      <c r="TB76">
        <v>2.8508209999999998</v>
      </c>
      <c r="TC76">
        <v>3.9955310000000002</v>
      </c>
      <c r="TD76">
        <v>3.8906019999999999</v>
      </c>
      <c r="TE76">
        <v>3.6037270000000001</v>
      </c>
      <c r="TF76">
        <v>2.842991</v>
      </c>
      <c r="TG76">
        <v>2.20594</v>
      </c>
      <c r="TH76">
        <v>3.6717</v>
      </c>
      <c r="TI76">
        <v>2.5900439999999998</v>
      </c>
      <c r="TJ76" t="s">
        <v>114</v>
      </c>
      <c r="TK76">
        <v>2.2004869999999999</v>
      </c>
      <c r="TL76" t="s">
        <v>114</v>
      </c>
      <c r="TM76" t="s">
        <v>114</v>
      </c>
      <c r="TN76">
        <v>3.69381</v>
      </c>
      <c r="TO76" t="s">
        <v>114</v>
      </c>
      <c r="TP76">
        <v>2.5362260000000001</v>
      </c>
      <c r="TQ76">
        <v>2.7732709999999998</v>
      </c>
      <c r="TR76">
        <v>1.6578459999999999</v>
      </c>
      <c r="TS76">
        <v>1.85911</v>
      </c>
      <c r="TT76">
        <v>1.068373</v>
      </c>
      <c r="TU76" t="s">
        <v>114</v>
      </c>
      <c r="TV76">
        <v>2.2390150000000002</v>
      </c>
      <c r="TW76">
        <v>1.517725</v>
      </c>
      <c r="TX76">
        <v>4.1737989999999998</v>
      </c>
      <c r="TY76" t="s">
        <v>114</v>
      </c>
      <c r="TZ76">
        <v>5.0909769999999996</v>
      </c>
      <c r="UA76">
        <v>5.1550739999999999</v>
      </c>
      <c r="UB76">
        <v>3.8786489999999998</v>
      </c>
      <c r="UC76" t="s">
        <v>114</v>
      </c>
      <c r="UD76">
        <v>3.5480939999999999</v>
      </c>
      <c r="UE76">
        <v>4.4680590000000002</v>
      </c>
      <c r="UF76">
        <v>3.0583290000000001</v>
      </c>
      <c r="UG76">
        <v>2.4405329999999998</v>
      </c>
      <c r="UH76" t="s">
        <v>114</v>
      </c>
      <c r="UI76">
        <v>4.5874740000000003</v>
      </c>
      <c r="UJ76">
        <v>3.5106250000000001</v>
      </c>
      <c r="UK76">
        <v>2.450018</v>
      </c>
      <c r="UL76">
        <v>4.2213260000000004</v>
      </c>
      <c r="UM76" t="s">
        <v>114</v>
      </c>
      <c r="UN76" t="s">
        <v>114</v>
      </c>
      <c r="UO76" t="s">
        <v>114</v>
      </c>
      <c r="UP76">
        <v>4.009595</v>
      </c>
      <c r="UQ76" t="s">
        <v>114</v>
      </c>
      <c r="UR76">
        <v>4.9093619999999998</v>
      </c>
      <c r="US76">
        <v>4.6623219999999996</v>
      </c>
      <c r="UT76">
        <v>2.6583969999999999</v>
      </c>
      <c r="UU76">
        <v>4.2338870000000002</v>
      </c>
      <c r="UV76">
        <v>3.1936840000000002</v>
      </c>
      <c r="UW76" t="s">
        <v>114</v>
      </c>
      <c r="UX76">
        <v>5.3347930000000003</v>
      </c>
      <c r="UY76">
        <v>4.3903889999999999</v>
      </c>
      <c r="UZ76" t="s">
        <v>114</v>
      </c>
      <c r="VA76">
        <v>5.1766529999999999</v>
      </c>
      <c r="VB76">
        <v>1.3852439999999999</v>
      </c>
      <c r="VC76" t="s">
        <v>114</v>
      </c>
      <c r="VD76">
        <v>1.4610909999999999</v>
      </c>
      <c r="VE76">
        <v>3.6982279999999998</v>
      </c>
      <c r="VF76">
        <v>4.666417</v>
      </c>
      <c r="VG76">
        <v>1.964683</v>
      </c>
      <c r="VH76">
        <v>2.3092160000000002</v>
      </c>
      <c r="VI76" t="s">
        <v>114</v>
      </c>
      <c r="VJ76" t="s">
        <v>114</v>
      </c>
      <c r="VK76" t="s">
        <v>114</v>
      </c>
      <c r="VL76" t="s">
        <v>114</v>
      </c>
      <c r="VM76" t="s">
        <v>114</v>
      </c>
      <c r="VN76">
        <v>1.144147</v>
      </c>
      <c r="VO76">
        <v>4.3373860000000004</v>
      </c>
      <c r="VP76">
        <v>2.82179</v>
      </c>
      <c r="VQ76">
        <v>2.2572199999999998</v>
      </c>
      <c r="VR76">
        <v>1.885864</v>
      </c>
      <c r="VS76">
        <v>2.2983220000000002</v>
      </c>
      <c r="VT76" t="s">
        <v>114</v>
      </c>
      <c r="VU76">
        <v>1.9341550000000001</v>
      </c>
      <c r="VV76" t="s">
        <v>114</v>
      </c>
      <c r="VW76" t="s">
        <v>114</v>
      </c>
      <c r="VX76" t="s">
        <v>114</v>
      </c>
      <c r="VY76">
        <v>4.3795859999999998</v>
      </c>
      <c r="VZ76">
        <v>4.0090950000000003</v>
      </c>
      <c r="WA76" t="s">
        <v>114</v>
      </c>
      <c r="WB76" t="s">
        <v>114</v>
      </c>
      <c r="WC76" t="s">
        <v>114</v>
      </c>
      <c r="WD76">
        <v>1.5524990000000001</v>
      </c>
      <c r="WE76">
        <v>2.1816270000000002</v>
      </c>
      <c r="WF76">
        <v>2.213889</v>
      </c>
      <c r="WG76">
        <v>2.3574190000000002</v>
      </c>
      <c r="WH76" t="s">
        <v>114</v>
      </c>
      <c r="WI76">
        <v>2.4409149999999999</v>
      </c>
      <c r="WJ76">
        <v>1.4660230000000001</v>
      </c>
      <c r="WK76">
        <v>3.5944189999999998</v>
      </c>
      <c r="WL76" t="s">
        <v>114</v>
      </c>
      <c r="WM76">
        <v>2.0029400000000002</v>
      </c>
      <c r="WN76">
        <v>3.7507709999999999</v>
      </c>
      <c r="WO76">
        <v>1.299998</v>
      </c>
      <c r="WP76">
        <v>2.7425109999999999</v>
      </c>
      <c r="WQ76">
        <v>3.8054649999999999</v>
      </c>
      <c r="WR76" t="s">
        <v>114</v>
      </c>
      <c r="WS76">
        <v>3.970307</v>
      </c>
      <c r="WT76" t="s">
        <v>114</v>
      </c>
      <c r="WU76">
        <v>1.292719</v>
      </c>
      <c r="WV76" t="s">
        <v>114</v>
      </c>
      <c r="WW76">
        <v>1.8817459999999999</v>
      </c>
      <c r="WX76">
        <v>1.3173459999999999</v>
      </c>
      <c r="WY76" t="s">
        <v>114</v>
      </c>
      <c r="WZ76">
        <v>1.0564089999999999</v>
      </c>
      <c r="XA76">
        <v>1.476375</v>
      </c>
      <c r="XB76" t="s">
        <v>114</v>
      </c>
      <c r="XC76">
        <v>1.4981390000000001</v>
      </c>
      <c r="XD76">
        <v>1.347054</v>
      </c>
      <c r="XE76">
        <v>2.5904389999999999</v>
      </c>
      <c r="XF76" t="s">
        <v>114</v>
      </c>
      <c r="XG76">
        <v>2.631589</v>
      </c>
      <c r="XH76">
        <v>3.9233159999999998</v>
      </c>
      <c r="XI76">
        <v>0.93078899999999998</v>
      </c>
      <c r="XJ76">
        <v>1.411138</v>
      </c>
      <c r="XK76">
        <v>2.8977979999999999</v>
      </c>
      <c r="XL76">
        <v>1.7507839999999999</v>
      </c>
      <c r="XM76">
        <v>4.1005799999999999</v>
      </c>
      <c r="XN76">
        <v>2.9243610000000002</v>
      </c>
      <c r="XO76">
        <v>1.5893870000000001</v>
      </c>
      <c r="XP76">
        <v>0.87938099999999997</v>
      </c>
      <c r="XQ76" t="s">
        <v>114</v>
      </c>
      <c r="XR76">
        <v>1.4542219999999999</v>
      </c>
      <c r="XS76">
        <v>2.1551580000000001</v>
      </c>
      <c r="XT76">
        <v>4.2653150000000002</v>
      </c>
      <c r="XU76">
        <v>1.2123120000000001</v>
      </c>
      <c r="XV76" t="s">
        <v>114</v>
      </c>
      <c r="XW76" t="s">
        <v>114</v>
      </c>
      <c r="XX76">
        <v>2.621156</v>
      </c>
      <c r="XY76">
        <v>2.350158</v>
      </c>
      <c r="XZ76">
        <v>1.7375849999999999</v>
      </c>
      <c r="YA76">
        <v>1.6636120000000001</v>
      </c>
      <c r="YB76">
        <v>1.697112</v>
      </c>
      <c r="YC76">
        <v>3.2349770000000002</v>
      </c>
      <c r="YD76" t="s">
        <v>114</v>
      </c>
      <c r="YE76">
        <v>1.7462409999999999</v>
      </c>
      <c r="YF76">
        <v>1.021102</v>
      </c>
      <c r="YG76">
        <v>4.0582929999999999</v>
      </c>
      <c r="YH76" t="s">
        <v>114</v>
      </c>
      <c r="YI76" t="s">
        <v>114</v>
      </c>
      <c r="YJ76">
        <v>3.3012830000000002</v>
      </c>
      <c r="YK76">
        <v>3.412013</v>
      </c>
      <c r="YL76">
        <v>2.8624010000000002</v>
      </c>
      <c r="YM76">
        <v>2.628787</v>
      </c>
      <c r="YN76" t="s">
        <v>114</v>
      </c>
      <c r="YO76" t="s">
        <v>114</v>
      </c>
      <c r="YP76">
        <v>1.287587</v>
      </c>
      <c r="YQ76">
        <v>3.2655889999999999</v>
      </c>
      <c r="YR76">
        <v>2.603942</v>
      </c>
      <c r="YS76">
        <v>1.8858440000000001</v>
      </c>
      <c r="YT76" t="s">
        <v>114</v>
      </c>
      <c r="YU76">
        <v>3.132263</v>
      </c>
      <c r="YV76">
        <v>3.862304</v>
      </c>
      <c r="YW76" t="s">
        <v>114</v>
      </c>
      <c r="YX76" t="s">
        <v>114</v>
      </c>
      <c r="YY76">
        <v>1.242929</v>
      </c>
      <c r="YZ76">
        <v>2.2674789999999998</v>
      </c>
      <c r="ZA76">
        <v>3.2543359999999999</v>
      </c>
      <c r="ZB76" t="s">
        <v>114</v>
      </c>
      <c r="ZC76">
        <v>2.5797590000000001</v>
      </c>
      <c r="ZD76">
        <v>3.0973999999999999</v>
      </c>
      <c r="ZE76">
        <v>3.480254</v>
      </c>
      <c r="ZF76">
        <v>1.0525059999999999</v>
      </c>
      <c r="ZG76">
        <v>1.8390550000000001</v>
      </c>
      <c r="ZH76">
        <v>2.0642960000000001</v>
      </c>
      <c r="ZI76">
        <v>1.563812</v>
      </c>
      <c r="ZJ76">
        <v>1.9270480000000001</v>
      </c>
      <c r="ZK76" t="s">
        <v>114</v>
      </c>
      <c r="ZL76">
        <v>1.9716180000000001</v>
      </c>
      <c r="ZM76">
        <v>1.5943080000000001</v>
      </c>
      <c r="ZN76">
        <v>1.3997379999999999</v>
      </c>
      <c r="ZO76">
        <v>1.5466690000000001</v>
      </c>
      <c r="ZP76" t="s">
        <v>114</v>
      </c>
      <c r="ZQ76" t="s">
        <v>114</v>
      </c>
      <c r="ZR76" t="s">
        <v>114</v>
      </c>
      <c r="ZS76" t="s">
        <v>114</v>
      </c>
      <c r="ZT76" t="s">
        <v>114</v>
      </c>
      <c r="ZU76" t="s">
        <v>114</v>
      </c>
      <c r="ZV76">
        <v>2.6817259999999998</v>
      </c>
      <c r="ZW76" t="s">
        <v>114</v>
      </c>
      <c r="ZX76">
        <v>1.132879</v>
      </c>
      <c r="ZY76">
        <v>1.9822470000000001</v>
      </c>
      <c r="ZZ76">
        <v>4.4003269999999999</v>
      </c>
      <c r="AAA76">
        <v>2.6076459999999999</v>
      </c>
      <c r="AAB76">
        <v>1.706372</v>
      </c>
      <c r="AAC76">
        <v>1.549669</v>
      </c>
      <c r="AAD76">
        <v>3.7616710000000002</v>
      </c>
      <c r="AAE76">
        <v>2.036616</v>
      </c>
      <c r="AAF76">
        <v>1.4486969999999999</v>
      </c>
      <c r="AAG76">
        <v>1.7468129999999999</v>
      </c>
      <c r="AAH76" t="s">
        <v>114</v>
      </c>
      <c r="AAI76">
        <v>1.661335</v>
      </c>
      <c r="AAJ76">
        <v>1.07169</v>
      </c>
      <c r="AAK76" t="s">
        <v>114</v>
      </c>
      <c r="AAL76" t="s">
        <v>114</v>
      </c>
      <c r="AAM76">
        <v>2.2275339999999999</v>
      </c>
      <c r="AAN76">
        <v>3.2947890000000002</v>
      </c>
      <c r="AAO76">
        <v>1.8252360000000001</v>
      </c>
      <c r="AAP76" t="s">
        <v>114</v>
      </c>
      <c r="AAQ76">
        <v>2.032429</v>
      </c>
      <c r="AAR76">
        <v>2.363264</v>
      </c>
      <c r="AAS76" t="s">
        <v>114</v>
      </c>
      <c r="AAT76">
        <v>1.145289</v>
      </c>
      <c r="AAU76">
        <v>1.117613</v>
      </c>
      <c r="AAV76">
        <v>1.085151</v>
      </c>
      <c r="AAW76">
        <v>2.8536679999999999</v>
      </c>
      <c r="AAX76" t="s">
        <v>114</v>
      </c>
      <c r="AAY76">
        <v>3.1982439999999999</v>
      </c>
      <c r="AAZ76" t="s">
        <v>114</v>
      </c>
      <c r="ABA76">
        <v>4.1675139999999997</v>
      </c>
      <c r="ABB76">
        <v>2.0968550000000001</v>
      </c>
      <c r="ABC76">
        <v>4.2754200000000004</v>
      </c>
      <c r="ABD76" t="s">
        <v>114</v>
      </c>
      <c r="ABE76">
        <v>2.5011670000000001</v>
      </c>
      <c r="ABF76" t="s">
        <v>114</v>
      </c>
      <c r="ABG76">
        <v>3.618967</v>
      </c>
      <c r="ABH76">
        <v>3.3235389999999998</v>
      </c>
      <c r="ABI76" t="s">
        <v>114</v>
      </c>
      <c r="ABJ76">
        <v>1.9789140000000001</v>
      </c>
      <c r="ABK76">
        <v>3.7876189999999998</v>
      </c>
      <c r="ABL76" t="s">
        <v>114</v>
      </c>
      <c r="ABM76">
        <v>3.360252</v>
      </c>
      <c r="ABN76" t="s">
        <v>114</v>
      </c>
      <c r="ABO76" t="s">
        <v>114</v>
      </c>
      <c r="ABP76">
        <v>1.327059</v>
      </c>
      <c r="ABQ76" t="s">
        <v>114</v>
      </c>
      <c r="ABR76">
        <v>2.6055069999999998</v>
      </c>
      <c r="ABS76">
        <v>3.669063</v>
      </c>
      <c r="ABT76" t="s">
        <v>114</v>
      </c>
      <c r="ABU76" t="s">
        <v>114</v>
      </c>
      <c r="ABV76" t="s">
        <v>114</v>
      </c>
      <c r="ABW76" t="s">
        <v>114</v>
      </c>
      <c r="ABX76">
        <v>1.386803</v>
      </c>
      <c r="ABY76" t="s">
        <v>114</v>
      </c>
      <c r="ABZ76">
        <v>3.614573</v>
      </c>
      <c r="ACA76">
        <v>2.8963049999999999</v>
      </c>
      <c r="ACB76">
        <v>1.0460320000000001</v>
      </c>
      <c r="ACC76">
        <v>2.3301509999999999</v>
      </c>
      <c r="ACD76" t="s">
        <v>114</v>
      </c>
      <c r="ACE76">
        <v>0.98985699999999999</v>
      </c>
      <c r="ACF76" t="s">
        <v>114</v>
      </c>
      <c r="ACG76" t="s">
        <v>114</v>
      </c>
      <c r="ACH76" t="s">
        <v>114</v>
      </c>
      <c r="ACI76" t="s">
        <v>114</v>
      </c>
      <c r="ACJ76" t="s">
        <v>114</v>
      </c>
      <c r="ACK76">
        <v>2.8818440000000001</v>
      </c>
      <c r="ACL76">
        <v>2.8939620000000001</v>
      </c>
      <c r="ACM76" t="s">
        <v>114</v>
      </c>
      <c r="ACN76">
        <v>1.547728</v>
      </c>
      <c r="ACO76">
        <v>2.7939889999999998</v>
      </c>
    </row>
    <row r="77" spans="1:769" x14ac:dyDescent="0.25">
      <c r="A77" t="s">
        <v>83</v>
      </c>
    </row>
    <row r="78" spans="1:769" x14ac:dyDescent="0.25">
      <c r="A78" t="s">
        <v>84</v>
      </c>
      <c r="B78">
        <v>0</v>
      </c>
      <c r="C78">
        <v>0</v>
      </c>
      <c r="D78">
        <v>154</v>
      </c>
      <c r="E78">
        <v>0</v>
      </c>
      <c r="F78">
        <v>151</v>
      </c>
      <c r="G78">
        <v>154</v>
      </c>
      <c r="H78">
        <v>62</v>
      </c>
      <c r="I78">
        <v>30</v>
      </c>
      <c r="J78">
        <v>0</v>
      </c>
      <c r="K78">
        <v>15</v>
      </c>
      <c r="L78">
        <v>0</v>
      </c>
      <c r="M78">
        <v>153</v>
      </c>
      <c r="N78">
        <v>0</v>
      </c>
      <c r="O78">
        <v>154</v>
      </c>
      <c r="P78">
        <v>39</v>
      </c>
      <c r="Q78">
        <v>15</v>
      </c>
      <c r="R78">
        <v>0</v>
      </c>
      <c r="S78">
        <v>0</v>
      </c>
      <c r="T78">
        <v>1</v>
      </c>
      <c r="U78">
        <v>125</v>
      </c>
      <c r="V78">
        <v>119</v>
      </c>
      <c r="W78">
        <v>0</v>
      </c>
      <c r="X78">
        <v>110</v>
      </c>
      <c r="Y78">
        <v>0</v>
      </c>
      <c r="Z78">
        <v>0</v>
      </c>
      <c r="AA78">
        <v>125</v>
      </c>
      <c r="AB78">
        <v>119</v>
      </c>
      <c r="AC78">
        <v>101</v>
      </c>
      <c r="AD78">
        <v>0</v>
      </c>
      <c r="AE78">
        <v>111</v>
      </c>
      <c r="AF78">
        <v>4</v>
      </c>
      <c r="AG78">
        <v>31</v>
      </c>
      <c r="AH78">
        <v>4</v>
      </c>
      <c r="AI78">
        <v>1</v>
      </c>
      <c r="AJ78">
        <v>140</v>
      </c>
      <c r="AK78">
        <v>89</v>
      </c>
      <c r="AL78">
        <v>72</v>
      </c>
      <c r="AM78">
        <v>6</v>
      </c>
      <c r="AN78">
        <v>138</v>
      </c>
      <c r="AO78">
        <v>140</v>
      </c>
      <c r="AP78">
        <v>42</v>
      </c>
      <c r="AQ78">
        <v>10</v>
      </c>
      <c r="AR78">
        <v>140</v>
      </c>
      <c r="AS78">
        <v>18</v>
      </c>
      <c r="AT78">
        <v>0</v>
      </c>
      <c r="AU78">
        <v>113</v>
      </c>
      <c r="AV78">
        <v>0</v>
      </c>
      <c r="AW78">
        <v>119</v>
      </c>
      <c r="AX78">
        <v>109</v>
      </c>
      <c r="AY78">
        <v>2</v>
      </c>
      <c r="AZ78">
        <v>102</v>
      </c>
      <c r="BA78">
        <v>111</v>
      </c>
      <c r="BB78">
        <v>0</v>
      </c>
      <c r="BC78">
        <v>0</v>
      </c>
      <c r="BD78">
        <v>107</v>
      </c>
      <c r="BE78">
        <v>111</v>
      </c>
      <c r="BF78">
        <v>111</v>
      </c>
      <c r="BG78">
        <v>28</v>
      </c>
      <c r="BH78">
        <v>4</v>
      </c>
      <c r="BI78">
        <v>96</v>
      </c>
      <c r="BJ78">
        <v>111</v>
      </c>
      <c r="BK78">
        <v>109</v>
      </c>
      <c r="BL78">
        <v>0</v>
      </c>
      <c r="BM78">
        <v>110</v>
      </c>
      <c r="BN78">
        <v>0</v>
      </c>
      <c r="BO78">
        <v>0</v>
      </c>
      <c r="BP78">
        <v>187</v>
      </c>
      <c r="BQ78">
        <v>152</v>
      </c>
      <c r="BR78">
        <v>0</v>
      </c>
      <c r="BS78">
        <v>221</v>
      </c>
      <c r="BT78">
        <v>136</v>
      </c>
      <c r="BU78">
        <v>0</v>
      </c>
      <c r="BV78">
        <v>0</v>
      </c>
      <c r="BW78">
        <v>226</v>
      </c>
      <c r="BX78">
        <v>0</v>
      </c>
      <c r="BY78">
        <v>0</v>
      </c>
      <c r="BZ78">
        <v>174</v>
      </c>
      <c r="CA78">
        <v>0</v>
      </c>
      <c r="CB78">
        <v>11</v>
      </c>
      <c r="CC78">
        <v>29</v>
      </c>
      <c r="CD78">
        <v>80</v>
      </c>
      <c r="CE78">
        <v>7</v>
      </c>
      <c r="CF78">
        <v>0</v>
      </c>
      <c r="CG78">
        <v>147</v>
      </c>
      <c r="CH78">
        <v>0</v>
      </c>
      <c r="CI78">
        <v>168</v>
      </c>
      <c r="CJ78">
        <v>156</v>
      </c>
      <c r="CK78">
        <v>1</v>
      </c>
      <c r="CL78">
        <v>152</v>
      </c>
      <c r="CM78">
        <v>22</v>
      </c>
      <c r="CN78">
        <v>1</v>
      </c>
      <c r="CO78">
        <v>121</v>
      </c>
      <c r="CP78">
        <v>151</v>
      </c>
      <c r="CQ78">
        <v>135</v>
      </c>
      <c r="CR78">
        <v>10</v>
      </c>
      <c r="CS78">
        <v>58</v>
      </c>
      <c r="CT78">
        <v>0</v>
      </c>
      <c r="CU78">
        <v>153</v>
      </c>
      <c r="CV78">
        <v>153</v>
      </c>
      <c r="CW78">
        <v>118</v>
      </c>
      <c r="CX78">
        <v>111</v>
      </c>
      <c r="CY78">
        <v>136</v>
      </c>
      <c r="CZ78">
        <v>153</v>
      </c>
      <c r="DA78">
        <v>0</v>
      </c>
      <c r="DB78">
        <v>131</v>
      </c>
      <c r="DC78">
        <v>123</v>
      </c>
      <c r="DD78">
        <v>153</v>
      </c>
      <c r="DE78">
        <v>25</v>
      </c>
      <c r="DF78">
        <v>153</v>
      </c>
      <c r="DG78">
        <v>24</v>
      </c>
      <c r="DH78">
        <v>14</v>
      </c>
      <c r="DI78">
        <v>154</v>
      </c>
      <c r="DJ78">
        <v>13</v>
      </c>
      <c r="DK78">
        <v>14</v>
      </c>
      <c r="DL78">
        <v>171</v>
      </c>
      <c r="DM78">
        <v>160</v>
      </c>
      <c r="DN78">
        <v>0</v>
      </c>
      <c r="DO78">
        <v>168</v>
      </c>
      <c r="DP78">
        <v>43</v>
      </c>
      <c r="DQ78">
        <v>174</v>
      </c>
      <c r="DR78">
        <v>168</v>
      </c>
      <c r="DS78">
        <v>174</v>
      </c>
      <c r="DT78">
        <v>0</v>
      </c>
      <c r="DU78">
        <v>135</v>
      </c>
      <c r="DV78">
        <v>0</v>
      </c>
      <c r="DW78">
        <v>0</v>
      </c>
      <c r="DX78">
        <v>161</v>
      </c>
      <c r="DY78">
        <v>13</v>
      </c>
      <c r="DZ78">
        <v>74</v>
      </c>
      <c r="EA78">
        <v>206</v>
      </c>
      <c r="EB78">
        <v>0</v>
      </c>
      <c r="EC78">
        <v>1</v>
      </c>
      <c r="ED78">
        <v>0</v>
      </c>
      <c r="EE78">
        <v>44</v>
      </c>
      <c r="EF78">
        <v>59</v>
      </c>
      <c r="EG78">
        <v>158</v>
      </c>
      <c r="EH78">
        <v>2</v>
      </c>
      <c r="EI78">
        <v>168</v>
      </c>
      <c r="EJ78">
        <v>29</v>
      </c>
      <c r="EK78">
        <v>8</v>
      </c>
      <c r="EL78">
        <v>58</v>
      </c>
      <c r="EM78">
        <v>122</v>
      </c>
      <c r="EN78">
        <v>18</v>
      </c>
      <c r="EO78">
        <v>0</v>
      </c>
      <c r="EP78">
        <v>49</v>
      </c>
      <c r="EQ78">
        <v>53</v>
      </c>
      <c r="ER78">
        <v>55</v>
      </c>
      <c r="ES78">
        <v>24</v>
      </c>
      <c r="ET78">
        <v>5</v>
      </c>
      <c r="EU78">
        <v>65</v>
      </c>
      <c r="EV78">
        <v>0</v>
      </c>
      <c r="EW78">
        <v>13</v>
      </c>
      <c r="EX78">
        <v>36</v>
      </c>
      <c r="EY78">
        <v>11</v>
      </c>
      <c r="EZ78">
        <v>16</v>
      </c>
      <c r="FA78">
        <v>67</v>
      </c>
      <c r="FB78">
        <v>0</v>
      </c>
      <c r="FC78">
        <v>33</v>
      </c>
      <c r="FD78">
        <v>0</v>
      </c>
      <c r="FE78">
        <v>0</v>
      </c>
      <c r="FF78">
        <v>50</v>
      </c>
      <c r="FG78">
        <v>64</v>
      </c>
      <c r="FH78">
        <v>73</v>
      </c>
      <c r="FI78">
        <v>5</v>
      </c>
      <c r="FJ78">
        <v>41</v>
      </c>
      <c r="FK78">
        <v>49</v>
      </c>
      <c r="FL78">
        <v>58</v>
      </c>
      <c r="FM78">
        <v>43</v>
      </c>
      <c r="FN78">
        <v>0</v>
      </c>
      <c r="FO78">
        <v>0</v>
      </c>
      <c r="FP78">
        <v>59</v>
      </c>
      <c r="FQ78">
        <v>7</v>
      </c>
      <c r="FR78">
        <v>44</v>
      </c>
      <c r="FS78">
        <v>69</v>
      </c>
      <c r="FT78">
        <v>16</v>
      </c>
      <c r="FU78">
        <v>61</v>
      </c>
      <c r="FV78">
        <v>77</v>
      </c>
      <c r="FW78">
        <v>47</v>
      </c>
      <c r="FX78">
        <v>51</v>
      </c>
      <c r="FY78">
        <v>55</v>
      </c>
      <c r="FZ78">
        <v>98</v>
      </c>
      <c r="GA78">
        <v>50</v>
      </c>
      <c r="GB78">
        <v>23</v>
      </c>
      <c r="GC78">
        <v>57</v>
      </c>
      <c r="GD78">
        <v>115</v>
      </c>
      <c r="GE78">
        <v>110</v>
      </c>
      <c r="GF78">
        <v>14</v>
      </c>
      <c r="GG78">
        <v>5</v>
      </c>
      <c r="GH78">
        <v>77</v>
      </c>
      <c r="GI78">
        <v>0</v>
      </c>
      <c r="GJ78">
        <v>43</v>
      </c>
      <c r="GK78">
        <v>45</v>
      </c>
      <c r="GL78">
        <v>2</v>
      </c>
      <c r="GM78">
        <v>0</v>
      </c>
      <c r="GN78">
        <v>26</v>
      </c>
      <c r="GO78">
        <v>0</v>
      </c>
      <c r="GP78">
        <v>79</v>
      </c>
      <c r="GQ78">
        <v>77</v>
      </c>
      <c r="GR78">
        <v>52</v>
      </c>
      <c r="GS78">
        <v>4</v>
      </c>
      <c r="GT78">
        <v>69</v>
      </c>
      <c r="GU78">
        <v>0</v>
      </c>
      <c r="GV78">
        <v>37</v>
      </c>
      <c r="GW78">
        <v>1</v>
      </c>
      <c r="GX78">
        <v>56</v>
      </c>
      <c r="GY78">
        <v>46</v>
      </c>
      <c r="GZ78">
        <v>77</v>
      </c>
      <c r="HA78">
        <v>38</v>
      </c>
      <c r="HB78">
        <v>50</v>
      </c>
      <c r="HC78">
        <v>40</v>
      </c>
      <c r="HD78">
        <v>51</v>
      </c>
      <c r="HE78">
        <v>5</v>
      </c>
      <c r="HF78">
        <v>0</v>
      </c>
      <c r="HG78">
        <v>89</v>
      </c>
      <c r="HH78">
        <v>85</v>
      </c>
      <c r="HI78">
        <v>33</v>
      </c>
      <c r="HJ78">
        <v>88</v>
      </c>
      <c r="HK78">
        <v>38</v>
      </c>
      <c r="HL78">
        <v>46</v>
      </c>
      <c r="HM78">
        <v>2</v>
      </c>
      <c r="HN78">
        <v>40</v>
      </c>
      <c r="HO78">
        <v>96</v>
      </c>
      <c r="HP78">
        <v>1</v>
      </c>
      <c r="HQ78">
        <v>38</v>
      </c>
      <c r="HR78">
        <v>16</v>
      </c>
      <c r="HS78">
        <v>1</v>
      </c>
      <c r="HT78">
        <v>110</v>
      </c>
      <c r="HU78">
        <v>80</v>
      </c>
      <c r="HV78">
        <v>0</v>
      </c>
      <c r="HW78">
        <v>0</v>
      </c>
      <c r="HX78">
        <v>103</v>
      </c>
      <c r="HY78">
        <v>124</v>
      </c>
      <c r="HZ78">
        <v>68</v>
      </c>
      <c r="IA78">
        <v>12</v>
      </c>
      <c r="IB78">
        <v>0</v>
      </c>
      <c r="IC78">
        <v>0</v>
      </c>
      <c r="ID78">
        <v>0</v>
      </c>
      <c r="IE78">
        <v>129</v>
      </c>
      <c r="IF78">
        <v>46</v>
      </c>
      <c r="IG78">
        <v>0</v>
      </c>
      <c r="IH78">
        <v>50</v>
      </c>
      <c r="II78">
        <v>0</v>
      </c>
      <c r="IJ78">
        <v>121</v>
      </c>
      <c r="IK78">
        <v>0</v>
      </c>
      <c r="IL78">
        <v>0</v>
      </c>
      <c r="IM78">
        <v>0</v>
      </c>
      <c r="IN78">
        <v>107</v>
      </c>
      <c r="IO78">
        <v>110</v>
      </c>
      <c r="IP78">
        <v>118</v>
      </c>
      <c r="IQ78">
        <v>0</v>
      </c>
      <c r="IR78">
        <v>141</v>
      </c>
      <c r="IS78">
        <v>101</v>
      </c>
      <c r="IT78">
        <v>16</v>
      </c>
      <c r="IU78">
        <v>2</v>
      </c>
      <c r="IV78">
        <v>14</v>
      </c>
      <c r="IW78">
        <v>8</v>
      </c>
      <c r="IX78">
        <v>70</v>
      </c>
      <c r="IY78">
        <v>127</v>
      </c>
      <c r="IZ78">
        <v>118</v>
      </c>
      <c r="JA78">
        <v>100</v>
      </c>
      <c r="JB78">
        <v>3</v>
      </c>
      <c r="JC78">
        <v>56</v>
      </c>
      <c r="JD78">
        <v>128</v>
      </c>
      <c r="JE78">
        <v>111</v>
      </c>
      <c r="JF78">
        <v>2</v>
      </c>
      <c r="JG78">
        <v>128</v>
      </c>
      <c r="JH78">
        <v>57</v>
      </c>
      <c r="JI78">
        <v>0</v>
      </c>
      <c r="JJ78">
        <v>0</v>
      </c>
      <c r="JK78">
        <v>72</v>
      </c>
      <c r="JL78">
        <v>127</v>
      </c>
      <c r="JM78">
        <v>127</v>
      </c>
      <c r="JN78">
        <v>137</v>
      </c>
      <c r="JO78">
        <v>0</v>
      </c>
      <c r="JP78">
        <v>129</v>
      </c>
      <c r="JQ78">
        <v>2</v>
      </c>
      <c r="JR78">
        <v>111</v>
      </c>
      <c r="JS78">
        <v>0</v>
      </c>
      <c r="JT78">
        <v>0</v>
      </c>
      <c r="JU78">
        <v>136</v>
      </c>
      <c r="JV78">
        <v>0</v>
      </c>
      <c r="JW78">
        <v>13</v>
      </c>
      <c r="JX78">
        <v>0</v>
      </c>
      <c r="JY78">
        <v>5</v>
      </c>
      <c r="JZ78">
        <v>0</v>
      </c>
      <c r="KA78">
        <v>0</v>
      </c>
      <c r="KB78">
        <v>0</v>
      </c>
      <c r="KC78">
        <v>0</v>
      </c>
      <c r="KD78">
        <v>86</v>
      </c>
      <c r="KE78">
        <v>35</v>
      </c>
      <c r="KF78">
        <v>85</v>
      </c>
      <c r="KG78">
        <v>87</v>
      </c>
      <c r="KH78">
        <v>0</v>
      </c>
      <c r="KI78">
        <v>69</v>
      </c>
      <c r="KJ78">
        <v>9</v>
      </c>
      <c r="KK78">
        <v>86</v>
      </c>
      <c r="KL78">
        <v>0</v>
      </c>
      <c r="KM78">
        <v>83</v>
      </c>
      <c r="KN78">
        <v>84</v>
      </c>
      <c r="KO78">
        <v>0</v>
      </c>
      <c r="KP78">
        <v>80</v>
      </c>
      <c r="KQ78">
        <v>61</v>
      </c>
      <c r="KR78">
        <v>80</v>
      </c>
      <c r="KS78">
        <v>83</v>
      </c>
      <c r="KT78">
        <v>88</v>
      </c>
      <c r="KU78">
        <v>0</v>
      </c>
      <c r="KV78">
        <v>8</v>
      </c>
      <c r="KW78">
        <v>93</v>
      </c>
      <c r="KX78">
        <v>26</v>
      </c>
      <c r="KY78">
        <v>88</v>
      </c>
      <c r="KZ78">
        <v>9</v>
      </c>
      <c r="LA78">
        <v>88</v>
      </c>
      <c r="LB78">
        <v>80</v>
      </c>
      <c r="LC78">
        <v>88</v>
      </c>
      <c r="LD78">
        <v>0</v>
      </c>
      <c r="LE78">
        <v>64</v>
      </c>
      <c r="LF78">
        <v>40</v>
      </c>
      <c r="LG78">
        <v>88</v>
      </c>
      <c r="LH78">
        <v>70</v>
      </c>
      <c r="LI78">
        <v>85</v>
      </c>
      <c r="LJ78">
        <v>94</v>
      </c>
      <c r="LK78">
        <v>94</v>
      </c>
      <c r="LL78">
        <v>94</v>
      </c>
      <c r="LM78">
        <v>94</v>
      </c>
      <c r="LN78">
        <v>45</v>
      </c>
      <c r="LO78">
        <v>94</v>
      </c>
      <c r="LP78">
        <v>94</v>
      </c>
      <c r="LQ78">
        <v>94</v>
      </c>
      <c r="LR78">
        <v>0</v>
      </c>
      <c r="LS78">
        <v>44</v>
      </c>
      <c r="LT78">
        <v>94</v>
      </c>
      <c r="LU78">
        <v>93</v>
      </c>
      <c r="LV78">
        <v>94</v>
      </c>
      <c r="LW78">
        <v>1</v>
      </c>
      <c r="LX78">
        <v>94</v>
      </c>
      <c r="LY78">
        <v>96</v>
      </c>
      <c r="LZ78">
        <v>4</v>
      </c>
      <c r="MA78">
        <v>82</v>
      </c>
      <c r="MB78">
        <v>82</v>
      </c>
      <c r="MC78">
        <v>16</v>
      </c>
      <c r="MD78">
        <v>83</v>
      </c>
      <c r="ME78">
        <v>83</v>
      </c>
      <c r="MF78">
        <v>83</v>
      </c>
      <c r="MG78">
        <v>17</v>
      </c>
      <c r="MH78">
        <v>30</v>
      </c>
      <c r="MI78">
        <v>83</v>
      </c>
      <c r="MJ78">
        <v>82</v>
      </c>
      <c r="MK78">
        <v>83</v>
      </c>
      <c r="ML78">
        <v>0</v>
      </c>
      <c r="MM78">
        <v>83</v>
      </c>
      <c r="MN78">
        <v>82</v>
      </c>
      <c r="MO78">
        <v>83</v>
      </c>
      <c r="MP78">
        <v>102</v>
      </c>
      <c r="MQ78">
        <v>14</v>
      </c>
      <c r="MR78">
        <v>98</v>
      </c>
      <c r="MS78">
        <v>0</v>
      </c>
      <c r="MT78">
        <v>102</v>
      </c>
      <c r="MU78">
        <v>94</v>
      </c>
      <c r="MV78">
        <v>102</v>
      </c>
      <c r="MW78">
        <v>102</v>
      </c>
      <c r="MX78">
        <v>0</v>
      </c>
      <c r="MY78">
        <v>0</v>
      </c>
      <c r="MZ78">
        <v>102</v>
      </c>
      <c r="NA78">
        <v>102</v>
      </c>
      <c r="NB78">
        <v>5</v>
      </c>
      <c r="NC78">
        <v>102</v>
      </c>
      <c r="ND78">
        <v>102</v>
      </c>
      <c r="NE78">
        <v>67</v>
      </c>
      <c r="NF78">
        <v>117</v>
      </c>
      <c r="NG78">
        <v>56</v>
      </c>
      <c r="NH78">
        <v>138</v>
      </c>
      <c r="NI78">
        <v>139</v>
      </c>
      <c r="NJ78">
        <v>140</v>
      </c>
      <c r="NK78">
        <v>25</v>
      </c>
      <c r="NL78">
        <v>139</v>
      </c>
      <c r="NM78">
        <v>139</v>
      </c>
      <c r="NN78">
        <v>136</v>
      </c>
      <c r="NO78">
        <v>140</v>
      </c>
      <c r="NP78">
        <v>140</v>
      </c>
      <c r="NQ78">
        <v>1</v>
      </c>
      <c r="NR78">
        <v>138</v>
      </c>
      <c r="NS78">
        <v>133</v>
      </c>
      <c r="NT78">
        <v>138</v>
      </c>
      <c r="NU78">
        <v>137</v>
      </c>
      <c r="NV78">
        <v>144</v>
      </c>
      <c r="NW78">
        <v>132</v>
      </c>
      <c r="NX78">
        <v>136</v>
      </c>
      <c r="NY78">
        <v>0</v>
      </c>
      <c r="NZ78">
        <v>0</v>
      </c>
      <c r="OA78">
        <v>16</v>
      </c>
      <c r="OB78">
        <v>149</v>
      </c>
      <c r="OC78">
        <v>148</v>
      </c>
      <c r="OD78">
        <v>70</v>
      </c>
      <c r="OE78">
        <v>40</v>
      </c>
      <c r="OF78">
        <v>2</v>
      </c>
      <c r="OG78">
        <v>151</v>
      </c>
      <c r="OH78">
        <v>149</v>
      </c>
      <c r="OI78">
        <v>0</v>
      </c>
      <c r="OJ78">
        <v>152</v>
      </c>
      <c r="OK78">
        <v>151</v>
      </c>
      <c r="OL78">
        <v>129</v>
      </c>
      <c r="OM78">
        <v>94</v>
      </c>
      <c r="ON78">
        <v>155</v>
      </c>
      <c r="OO78">
        <v>0</v>
      </c>
      <c r="OP78">
        <v>163</v>
      </c>
      <c r="OQ78">
        <v>0</v>
      </c>
      <c r="OR78">
        <v>0</v>
      </c>
      <c r="OS78">
        <v>3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120</v>
      </c>
      <c r="PC78">
        <v>122</v>
      </c>
      <c r="PD78">
        <v>0</v>
      </c>
      <c r="PE78">
        <v>105</v>
      </c>
      <c r="PF78">
        <v>43</v>
      </c>
      <c r="PG78">
        <v>99</v>
      </c>
      <c r="PH78">
        <v>100</v>
      </c>
      <c r="PI78">
        <v>10</v>
      </c>
      <c r="PJ78">
        <v>49</v>
      </c>
      <c r="PK78">
        <v>101</v>
      </c>
      <c r="PL78">
        <v>1</v>
      </c>
      <c r="PM78">
        <v>93</v>
      </c>
      <c r="PN78">
        <v>0</v>
      </c>
      <c r="PO78">
        <v>0</v>
      </c>
      <c r="PP78">
        <v>24</v>
      </c>
      <c r="PQ78">
        <v>65</v>
      </c>
      <c r="PR78">
        <v>80</v>
      </c>
      <c r="PS78">
        <v>112</v>
      </c>
      <c r="PT78">
        <v>8</v>
      </c>
      <c r="PU78">
        <v>111</v>
      </c>
      <c r="PV78">
        <v>113</v>
      </c>
      <c r="PW78">
        <v>114</v>
      </c>
      <c r="PX78">
        <v>114</v>
      </c>
      <c r="PY78">
        <v>85</v>
      </c>
      <c r="PZ78">
        <v>114</v>
      </c>
      <c r="QA78">
        <v>42</v>
      </c>
      <c r="QB78">
        <v>82</v>
      </c>
      <c r="QC78">
        <v>12</v>
      </c>
      <c r="QD78">
        <v>100</v>
      </c>
      <c r="QE78">
        <v>89</v>
      </c>
      <c r="QF78">
        <v>23</v>
      </c>
      <c r="QG78">
        <v>111</v>
      </c>
      <c r="QH78">
        <v>0</v>
      </c>
      <c r="QI78">
        <v>0</v>
      </c>
      <c r="QJ78">
        <v>137</v>
      </c>
      <c r="QK78">
        <v>113</v>
      </c>
      <c r="QL78">
        <v>0</v>
      </c>
      <c r="QM78">
        <v>90</v>
      </c>
      <c r="QN78">
        <v>0</v>
      </c>
      <c r="QO78">
        <v>9</v>
      </c>
      <c r="QP78">
        <v>42</v>
      </c>
      <c r="QQ78">
        <v>0</v>
      </c>
      <c r="QR78">
        <v>0</v>
      </c>
      <c r="QS78">
        <v>62</v>
      </c>
      <c r="QT78">
        <v>0</v>
      </c>
      <c r="QU78">
        <v>0</v>
      </c>
      <c r="QV78">
        <v>131</v>
      </c>
      <c r="QW78">
        <v>135</v>
      </c>
      <c r="QX78">
        <v>9</v>
      </c>
      <c r="QY78">
        <v>28</v>
      </c>
      <c r="QZ78">
        <v>117</v>
      </c>
      <c r="RA78">
        <v>114</v>
      </c>
      <c r="RB78">
        <v>116</v>
      </c>
      <c r="RC78">
        <v>49</v>
      </c>
      <c r="RD78">
        <v>64</v>
      </c>
      <c r="RE78">
        <v>113</v>
      </c>
      <c r="RF78">
        <v>89</v>
      </c>
      <c r="RG78">
        <v>112</v>
      </c>
      <c r="RH78">
        <v>40</v>
      </c>
      <c r="RI78">
        <v>52</v>
      </c>
      <c r="RJ78">
        <v>116</v>
      </c>
      <c r="RK78">
        <v>78</v>
      </c>
      <c r="RL78">
        <v>89</v>
      </c>
      <c r="RM78">
        <v>118</v>
      </c>
      <c r="RN78">
        <v>0</v>
      </c>
      <c r="RO78">
        <v>120</v>
      </c>
      <c r="RP78">
        <v>3</v>
      </c>
      <c r="RQ78">
        <v>112</v>
      </c>
      <c r="RR78">
        <v>108</v>
      </c>
      <c r="RS78">
        <v>39</v>
      </c>
      <c r="RT78">
        <v>118</v>
      </c>
      <c r="RU78">
        <v>28</v>
      </c>
      <c r="RV78">
        <v>120</v>
      </c>
      <c r="RW78">
        <v>105</v>
      </c>
      <c r="RX78">
        <v>4</v>
      </c>
      <c r="RY78">
        <v>120</v>
      </c>
      <c r="RZ78">
        <v>115</v>
      </c>
      <c r="SA78">
        <v>13</v>
      </c>
      <c r="SB78">
        <v>5</v>
      </c>
      <c r="SC78">
        <v>94</v>
      </c>
      <c r="SD78">
        <v>145</v>
      </c>
      <c r="SE78">
        <v>164</v>
      </c>
      <c r="SF78">
        <v>146</v>
      </c>
      <c r="SG78">
        <v>148</v>
      </c>
      <c r="SH78">
        <v>0</v>
      </c>
      <c r="SI78">
        <v>165</v>
      </c>
      <c r="SJ78">
        <v>13</v>
      </c>
      <c r="SK78">
        <v>0</v>
      </c>
      <c r="SL78">
        <v>0</v>
      </c>
      <c r="SM78">
        <v>20</v>
      </c>
      <c r="SN78">
        <v>161</v>
      </c>
      <c r="SO78">
        <v>0</v>
      </c>
      <c r="SP78">
        <v>88</v>
      </c>
      <c r="SQ78">
        <v>22</v>
      </c>
      <c r="SR78">
        <v>142</v>
      </c>
      <c r="SS78">
        <v>147</v>
      </c>
      <c r="ST78">
        <v>34</v>
      </c>
      <c r="SU78">
        <v>75</v>
      </c>
      <c r="SV78">
        <v>3</v>
      </c>
      <c r="SW78">
        <v>69</v>
      </c>
      <c r="SX78">
        <v>1</v>
      </c>
      <c r="SY78">
        <v>50</v>
      </c>
      <c r="SZ78">
        <v>47</v>
      </c>
      <c r="TA78">
        <v>72</v>
      </c>
      <c r="TB78">
        <v>50</v>
      </c>
      <c r="TC78">
        <v>68</v>
      </c>
      <c r="TD78">
        <v>68</v>
      </c>
      <c r="TE78">
        <v>64</v>
      </c>
      <c r="TF78">
        <v>51</v>
      </c>
      <c r="TG78">
        <v>30</v>
      </c>
      <c r="TH78">
        <v>59</v>
      </c>
      <c r="TI78">
        <v>47</v>
      </c>
      <c r="TJ78">
        <v>0</v>
      </c>
      <c r="TK78">
        <v>58</v>
      </c>
      <c r="TL78">
        <v>0</v>
      </c>
      <c r="TM78">
        <v>0</v>
      </c>
      <c r="TN78">
        <v>114</v>
      </c>
      <c r="TO78">
        <v>0</v>
      </c>
      <c r="TP78">
        <v>75</v>
      </c>
      <c r="TQ78">
        <v>102</v>
      </c>
      <c r="TR78">
        <v>15</v>
      </c>
      <c r="TS78">
        <v>21</v>
      </c>
      <c r="TT78">
        <v>1</v>
      </c>
      <c r="TU78">
        <v>0</v>
      </c>
      <c r="TV78">
        <v>51</v>
      </c>
      <c r="TW78">
        <v>5</v>
      </c>
      <c r="TX78">
        <v>155</v>
      </c>
      <c r="TY78">
        <v>0</v>
      </c>
      <c r="TZ78">
        <v>110</v>
      </c>
      <c r="UA78">
        <v>108</v>
      </c>
      <c r="UB78">
        <v>69</v>
      </c>
      <c r="UC78">
        <v>0</v>
      </c>
      <c r="UD78">
        <v>68</v>
      </c>
      <c r="UE78">
        <v>76</v>
      </c>
      <c r="UF78">
        <v>56</v>
      </c>
      <c r="UG78">
        <v>40</v>
      </c>
      <c r="UH78">
        <v>0</v>
      </c>
      <c r="UI78">
        <v>68</v>
      </c>
      <c r="UJ78">
        <v>78</v>
      </c>
      <c r="UK78">
        <v>45</v>
      </c>
      <c r="UL78">
        <v>88</v>
      </c>
      <c r="UM78">
        <v>0</v>
      </c>
      <c r="UN78">
        <v>0</v>
      </c>
      <c r="UO78">
        <v>0</v>
      </c>
      <c r="UP78">
        <v>73</v>
      </c>
      <c r="UQ78">
        <v>0</v>
      </c>
      <c r="UR78">
        <v>124</v>
      </c>
      <c r="US78">
        <v>118</v>
      </c>
      <c r="UT78">
        <v>54</v>
      </c>
      <c r="UU78">
        <v>92</v>
      </c>
      <c r="UV78">
        <v>59</v>
      </c>
      <c r="UW78">
        <v>0</v>
      </c>
      <c r="UX78">
        <v>128</v>
      </c>
      <c r="UY78">
        <v>89</v>
      </c>
      <c r="UZ78">
        <v>0</v>
      </c>
      <c r="VA78">
        <v>125</v>
      </c>
      <c r="VB78">
        <v>8</v>
      </c>
      <c r="VC78">
        <v>0</v>
      </c>
      <c r="VD78">
        <v>6</v>
      </c>
      <c r="VE78">
        <v>92</v>
      </c>
      <c r="VF78">
        <v>126</v>
      </c>
      <c r="VG78">
        <v>36</v>
      </c>
      <c r="VH78">
        <v>44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1</v>
      </c>
      <c r="VO78">
        <v>111</v>
      </c>
      <c r="VP78">
        <v>60</v>
      </c>
      <c r="VQ78">
        <v>35</v>
      </c>
      <c r="VR78">
        <v>10</v>
      </c>
      <c r="VS78">
        <v>28</v>
      </c>
      <c r="VT78">
        <v>0</v>
      </c>
      <c r="VU78">
        <v>32</v>
      </c>
      <c r="VV78">
        <v>0</v>
      </c>
      <c r="VW78">
        <v>1</v>
      </c>
      <c r="VX78">
        <v>0</v>
      </c>
      <c r="VY78">
        <v>93</v>
      </c>
      <c r="VZ78">
        <v>112</v>
      </c>
      <c r="WA78">
        <v>0</v>
      </c>
      <c r="WB78">
        <v>0</v>
      </c>
      <c r="WC78">
        <v>0</v>
      </c>
      <c r="WD78">
        <v>8</v>
      </c>
      <c r="WE78">
        <v>24</v>
      </c>
      <c r="WF78">
        <v>51</v>
      </c>
      <c r="WG78">
        <v>35</v>
      </c>
      <c r="WH78">
        <v>0</v>
      </c>
      <c r="WI78">
        <v>48</v>
      </c>
      <c r="WJ78">
        <v>9</v>
      </c>
      <c r="WK78">
        <v>94</v>
      </c>
      <c r="WL78">
        <v>0</v>
      </c>
      <c r="WM78">
        <v>39</v>
      </c>
      <c r="WN78">
        <v>86</v>
      </c>
      <c r="WO78">
        <v>75</v>
      </c>
      <c r="WP78">
        <v>67</v>
      </c>
      <c r="WQ78">
        <v>82</v>
      </c>
      <c r="WR78">
        <v>0</v>
      </c>
      <c r="WS78">
        <v>107</v>
      </c>
      <c r="WT78">
        <v>0</v>
      </c>
      <c r="WU78">
        <v>4</v>
      </c>
      <c r="WV78">
        <v>0</v>
      </c>
      <c r="WW78">
        <v>22</v>
      </c>
      <c r="WX78">
        <v>2</v>
      </c>
      <c r="WY78">
        <v>1</v>
      </c>
      <c r="WZ78">
        <v>0</v>
      </c>
      <c r="XA78">
        <v>14</v>
      </c>
      <c r="XB78">
        <v>0</v>
      </c>
      <c r="XC78">
        <v>13</v>
      </c>
      <c r="XD78">
        <v>5</v>
      </c>
      <c r="XE78">
        <v>85</v>
      </c>
      <c r="XF78">
        <v>0</v>
      </c>
      <c r="XG78">
        <v>79</v>
      </c>
      <c r="XH78">
        <v>129</v>
      </c>
      <c r="XI78">
        <v>1</v>
      </c>
      <c r="XJ78">
        <v>11</v>
      </c>
      <c r="XK78">
        <v>83</v>
      </c>
      <c r="XL78">
        <v>40</v>
      </c>
      <c r="XM78">
        <v>159</v>
      </c>
      <c r="XN78">
        <v>99</v>
      </c>
      <c r="XO78">
        <v>3</v>
      </c>
      <c r="XP78">
        <v>0</v>
      </c>
      <c r="XQ78">
        <v>0</v>
      </c>
      <c r="XR78">
        <v>8</v>
      </c>
      <c r="XS78">
        <v>39</v>
      </c>
      <c r="XT78">
        <v>147</v>
      </c>
      <c r="XU78">
        <v>0</v>
      </c>
      <c r="XV78">
        <v>0</v>
      </c>
      <c r="XW78">
        <v>0</v>
      </c>
      <c r="XX78">
        <v>68</v>
      </c>
      <c r="XY78">
        <v>47</v>
      </c>
      <c r="XZ78">
        <v>16</v>
      </c>
      <c r="YA78">
        <v>9</v>
      </c>
      <c r="YB78">
        <v>13</v>
      </c>
      <c r="YC78">
        <v>74</v>
      </c>
      <c r="YD78">
        <v>0</v>
      </c>
      <c r="YE78">
        <v>22</v>
      </c>
      <c r="YF78">
        <v>0</v>
      </c>
      <c r="YG78">
        <v>98</v>
      </c>
      <c r="YH78">
        <v>0</v>
      </c>
      <c r="YI78">
        <v>0</v>
      </c>
      <c r="YJ78">
        <v>102</v>
      </c>
      <c r="YK78">
        <v>125</v>
      </c>
      <c r="YL78">
        <v>105</v>
      </c>
      <c r="YM78">
        <v>112</v>
      </c>
      <c r="YN78">
        <v>0</v>
      </c>
      <c r="YO78">
        <v>0</v>
      </c>
      <c r="YP78">
        <v>0</v>
      </c>
      <c r="YQ78">
        <v>147</v>
      </c>
      <c r="YR78">
        <v>74</v>
      </c>
      <c r="YS78">
        <v>22</v>
      </c>
      <c r="YT78">
        <v>0</v>
      </c>
      <c r="YU78">
        <v>120</v>
      </c>
      <c r="YV78">
        <v>131</v>
      </c>
      <c r="YW78">
        <v>0</v>
      </c>
      <c r="YX78">
        <v>0</v>
      </c>
      <c r="YY78">
        <v>1</v>
      </c>
      <c r="YZ78">
        <v>42</v>
      </c>
      <c r="ZA78">
        <v>95</v>
      </c>
      <c r="ZB78">
        <v>0</v>
      </c>
      <c r="ZC78">
        <v>62</v>
      </c>
      <c r="ZD78">
        <v>76</v>
      </c>
      <c r="ZE78">
        <v>101</v>
      </c>
      <c r="ZF78">
        <v>1</v>
      </c>
      <c r="ZG78">
        <v>26</v>
      </c>
      <c r="ZH78">
        <v>31</v>
      </c>
      <c r="ZI78">
        <v>8</v>
      </c>
      <c r="ZJ78">
        <v>26</v>
      </c>
      <c r="ZK78">
        <v>0</v>
      </c>
      <c r="ZL78">
        <v>21</v>
      </c>
      <c r="ZM78">
        <v>9</v>
      </c>
      <c r="ZN78">
        <v>6</v>
      </c>
      <c r="ZO78">
        <v>10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54</v>
      </c>
      <c r="ZW78">
        <v>0</v>
      </c>
      <c r="ZX78">
        <v>3</v>
      </c>
      <c r="ZY78">
        <v>24</v>
      </c>
      <c r="ZZ78">
        <v>23</v>
      </c>
      <c r="AAA78">
        <v>99</v>
      </c>
      <c r="AAB78">
        <v>11</v>
      </c>
      <c r="AAC78">
        <v>14</v>
      </c>
      <c r="AAD78">
        <v>112</v>
      </c>
      <c r="AAE78">
        <v>35</v>
      </c>
      <c r="AAF78">
        <v>9</v>
      </c>
      <c r="AAG78">
        <v>20</v>
      </c>
      <c r="AAH78">
        <v>0</v>
      </c>
      <c r="AAI78">
        <v>6</v>
      </c>
      <c r="AAJ78">
        <v>1</v>
      </c>
      <c r="AAK78">
        <v>0</v>
      </c>
      <c r="AAL78">
        <v>0</v>
      </c>
      <c r="AAM78">
        <v>26</v>
      </c>
      <c r="AAN78">
        <v>108</v>
      </c>
      <c r="AAO78">
        <v>15</v>
      </c>
      <c r="AAP78">
        <v>0</v>
      </c>
      <c r="AAQ78">
        <v>22</v>
      </c>
      <c r="AAR78">
        <v>33</v>
      </c>
      <c r="AAS78">
        <v>0</v>
      </c>
      <c r="AAT78">
        <v>2</v>
      </c>
      <c r="AAU78">
        <v>2</v>
      </c>
      <c r="AAV78">
        <v>1</v>
      </c>
      <c r="AAW78">
        <v>69</v>
      </c>
      <c r="AAX78">
        <v>0</v>
      </c>
      <c r="AAY78">
        <v>83</v>
      </c>
      <c r="AAZ78">
        <v>0</v>
      </c>
      <c r="ABA78">
        <v>109</v>
      </c>
      <c r="ABB78">
        <v>31</v>
      </c>
      <c r="ABC78">
        <v>108</v>
      </c>
      <c r="ABD78">
        <v>0</v>
      </c>
      <c r="ABE78">
        <v>58</v>
      </c>
      <c r="ABF78">
        <v>0</v>
      </c>
      <c r="ABG78">
        <v>102</v>
      </c>
      <c r="ABH78">
        <v>88</v>
      </c>
      <c r="ABI78">
        <v>0</v>
      </c>
      <c r="ABJ78">
        <v>20</v>
      </c>
      <c r="ABK78">
        <v>96</v>
      </c>
      <c r="ABL78">
        <v>1</v>
      </c>
      <c r="ABM78">
        <v>94</v>
      </c>
      <c r="ABN78">
        <v>0</v>
      </c>
      <c r="ABO78">
        <v>0</v>
      </c>
      <c r="ABP78">
        <v>5</v>
      </c>
      <c r="ABQ78">
        <v>0</v>
      </c>
      <c r="ABR78">
        <v>44</v>
      </c>
      <c r="ABS78">
        <v>110</v>
      </c>
      <c r="ABT78">
        <v>0</v>
      </c>
      <c r="ABU78">
        <v>0</v>
      </c>
      <c r="ABV78">
        <v>0</v>
      </c>
      <c r="ABW78">
        <v>0</v>
      </c>
      <c r="ABX78">
        <v>3</v>
      </c>
      <c r="ABY78">
        <v>0</v>
      </c>
      <c r="ABZ78">
        <v>150</v>
      </c>
      <c r="ACA78">
        <v>104</v>
      </c>
      <c r="ACB78">
        <v>0</v>
      </c>
      <c r="ACC78">
        <v>79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104</v>
      </c>
      <c r="ACL78">
        <v>129</v>
      </c>
      <c r="ACM78">
        <v>0</v>
      </c>
      <c r="ACN78">
        <v>5</v>
      </c>
      <c r="ACO78">
        <v>79</v>
      </c>
    </row>
    <row r="79" spans="1:769" x14ac:dyDescent="0.25">
      <c r="A79" t="s">
        <v>86</v>
      </c>
      <c r="B79" t="s">
        <v>114</v>
      </c>
      <c r="C79" t="s">
        <v>114</v>
      </c>
      <c r="D79">
        <v>0.147034</v>
      </c>
      <c r="E79" t="s">
        <v>114</v>
      </c>
      <c r="F79">
        <v>0.135826</v>
      </c>
      <c r="G79">
        <v>0.14197599999999999</v>
      </c>
      <c r="H79">
        <v>0.13326199999999999</v>
      </c>
      <c r="I79">
        <v>0.15385599999999999</v>
      </c>
      <c r="J79" t="s">
        <v>114</v>
      </c>
      <c r="K79">
        <v>0.108016</v>
      </c>
      <c r="L79" t="s">
        <v>114</v>
      </c>
      <c r="M79">
        <v>0.13694700000000001</v>
      </c>
      <c r="N79" t="s">
        <v>114</v>
      </c>
      <c r="O79">
        <v>0.14159099999999999</v>
      </c>
      <c r="P79">
        <v>8.4398000000000001E-2</v>
      </c>
      <c r="Q79">
        <v>0.14158899999999999</v>
      </c>
      <c r="R79" t="s">
        <v>114</v>
      </c>
      <c r="S79" t="s">
        <v>114</v>
      </c>
      <c r="T79">
        <v>9.8399999999999998E-3</v>
      </c>
      <c r="U79">
        <v>0.12887399999999999</v>
      </c>
      <c r="V79">
        <v>0.16616300000000001</v>
      </c>
      <c r="W79" t="s">
        <v>114</v>
      </c>
      <c r="X79">
        <v>0.11842</v>
      </c>
      <c r="Y79" t="s">
        <v>114</v>
      </c>
      <c r="Z79" t="s">
        <v>114</v>
      </c>
      <c r="AA79">
        <v>0.13273199999999999</v>
      </c>
      <c r="AB79">
        <v>0.13445699999999999</v>
      </c>
      <c r="AC79">
        <v>0.12202</v>
      </c>
      <c r="AD79" t="s">
        <v>114</v>
      </c>
      <c r="AE79">
        <v>0.12327399999999999</v>
      </c>
      <c r="AF79">
        <v>0.17616000000000001</v>
      </c>
      <c r="AG79">
        <v>0.11404599999999999</v>
      </c>
      <c r="AH79">
        <v>3.6360000000000003E-2</v>
      </c>
      <c r="AI79">
        <v>0.38832</v>
      </c>
      <c r="AJ79">
        <v>0.14146400000000001</v>
      </c>
      <c r="AK79">
        <v>0.125447</v>
      </c>
      <c r="AL79">
        <v>9.9148E-2</v>
      </c>
      <c r="AM79">
        <v>1.524E-2</v>
      </c>
      <c r="AN79">
        <v>0.14255399999999999</v>
      </c>
      <c r="AO79">
        <v>0.14613300000000001</v>
      </c>
      <c r="AP79">
        <v>0.14008599999999999</v>
      </c>
      <c r="AQ79">
        <v>4.8784000000000001E-2</v>
      </c>
      <c r="AR79">
        <v>0.148483</v>
      </c>
      <c r="AS79">
        <v>0.13119600000000001</v>
      </c>
      <c r="AT79" t="s">
        <v>114</v>
      </c>
      <c r="AU79">
        <v>0.139462</v>
      </c>
      <c r="AV79" t="s">
        <v>114</v>
      </c>
      <c r="AW79">
        <v>0.12282999999999999</v>
      </c>
      <c r="AX79">
        <v>0.13424800000000001</v>
      </c>
      <c r="AY79">
        <v>5.7239999999999999E-2</v>
      </c>
      <c r="AZ79">
        <v>0.13645099999999999</v>
      </c>
      <c r="BA79">
        <v>0.123039</v>
      </c>
      <c r="BB79" t="s">
        <v>114</v>
      </c>
      <c r="BC79" t="s">
        <v>114</v>
      </c>
      <c r="BD79">
        <v>0.12733900000000001</v>
      </c>
      <c r="BE79">
        <v>0.14078099999999999</v>
      </c>
      <c r="BF79">
        <v>0.12235</v>
      </c>
      <c r="BG79">
        <v>0.14704600000000001</v>
      </c>
      <c r="BH79">
        <v>0.18048</v>
      </c>
      <c r="BI79">
        <v>0.116186</v>
      </c>
      <c r="BJ79">
        <v>0.129021</v>
      </c>
      <c r="BK79">
        <v>0.13145599999999999</v>
      </c>
      <c r="BL79" t="s">
        <v>114</v>
      </c>
      <c r="BM79">
        <v>0.12567800000000001</v>
      </c>
      <c r="BN79" t="s">
        <v>114</v>
      </c>
      <c r="BO79" t="s">
        <v>114</v>
      </c>
      <c r="BP79">
        <v>7.3332999999999995E-2</v>
      </c>
      <c r="BQ79">
        <v>6.4214999999999994E-2</v>
      </c>
      <c r="BR79" t="s">
        <v>114</v>
      </c>
      <c r="BS79">
        <v>0.10274999999999999</v>
      </c>
      <c r="BT79">
        <v>4.1214000000000001E-2</v>
      </c>
      <c r="BU79" t="s">
        <v>114</v>
      </c>
      <c r="BV79" t="s">
        <v>114</v>
      </c>
      <c r="BW79">
        <v>0.106888</v>
      </c>
      <c r="BX79" t="s">
        <v>114</v>
      </c>
      <c r="BY79" t="s">
        <v>114</v>
      </c>
      <c r="BZ79">
        <v>8.3733000000000002E-2</v>
      </c>
      <c r="CA79" t="s">
        <v>114</v>
      </c>
      <c r="CB79">
        <v>6.8167000000000005E-2</v>
      </c>
      <c r="CC79">
        <v>4.7148000000000002E-2</v>
      </c>
      <c r="CD79">
        <v>0.135216</v>
      </c>
      <c r="CE79">
        <v>0.107417</v>
      </c>
      <c r="CF79" t="s">
        <v>114</v>
      </c>
      <c r="CG79">
        <v>0.108908</v>
      </c>
      <c r="CH79" t="s">
        <v>114</v>
      </c>
      <c r="CI79">
        <v>0.14130499999999999</v>
      </c>
      <c r="CJ79">
        <v>0.12784300000000001</v>
      </c>
      <c r="CK79">
        <v>1.392E-2</v>
      </c>
      <c r="CL79">
        <v>0.145149</v>
      </c>
      <c r="CM79">
        <v>0.117356</v>
      </c>
      <c r="CN79">
        <v>1.1679999999999999E-2</v>
      </c>
      <c r="CO79">
        <v>0.14096400000000001</v>
      </c>
      <c r="CP79">
        <v>0.13392299999999999</v>
      </c>
      <c r="CQ79">
        <v>0.16778000000000001</v>
      </c>
      <c r="CR79">
        <v>9.5792000000000002E-2</v>
      </c>
      <c r="CS79">
        <v>0.19685800000000001</v>
      </c>
      <c r="CT79" t="s">
        <v>114</v>
      </c>
      <c r="CU79">
        <v>0.15811</v>
      </c>
      <c r="CV79">
        <v>0.15015899999999999</v>
      </c>
      <c r="CW79">
        <v>7.4084999999999998E-2</v>
      </c>
      <c r="CX79">
        <v>6.9448999999999997E-2</v>
      </c>
      <c r="CY79">
        <v>5.7265000000000003E-2</v>
      </c>
      <c r="CZ79">
        <v>0.101576</v>
      </c>
      <c r="DA79" t="s">
        <v>114</v>
      </c>
      <c r="DB79">
        <v>0.1174</v>
      </c>
      <c r="DC79">
        <v>6.0066000000000001E-2</v>
      </c>
      <c r="DD79">
        <v>5.5559999999999998E-2</v>
      </c>
      <c r="DE79">
        <v>0.137904</v>
      </c>
      <c r="DF79">
        <v>9.5124E-2</v>
      </c>
      <c r="DG79">
        <v>4.0500000000000001E-2</v>
      </c>
      <c r="DH79">
        <v>8.5170999999999997E-2</v>
      </c>
      <c r="DI79">
        <v>0.106267</v>
      </c>
      <c r="DJ79">
        <v>7.2947999999999999E-2</v>
      </c>
      <c r="DK79">
        <v>9.8571000000000006E-2</v>
      </c>
      <c r="DL79">
        <v>0.18431900000000001</v>
      </c>
      <c r="DM79">
        <v>0.12792799999999999</v>
      </c>
      <c r="DN79" t="s">
        <v>114</v>
      </c>
      <c r="DO79">
        <v>0.17147599999999999</v>
      </c>
      <c r="DP79">
        <v>0.14111299999999999</v>
      </c>
      <c r="DQ79">
        <v>0.179733</v>
      </c>
      <c r="DR79">
        <v>0.15951599999999999</v>
      </c>
      <c r="DS79">
        <v>0.16450100000000001</v>
      </c>
      <c r="DT79" t="s">
        <v>114</v>
      </c>
      <c r="DU79">
        <v>0.18415300000000001</v>
      </c>
      <c r="DV79" t="s">
        <v>114</v>
      </c>
      <c r="DW79" t="s">
        <v>114</v>
      </c>
      <c r="DX79">
        <v>0.173066</v>
      </c>
      <c r="DY79">
        <v>0.14230200000000001</v>
      </c>
      <c r="DZ79">
        <v>7.7384999999999995E-2</v>
      </c>
      <c r="EA79">
        <v>8.7437000000000001E-2</v>
      </c>
      <c r="EB79" t="s">
        <v>114</v>
      </c>
      <c r="EC79">
        <v>0.79103999999999997</v>
      </c>
      <c r="ED79" t="s">
        <v>114</v>
      </c>
      <c r="EE79">
        <v>5.0747E-2</v>
      </c>
      <c r="EF79">
        <v>9.3375E-2</v>
      </c>
      <c r="EG79">
        <v>8.9035000000000003E-2</v>
      </c>
      <c r="EH79">
        <v>0.27548</v>
      </c>
      <c r="EI79">
        <v>8.5358000000000003E-2</v>
      </c>
      <c r="EJ79">
        <v>7.2714000000000001E-2</v>
      </c>
      <c r="EK79">
        <v>7.6649999999999996E-2</v>
      </c>
      <c r="EL79">
        <v>0.104074</v>
      </c>
      <c r="EM79">
        <v>8.6560999999999999E-2</v>
      </c>
      <c r="EN79">
        <v>4.3836E-2</v>
      </c>
      <c r="EO79" t="s">
        <v>114</v>
      </c>
      <c r="EP79">
        <v>0.12001100000000001</v>
      </c>
      <c r="EQ79">
        <v>7.5970999999999997E-2</v>
      </c>
      <c r="ER79">
        <v>0.100855</v>
      </c>
      <c r="ES79">
        <v>6.4223000000000002E-2</v>
      </c>
      <c r="ET79">
        <v>2.3424E-2</v>
      </c>
      <c r="EU79">
        <v>9.1176999999999994E-2</v>
      </c>
      <c r="EV79" t="s">
        <v>114</v>
      </c>
      <c r="EW79">
        <v>5.8307999999999999E-2</v>
      </c>
      <c r="EX79">
        <v>0.10181999999999999</v>
      </c>
      <c r="EY79">
        <v>0.21012400000000001</v>
      </c>
      <c r="EZ79">
        <v>0.16589499999999999</v>
      </c>
      <c r="FA79">
        <v>8.2769999999999996E-2</v>
      </c>
      <c r="FB79" t="s">
        <v>114</v>
      </c>
      <c r="FC79">
        <v>0.115379</v>
      </c>
      <c r="FD79" t="s">
        <v>114</v>
      </c>
      <c r="FE79" t="s">
        <v>114</v>
      </c>
      <c r="FF79">
        <v>0.126222</v>
      </c>
      <c r="FG79">
        <v>0.15135799999999999</v>
      </c>
      <c r="FH79">
        <v>0.13109399999999999</v>
      </c>
      <c r="FI79">
        <v>0.16958400000000001</v>
      </c>
      <c r="FJ79">
        <v>0.14899699999999999</v>
      </c>
      <c r="FK79">
        <v>0.10831200000000001</v>
      </c>
      <c r="FL79">
        <v>0.10655299999999999</v>
      </c>
      <c r="FM79">
        <v>4.8340000000000001E-2</v>
      </c>
      <c r="FN79" t="s">
        <v>114</v>
      </c>
      <c r="FO79" t="s">
        <v>114</v>
      </c>
      <c r="FP79">
        <v>0.103218</v>
      </c>
      <c r="FQ79">
        <v>0.49782900000000002</v>
      </c>
      <c r="FR79">
        <v>7.7158000000000004E-2</v>
      </c>
      <c r="FS79">
        <v>0.11419600000000001</v>
      </c>
      <c r="FT79">
        <v>0.14527000000000001</v>
      </c>
      <c r="FU79">
        <v>0.14033300000000001</v>
      </c>
      <c r="FV79">
        <v>8.0614000000000005E-2</v>
      </c>
      <c r="FW79">
        <v>6.0158000000000003E-2</v>
      </c>
      <c r="FX79">
        <v>5.57E-2</v>
      </c>
      <c r="FY79">
        <v>0.13522600000000001</v>
      </c>
      <c r="FZ79">
        <v>0.13094900000000001</v>
      </c>
      <c r="GA79">
        <v>4.1986000000000002E-2</v>
      </c>
      <c r="GB79">
        <v>0.10140200000000001</v>
      </c>
      <c r="GC79">
        <v>0.135708</v>
      </c>
      <c r="GD79">
        <v>0.111664</v>
      </c>
      <c r="GE79">
        <v>0.13966799999999999</v>
      </c>
      <c r="GF79">
        <v>3.4840000000000003E-2</v>
      </c>
      <c r="GG79">
        <v>0.96348800000000001</v>
      </c>
      <c r="GH79">
        <v>9.3826000000000007E-2</v>
      </c>
      <c r="GI79" t="s">
        <v>114</v>
      </c>
      <c r="GJ79">
        <v>8.7926000000000004E-2</v>
      </c>
      <c r="GK79">
        <v>0.12461700000000001</v>
      </c>
      <c r="GL79">
        <v>4.1840000000000002E-2</v>
      </c>
      <c r="GM79" t="s">
        <v>114</v>
      </c>
      <c r="GN79">
        <v>6.028E-2</v>
      </c>
      <c r="GO79" t="s">
        <v>114</v>
      </c>
      <c r="GP79">
        <v>0.111938</v>
      </c>
      <c r="GQ79">
        <v>0.120769</v>
      </c>
      <c r="GR79">
        <v>0.12624199999999999</v>
      </c>
      <c r="GS79">
        <v>3.8159999999999999E-2</v>
      </c>
      <c r="GT79">
        <v>0.150584</v>
      </c>
      <c r="GU79" t="s">
        <v>114</v>
      </c>
      <c r="GV79">
        <v>6.1817999999999998E-2</v>
      </c>
      <c r="GW79">
        <v>3.44E-2</v>
      </c>
      <c r="GX79">
        <v>7.2612999999999997E-2</v>
      </c>
      <c r="GY79">
        <v>5.7917999999999997E-2</v>
      </c>
      <c r="GZ79">
        <v>9.3875E-2</v>
      </c>
      <c r="HA79">
        <v>0.15884400000000001</v>
      </c>
      <c r="HB79">
        <v>0.173733</v>
      </c>
      <c r="HC79">
        <v>0.10359400000000001</v>
      </c>
      <c r="HD79">
        <v>0.693133</v>
      </c>
      <c r="HE79">
        <v>0.1004</v>
      </c>
      <c r="HF79" t="s">
        <v>114</v>
      </c>
      <c r="HG79">
        <v>0.135685</v>
      </c>
      <c r="HH79">
        <v>0.126496</v>
      </c>
      <c r="HI79">
        <v>5.4067999999999998E-2</v>
      </c>
      <c r="HJ79">
        <v>0.107903</v>
      </c>
      <c r="HK79">
        <v>0.13881299999999999</v>
      </c>
      <c r="HL79">
        <v>8.3110000000000003E-2</v>
      </c>
      <c r="HM79">
        <v>3.1E-2</v>
      </c>
      <c r="HN79">
        <v>3.4444000000000002E-2</v>
      </c>
      <c r="HO79">
        <v>9.9709000000000006E-2</v>
      </c>
      <c r="HP79">
        <v>2.232E-2</v>
      </c>
      <c r="HQ79">
        <v>5.8736999999999998E-2</v>
      </c>
      <c r="HR79">
        <v>4.0469999999999999E-2</v>
      </c>
      <c r="HS79">
        <v>6.216E-2</v>
      </c>
      <c r="HT79">
        <v>8.0515000000000003E-2</v>
      </c>
      <c r="HU79">
        <v>5.9894999999999997E-2</v>
      </c>
      <c r="HV79" t="s">
        <v>114</v>
      </c>
      <c r="HW79" t="s">
        <v>114</v>
      </c>
      <c r="HX79">
        <v>6.6542000000000004E-2</v>
      </c>
      <c r="HY79">
        <v>9.1287999999999994E-2</v>
      </c>
      <c r="HZ79">
        <v>4.5155000000000001E-2</v>
      </c>
      <c r="IA79">
        <v>4.802E-2</v>
      </c>
      <c r="IB79" t="s">
        <v>114</v>
      </c>
      <c r="IC79" t="s">
        <v>114</v>
      </c>
      <c r="ID79" t="s">
        <v>114</v>
      </c>
      <c r="IE79">
        <v>7.5675999999999993E-2</v>
      </c>
      <c r="IF79">
        <v>4.2389999999999997E-2</v>
      </c>
      <c r="IG79" t="s">
        <v>114</v>
      </c>
      <c r="IH79">
        <v>6.8905999999999995E-2</v>
      </c>
      <c r="II79" t="s">
        <v>114</v>
      </c>
      <c r="IJ79">
        <v>0.10817499999999999</v>
      </c>
      <c r="IK79" t="s">
        <v>114</v>
      </c>
      <c r="IL79" t="s">
        <v>114</v>
      </c>
      <c r="IM79" t="s">
        <v>114</v>
      </c>
      <c r="IN79">
        <v>8.7963E-2</v>
      </c>
      <c r="IO79">
        <v>8.9797000000000002E-2</v>
      </c>
      <c r="IP79">
        <v>0.107613</v>
      </c>
      <c r="IQ79" t="s">
        <v>114</v>
      </c>
      <c r="IR79">
        <v>0.14571500000000001</v>
      </c>
      <c r="IS79">
        <v>0.113278</v>
      </c>
      <c r="IT79">
        <v>5.4289999999999998E-2</v>
      </c>
      <c r="IU79">
        <v>5.3560000000000003E-2</v>
      </c>
      <c r="IV79">
        <v>0.11462899999999999</v>
      </c>
      <c r="IW79">
        <v>5.7520000000000002E-2</v>
      </c>
      <c r="IX79">
        <v>0.20119899999999999</v>
      </c>
      <c r="IY79">
        <v>0.117143</v>
      </c>
      <c r="IZ79">
        <v>0.119045</v>
      </c>
      <c r="JA79">
        <v>0.12812999999999999</v>
      </c>
      <c r="JB79">
        <v>1.008E-2</v>
      </c>
      <c r="JC79">
        <v>0.15718599999999999</v>
      </c>
      <c r="JD79">
        <v>0.11333</v>
      </c>
      <c r="JE79">
        <v>0.12060700000000001</v>
      </c>
      <c r="JF79">
        <v>1.244E-2</v>
      </c>
      <c r="JG79">
        <v>0.12650900000000001</v>
      </c>
      <c r="JH79">
        <v>0.106561</v>
      </c>
      <c r="JI79" t="s">
        <v>114</v>
      </c>
      <c r="JJ79" t="s">
        <v>114</v>
      </c>
      <c r="JK79">
        <v>8.3192000000000002E-2</v>
      </c>
      <c r="JL79">
        <v>0.114177</v>
      </c>
      <c r="JM79">
        <v>9.3778E-2</v>
      </c>
      <c r="JN79">
        <v>0.150758</v>
      </c>
      <c r="JO79" t="s">
        <v>114</v>
      </c>
      <c r="JP79">
        <v>0.10314</v>
      </c>
      <c r="JQ79">
        <v>4.1000000000000002E-2</v>
      </c>
      <c r="JR79">
        <v>0.197765</v>
      </c>
      <c r="JS79" t="s">
        <v>114</v>
      </c>
      <c r="JT79" t="s">
        <v>114</v>
      </c>
      <c r="JU79">
        <v>0.161441</v>
      </c>
      <c r="JV79" t="s">
        <v>114</v>
      </c>
      <c r="JW79">
        <v>0.37142199999999997</v>
      </c>
      <c r="JX79" t="s">
        <v>114</v>
      </c>
      <c r="JY79">
        <v>4.5920000000000002E-2</v>
      </c>
      <c r="JZ79" t="s">
        <v>114</v>
      </c>
      <c r="KA79" t="s">
        <v>114</v>
      </c>
      <c r="KB79" t="s">
        <v>114</v>
      </c>
      <c r="KC79" t="s">
        <v>114</v>
      </c>
      <c r="KD79">
        <v>0.36432300000000001</v>
      </c>
      <c r="KE79">
        <v>0.13211000000000001</v>
      </c>
      <c r="KF79">
        <v>0.35109200000000002</v>
      </c>
      <c r="KG79">
        <v>0.33949800000000002</v>
      </c>
      <c r="KH79" t="s">
        <v>114</v>
      </c>
      <c r="KI79">
        <v>0.366174</v>
      </c>
      <c r="KJ79">
        <v>0.110498</v>
      </c>
      <c r="KK79">
        <v>0.37011500000000003</v>
      </c>
      <c r="KL79" t="s">
        <v>114</v>
      </c>
      <c r="KM79">
        <v>0.32897700000000002</v>
      </c>
      <c r="KN79">
        <v>0.35486400000000001</v>
      </c>
      <c r="KO79" t="s">
        <v>114</v>
      </c>
      <c r="KP79">
        <v>0.39778999999999998</v>
      </c>
      <c r="KQ79">
        <v>0.55181599999999997</v>
      </c>
      <c r="KR79">
        <v>0.35104099999999999</v>
      </c>
      <c r="KS79">
        <v>0.38280700000000001</v>
      </c>
      <c r="KT79">
        <v>0.154252</v>
      </c>
      <c r="KU79" t="s">
        <v>114</v>
      </c>
      <c r="KV79">
        <v>0.12629000000000001</v>
      </c>
      <c r="KW79">
        <v>0.192277</v>
      </c>
      <c r="KX79">
        <v>6.5353999999999995E-2</v>
      </c>
      <c r="KY79">
        <v>0.18249199999999999</v>
      </c>
      <c r="KZ79">
        <v>0.115991</v>
      </c>
      <c r="LA79">
        <v>0.188446</v>
      </c>
      <c r="LB79">
        <v>0.20685100000000001</v>
      </c>
      <c r="LC79">
        <v>0.22501599999999999</v>
      </c>
      <c r="LD79" t="s">
        <v>114</v>
      </c>
      <c r="LE79">
        <v>0.231737</v>
      </c>
      <c r="LF79">
        <v>0.37295600000000001</v>
      </c>
      <c r="LG79">
        <v>0.216395</v>
      </c>
      <c r="LH79">
        <v>0.19796</v>
      </c>
      <c r="LI79">
        <v>0.23743400000000001</v>
      </c>
      <c r="LJ79">
        <v>0.189997</v>
      </c>
      <c r="LK79">
        <v>0.30252600000000002</v>
      </c>
      <c r="LL79">
        <v>0.18088899999999999</v>
      </c>
      <c r="LM79">
        <v>0.25175500000000001</v>
      </c>
      <c r="LN79">
        <v>6.5592999999999999E-2</v>
      </c>
      <c r="LO79">
        <v>0.24754599999999999</v>
      </c>
      <c r="LP79">
        <v>0.19359899999999999</v>
      </c>
      <c r="LQ79">
        <v>0.22539899999999999</v>
      </c>
      <c r="LR79" t="s">
        <v>114</v>
      </c>
      <c r="LS79">
        <v>0.237958</v>
      </c>
      <c r="LT79">
        <v>0.242282</v>
      </c>
      <c r="LU79">
        <v>0.13581799999999999</v>
      </c>
      <c r="LV79">
        <v>0.25291599999999997</v>
      </c>
      <c r="LW79">
        <v>0.14471999999999999</v>
      </c>
      <c r="LX79">
        <v>0.15448500000000001</v>
      </c>
      <c r="LY79">
        <v>0.20246</v>
      </c>
      <c r="LZ79">
        <v>3.5680000000000003E-2</v>
      </c>
      <c r="MA79">
        <v>0.30996200000000002</v>
      </c>
      <c r="MB79">
        <v>0.28823399999999999</v>
      </c>
      <c r="MC79">
        <v>5.9084999999999999E-2</v>
      </c>
      <c r="MD79">
        <v>0.15006</v>
      </c>
      <c r="ME79">
        <v>0.37613200000000002</v>
      </c>
      <c r="MF79">
        <v>0.214417</v>
      </c>
      <c r="MG79">
        <v>2.5891999999999998E-2</v>
      </c>
      <c r="MH79">
        <v>0.30615999999999999</v>
      </c>
      <c r="MI79">
        <v>0.25890099999999999</v>
      </c>
      <c r="MJ79">
        <v>0.22137699999999999</v>
      </c>
      <c r="MK79">
        <v>0.30143999999999999</v>
      </c>
      <c r="ML79" t="s">
        <v>114</v>
      </c>
      <c r="MM79">
        <v>0.225938</v>
      </c>
      <c r="MN79">
        <v>0.182333</v>
      </c>
      <c r="MO79">
        <v>0.207089</v>
      </c>
      <c r="MP79">
        <v>0.19326299999999999</v>
      </c>
      <c r="MQ79">
        <v>0.16012000000000001</v>
      </c>
      <c r="MR79">
        <v>0.19211300000000001</v>
      </c>
      <c r="MS79" t="s">
        <v>114</v>
      </c>
      <c r="MT79">
        <v>0.18279100000000001</v>
      </c>
      <c r="MU79">
        <v>0.20588000000000001</v>
      </c>
      <c r="MV79">
        <v>0.20565900000000001</v>
      </c>
      <c r="MW79">
        <v>0.17851500000000001</v>
      </c>
      <c r="MX79" t="s">
        <v>114</v>
      </c>
      <c r="MY79" t="s">
        <v>114</v>
      </c>
      <c r="MZ79">
        <v>0.19389700000000001</v>
      </c>
      <c r="NA79">
        <v>0.25067600000000001</v>
      </c>
      <c r="NB79">
        <v>0.12408</v>
      </c>
      <c r="NC79">
        <v>0.17213500000000001</v>
      </c>
      <c r="ND79">
        <v>0.19393299999999999</v>
      </c>
      <c r="NE79">
        <v>0.30293500000000001</v>
      </c>
      <c r="NF79">
        <v>6.676E-2</v>
      </c>
      <c r="NG79">
        <v>9.4218999999999997E-2</v>
      </c>
      <c r="NH79">
        <v>9.1607999999999995E-2</v>
      </c>
      <c r="NI79">
        <v>9.3155000000000002E-2</v>
      </c>
      <c r="NJ79">
        <v>0.103463</v>
      </c>
      <c r="NK79">
        <v>0.10649</v>
      </c>
      <c r="NL79">
        <v>0.108311</v>
      </c>
      <c r="NM79">
        <v>9.0859999999999996E-2</v>
      </c>
      <c r="NN79">
        <v>0.100161</v>
      </c>
      <c r="NO79">
        <v>9.9169999999999994E-2</v>
      </c>
      <c r="NP79">
        <v>0.103615</v>
      </c>
      <c r="NQ79">
        <v>8.9359999999999995E-2</v>
      </c>
      <c r="NR79">
        <v>0.111703</v>
      </c>
      <c r="NS79">
        <v>0.102535</v>
      </c>
      <c r="NT79">
        <v>8.9646000000000003E-2</v>
      </c>
      <c r="NU79">
        <v>9.0322E-2</v>
      </c>
      <c r="NV79">
        <v>0.101012</v>
      </c>
      <c r="NW79">
        <v>8.9743000000000003E-2</v>
      </c>
      <c r="NX79">
        <v>8.5461999999999996E-2</v>
      </c>
      <c r="NY79" t="s">
        <v>114</v>
      </c>
      <c r="NZ79" t="s">
        <v>114</v>
      </c>
      <c r="OA79">
        <v>0.31981500000000002</v>
      </c>
      <c r="OB79">
        <v>9.8931000000000005E-2</v>
      </c>
      <c r="OC79">
        <v>8.3630999999999997E-2</v>
      </c>
      <c r="OD79">
        <v>6.7385E-2</v>
      </c>
      <c r="OE79">
        <v>0.26030999999999999</v>
      </c>
      <c r="OF79">
        <v>2.6599999999999999E-2</v>
      </c>
      <c r="OG79">
        <v>0.105449</v>
      </c>
      <c r="OH79">
        <v>0.105408</v>
      </c>
      <c r="OI79" t="s">
        <v>114</v>
      </c>
      <c r="OJ79">
        <v>9.2054999999999998E-2</v>
      </c>
      <c r="OK79">
        <v>8.7183999999999998E-2</v>
      </c>
      <c r="OL79">
        <v>5.6881000000000001E-2</v>
      </c>
      <c r="OM79">
        <v>7.9103000000000007E-2</v>
      </c>
      <c r="ON79">
        <v>6.7871000000000001E-2</v>
      </c>
      <c r="OO79" t="s">
        <v>114</v>
      </c>
      <c r="OP79">
        <v>8.3562999999999998E-2</v>
      </c>
      <c r="OQ79" t="s">
        <v>114</v>
      </c>
      <c r="OR79" t="s">
        <v>114</v>
      </c>
      <c r="OS79">
        <v>0.13816000000000001</v>
      </c>
      <c r="OT79" t="s">
        <v>114</v>
      </c>
      <c r="OU79" t="s">
        <v>114</v>
      </c>
      <c r="OV79" t="s">
        <v>114</v>
      </c>
      <c r="OW79" t="s">
        <v>114</v>
      </c>
      <c r="OX79" t="s">
        <v>114</v>
      </c>
      <c r="OY79" t="s">
        <v>114</v>
      </c>
      <c r="OZ79" t="s">
        <v>114</v>
      </c>
      <c r="PA79" t="s">
        <v>114</v>
      </c>
      <c r="PB79">
        <v>0.110265</v>
      </c>
      <c r="PC79">
        <v>0.12013500000000001</v>
      </c>
      <c r="PD79" t="s">
        <v>114</v>
      </c>
      <c r="PE79">
        <v>8.3013000000000003E-2</v>
      </c>
      <c r="PF79">
        <v>0.156026</v>
      </c>
      <c r="PG79">
        <v>9.5901E-2</v>
      </c>
      <c r="PH79">
        <v>6.1365999999999997E-2</v>
      </c>
      <c r="PI79">
        <v>0.57244799999999996</v>
      </c>
      <c r="PJ79">
        <v>7.4656E-2</v>
      </c>
      <c r="PK79">
        <v>0.15201500000000001</v>
      </c>
      <c r="PL79">
        <v>2.9600000000000001E-2</v>
      </c>
      <c r="PM79">
        <v>0.13386200000000001</v>
      </c>
      <c r="PN79" t="s">
        <v>114</v>
      </c>
      <c r="PO79" t="s">
        <v>114</v>
      </c>
      <c r="PP79">
        <v>0.222883</v>
      </c>
      <c r="PQ79">
        <v>0.23065099999999999</v>
      </c>
      <c r="PR79">
        <v>5.3844000000000003E-2</v>
      </c>
      <c r="PS79">
        <v>0.10039099999999999</v>
      </c>
      <c r="PT79">
        <v>0.15098</v>
      </c>
      <c r="PU79">
        <v>0.114732</v>
      </c>
      <c r="PV79">
        <v>0.118392</v>
      </c>
      <c r="PW79">
        <v>0.116503</v>
      </c>
      <c r="PX79">
        <v>0.101106</v>
      </c>
      <c r="PY79">
        <v>7.5524999999999995E-2</v>
      </c>
      <c r="PZ79">
        <v>0.102522</v>
      </c>
      <c r="QA79">
        <v>9.1032000000000002E-2</v>
      </c>
      <c r="QB79">
        <v>4.5859999999999998E-2</v>
      </c>
      <c r="QC79">
        <v>0.23030700000000001</v>
      </c>
      <c r="QD79">
        <v>7.3839000000000002E-2</v>
      </c>
      <c r="QE79">
        <v>3.9808000000000003E-2</v>
      </c>
      <c r="QF79">
        <v>4.6640000000000001E-2</v>
      </c>
      <c r="QG79">
        <v>0.15095900000000001</v>
      </c>
      <c r="QH79" t="s">
        <v>114</v>
      </c>
      <c r="QI79" t="s">
        <v>114</v>
      </c>
      <c r="QJ79">
        <v>7.4892E-2</v>
      </c>
      <c r="QK79">
        <v>8.9746999999999993E-2</v>
      </c>
      <c r="QL79" t="s">
        <v>114</v>
      </c>
      <c r="QM79">
        <v>9.6341999999999997E-2</v>
      </c>
      <c r="QN79" t="s">
        <v>114</v>
      </c>
      <c r="QO79">
        <v>6.7040000000000002E-2</v>
      </c>
      <c r="QP79">
        <v>0.14132800000000001</v>
      </c>
      <c r="QQ79" t="s">
        <v>114</v>
      </c>
      <c r="QR79" t="s">
        <v>114</v>
      </c>
      <c r="QS79">
        <v>0.13503899999999999</v>
      </c>
      <c r="QT79" t="s">
        <v>114</v>
      </c>
      <c r="QU79" t="s">
        <v>114</v>
      </c>
      <c r="QV79">
        <v>0.124628</v>
      </c>
      <c r="QW79">
        <v>0.104326</v>
      </c>
      <c r="QX79">
        <v>7.1777999999999995E-2</v>
      </c>
      <c r="QY79">
        <v>5.1283000000000002E-2</v>
      </c>
      <c r="QZ79">
        <v>0.14130400000000001</v>
      </c>
      <c r="RA79">
        <v>0.18050099999999999</v>
      </c>
      <c r="RB79">
        <v>0.121063</v>
      </c>
      <c r="RC79">
        <v>0.44604199999999999</v>
      </c>
      <c r="RD79">
        <v>5.7613999999999999E-2</v>
      </c>
      <c r="RE79">
        <v>0.101975</v>
      </c>
      <c r="RF79">
        <v>7.8505000000000005E-2</v>
      </c>
      <c r="RG79">
        <v>8.7904999999999997E-2</v>
      </c>
      <c r="RH79">
        <v>4.8023999999999997E-2</v>
      </c>
      <c r="RI79">
        <v>8.5597000000000006E-2</v>
      </c>
      <c r="RJ79">
        <v>0.114883</v>
      </c>
      <c r="RK79">
        <v>9.4089999999999993E-2</v>
      </c>
      <c r="RL79">
        <v>6.4848000000000003E-2</v>
      </c>
      <c r="RM79">
        <v>0.114772</v>
      </c>
      <c r="RN79" t="s">
        <v>114</v>
      </c>
      <c r="RO79">
        <v>0.120297</v>
      </c>
      <c r="RP79">
        <v>3.6747000000000002E-2</v>
      </c>
      <c r="RQ79">
        <v>9.3584000000000001E-2</v>
      </c>
      <c r="RR79">
        <v>5.8326000000000003E-2</v>
      </c>
      <c r="RS79">
        <v>3.2655999999999998E-2</v>
      </c>
      <c r="RT79">
        <v>0.10520599999999999</v>
      </c>
      <c r="RU79">
        <v>4.3605999999999999E-2</v>
      </c>
      <c r="RV79">
        <v>0.102602</v>
      </c>
      <c r="RW79">
        <v>9.2604000000000006E-2</v>
      </c>
      <c r="RX79">
        <v>1.804E-2</v>
      </c>
      <c r="RY79">
        <v>0.12800600000000001</v>
      </c>
      <c r="RZ79">
        <v>7.8825000000000006E-2</v>
      </c>
      <c r="SA79">
        <v>4.7697999999999997E-2</v>
      </c>
      <c r="SB79">
        <v>6.3839999999999994E-2</v>
      </c>
      <c r="SC79">
        <v>4.6207999999999999E-2</v>
      </c>
      <c r="SD79">
        <v>7.3499999999999996E-2</v>
      </c>
      <c r="SE79">
        <v>0.13614100000000001</v>
      </c>
      <c r="SF79">
        <v>9.2547000000000004E-2</v>
      </c>
      <c r="SG79">
        <v>6.4503000000000005E-2</v>
      </c>
      <c r="SH79" t="s">
        <v>114</v>
      </c>
      <c r="SI79">
        <v>0.13378599999999999</v>
      </c>
      <c r="SJ79">
        <v>0.79162500000000002</v>
      </c>
      <c r="SK79" t="s">
        <v>114</v>
      </c>
      <c r="SL79" t="s">
        <v>114</v>
      </c>
      <c r="SM79">
        <v>4.2608E-2</v>
      </c>
      <c r="SN79">
        <v>0.13037000000000001</v>
      </c>
      <c r="SO79" t="s">
        <v>114</v>
      </c>
      <c r="SP79">
        <v>0.103851</v>
      </c>
      <c r="SQ79">
        <v>4.8265000000000002E-2</v>
      </c>
      <c r="SR79">
        <v>0.14634800000000001</v>
      </c>
      <c r="SS79">
        <v>0.148754</v>
      </c>
      <c r="ST79">
        <v>5.4088999999999998E-2</v>
      </c>
      <c r="SU79">
        <v>9.2466000000000007E-2</v>
      </c>
      <c r="SV79">
        <v>2.6107000000000002E-2</v>
      </c>
      <c r="SW79">
        <v>8.7658E-2</v>
      </c>
      <c r="SX79">
        <v>2.248E-2</v>
      </c>
      <c r="SY79">
        <v>4.1589000000000001E-2</v>
      </c>
      <c r="SZ79">
        <v>5.4684000000000003E-2</v>
      </c>
      <c r="TA79">
        <v>8.9422000000000001E-2</v>
      </c>
      <c r="TB79">
        <v>4.2414E-2</v>
      </c>
      <c r="TC79">
        <v>8.9057999999999998E-2</v>
      </c>
      <c r="TD79">
        <v>9.3992999999999993E-2</v>
      </c>
      <c r="TE79">
        <v>6.0528999999999999E-2</v>
      </c>
      <c r="TF79">
        <v>4.9054E-2</v>
      </c>
      <c r="TG79">
        <v>3.9135999999999997E-2</v>
      </c>
      <c r="TH79">
        <v>5.1873000000000002E-2</v>
      </c>
      <c r="TI79">
        <v>5.6232999999999998E-2</v>
      </c>
      <c r="TJ79" t="s">
        <v>114</v>
      </c>
      <c r="TK79">
        <v>4.3182999999999999E-2</v>
      </c>
      <c r="TL79" t="s">
        <v>114</v>
      </c>
      <c r="TM79" t="s">
        <v>114</v>
      </c>
      <c r="TN79">
        <v>0.105846</v>
      </c>
      <c r="TO79" t="s">
        <v>114</v>
      </c>
      <c r="TP79">
        <v>0.105822</v>
      </c>
      <c r="TQ79">
        <v>7.2166999999999995E-2</v>
      </c>
      <c r="TR79">
        <v>0.14358899999999999</v>
      </c>
      <c r="TS79">
        <v>0.19675799999999999</v>
      </c>
      <c r="TT79">
        <v>3.5040000000000002E-2</v>
      </c>
      <c r="TU79" t="s">
        <v>114</v>
      </c>
      <c r="TV79">
        <v>5.2187999999999998E-2</v>
      </c>
      <c r="TW79">
        <v>0.29788799999999999</v>
      </c>
      <c r="TX79">
        <v>9.9429000000000003E-2</v>
      </c>
      <c r="TY79" t="s">
        <v>114</v>
      </c>
      <c r="TZ79">
        <v>0.18216599999999999</v>
      </c>
      <c r="UA79">
        <v>0.15032400000000001</v>
      </c>
      <c r="UB79">
        <v>0.117368</v>
      </c>
      <c r="UC79" t="s">
        <v>114</v>
      </c>
      <c r="UD79">
        <v>0.106326</v>
      </c>
      <c r="UE79">
        <v>0.127939</v>
      </c>
      <c r="UF79">
        <v>0.134523</v>
      </c>
      <c r="UG79">
        <v>0.13001599999999999</v>
      </c>
      <c r="UH79" t="s">
        <v>114</v>
      </c>
      <c r="UI79">
        <v>0.150868</v>
      </c>
      <c r="UJ79">
        <v>0.120403</v>
      </c>
      <c r="UK79">
        <v>7.9480999999999996E-2</v>
      </c>
      <c r="UL79">
        <v>0.10174999999999999</v>
      </c>
      <c r="UM79" t="s">
        <v>114</v>
      </c>
      <c r="UN79" t="s">
        <v>114</v>
      </c>
      <c r="UO79" t="s">
        <v>114</v>
      </c>
      <c r="UP79">
        <v>9.6117999999999995E-2</v>
      </c>
      <c r="UQ79" t="s">
        <v>114</v>
      </c>
      <c r="UR79">
        <v>0.136687</v>
      </c>
      <c r="US79">
        <v>0.14074400000000001</v>
      </c>
      <c r="UT79">
        <v>6.0830000000000002E-2</v>
      </c>
      <c r="UU79">
        <v>9.7880999999999996E-2</v>
      </c>
      <c r="UV79">
        <v>8.7013999999999994E-2</v>
      </c>
      <c r="UW79" t="s">
        <v>114</v>
      </c>
      <c r="UX79">
        <v>0.14651</v>
      </c>
      <c r="UY79">
        <v>0.105571</v>
      </c>
      <c r="UZ79" t="s">
        <v>114</v>
      </c>
      <c r="VA79">
        <v>0.14178199999999999</v>
      </c>
      <c r="VB79">
        <v>7.1529999999999996E-2</v>
      </c>
      <c r="VC79" t="s">
        <v>114</v>
      </c>
      <c r="VD79">
        <v>4.5053000000000003E-2</v>
      </c>
      <c r="VE79">
        <v>0.12945799999999999</v>
      </c>
      <c r="VF79">
        <v>0.136793</v>
      </c>
      <c r="VG79">
        <v>3.5062000000000003E-2</v>
      </c>
      <c r="VH79">
        <v>0.208842</v>
      </c>
      <c r="VI79" t="s">
        <v>114</v>
      </c>
      <c r="VJ79" t="s">
        <v>114</v>
      </c>
      <c r="VK79" t="s">
        <v>114</v>
      </c>
      <c r="VL79" t="s">
        <v>114</v>
      </c>
      <c r="VM79" t="s">
        <v>114</v>
      </c>
      <c r="VN79">
        <v>0.13056000000000001</v>
      </c>
      <c r="VO79">
        <v>0.14413799999999999</v>
      </c>
      <c r="VP79">
        <v>0.117632</v>
      </c>
      <c r="VQ79">
        <v>7.7082999999999999E-2</v>
      </c>
      <c r="VR79">
        <v>0.272088</v>
      </c>
      <c r="VS79">
        <v>0.100589</v>
      </c>
      <c r="VT79" t="s">
        <v>114</v>
      </c>
      <c r="VU79">
        <v>7.5037999999999994E-2</v>
      </c>
      <c r="VV79" t="s">
        <v>114</v>
      </c>
      <c r="VW79">
        <v>6.88E-2</v>
      </c>
      <c r="VX79" t="s">
        <v>114</v>
      </c>
      <c r="VY79">
        <v>0.122872</v>
      </c>
      <c r="VZ79">
        <v>8.1721000000000002E-2</v>
      </c>
      <c r="WA79" t="s">
        <v>114</v>
      </c>
      <c r="WB79" t="s">
        <v>114</v>
      </c>
      <c r="WC79" t="s">
        <v>114</v>
      </c>
      <c r="WD79">
        <v>0.11415</v>
      </c>
      <c r="WE79">
        <v>0.27291700000000002</v>
      </c>
      <c r="WF79">
        <v>0.22237599999999999</v>
      </c>
      <c r="WG79">
        <v>7.6054999999999998E-2</v>
      </c>
      <c r="WH79" t="s">
        <v>114</v>
      </c>
      <c r="WI79">
        <v>0.13551199999999999</v>
      </c>
      <c r="WJ79">
        <v>3.5243999999999998E-2</v>
      </c>
      <c r="WK79">
        <v>0.15124899999999999</v>
      </c>
      <c r="WL79" t="s">
        <v>114</v>
      </c>
      <c r="WM79">
        <v>4.8855000000000003E-2</v>
      </c>
      <c r="WN79">
        <v>8.8905999999999999E-2</v>
      </c>
      <c r="WO79">
        <v>0.104574</v>
      </c>
      <c r="WP79">
        <v>5.5278000000000001E-2</v>
      </c>
      <c r="WQ79">
        <v>6.7184999999999995E-2</v>
      </c>
      <c r="WR79" t="s">
        <v>114</v>
      </c>
      <c r="WS79">
        <v>7.4564000000000005E-2</v>
      </c>
      <c r="WT79" t="s">
        <v>114</v>
      </c>
      <c r="WU79">
        <v>3.492E-2</v>
      </c>
      <c r="WV79" t="s">
        <v>114</v>
      </c>
      <c r="WW79">
        <v>0.101353</v>
      </c>
      <c r="WX79">
        <v>2.6839999999999999E-2</v>
      </c>
      <c r="WY79">
        <v>5.3920000000000003E-2</v>
      </c>
      <c r="WZ79" t="s">
        <v>114</v>
      </c>
      <c r="XA79">
        <v>2.9069000000000001E-2</v>
      </c>
      <c r="XB79" t="s">
        <v>114</v>
      </c>
      <c r="XC79">
        <v>3.1612000000000001E-2</v>
      </c>
      <c r="XD79">
        <v>0.36596800000000002</v>
      </c>
      <c r="XE79">
        <v>9.0327000000000005E-2</v>
      </c>
      <c r="XF79" t="s">
        <v>114</v>
      </c>
      <c r="XG79">
        <v>0.109848</v>
      </c>
      <c r="XH79">
        <v>9.2777999999999999E-2</v>
      </c>
      <c r="XI79">
        <v>1.504E-2</v>
      </c>
      <c r="XJ79">
        <v>3.5062000000000003E-2</v>
      </c>
      <c r="XK79">
        <v>9.8544000000000007E-2</v>
      </c>
      <c r="XL79">
        <v>0.10681599999999999</v>
      </c>
      <c r="XM79">
        <v>0.122848</v>
      </c>
      <c r="XN79">
        <v>9.7788E-2</v>
      </c>
      <c r="XO79">
        <v>0.92202700000000004</v>
      </c>
      <c r="XP79" t="s">
        <v>114</v>
      </c>
      <c r="XQ79" t="s">
        <v>114</v>
      </c>
      <c r="XR79">
        <v>0.22009000000000001</v>
      </c>
      <c r="XS79">
        <v>0.11647200000000001</v>
      </c>
      <c r="XT79">
        <v>0.11584700000000001</v>
      </c>
      <c r="XU79" t="s">
        <v>114</v>
      </c>
      <c r="XV79" t="s">
        <v>114</v>
      </c>
      <c r="XW79" t="s">
        <v>114</v>
      </c>
      <c r="XX79">
        <v>9.1053999999999996E-2</v>
      </c>
      <c r="XY79">
        <v>6.5036999999999998E-2</v>
      </c>
      <c r="XZ79">
        <v>7.4789999999999995E-2</v>
      </c>
      <c r="YA79">
        <v>2.528E-2</v>
      </c>
      <c r="YB79">
        <v>0.200763</v>
      </c>
      <c r="YC79">
        <v>0.108922</v>
      </c>
      <c r="YD79" t="s">
        <v>114</v>
      </c>
      <c r="YE79">
        <v>0.12928000000000001</v>
      </c>
      <c r="YF79" t="s">
        <v>114</v>
      </c>
      <c r="YG79">
        <v>0.13322400000000001</v>
      </c>
      <c r="YH79" t="s">
        <v>114</v>
      </c>
      <c r="YI79" t="s">
        <v>114</v>
      </c>
      <c r="YJ79">
        <v>7.5837000000000002E-2</v>
      </c>
      <c r="YK79">
        <v>7.6644000000000004E-2</v>
      </c>
      <c r="YL79">
        <v>0.102926</v>
      </c>
      <c r="YM79">
        <v>0.164631</v>
      </c>
      <c r="YN79" t="s">
        <v>114</v>
      </c>
      <c r="YO79" t="s">
        <v>114</v>
      </c>
      <c r="YP79" t="s">
        <v>114</v>
      </c>
      <c r="YQ79">
        <v>0.117891</v>
      </c>
      <c r="YR79">
        <v>0.13201199999999999</v>
      </c>
      <c r="YS79">
        <v>0.20791299999999999</v>
      </c>
      <c r="YT79" t="s">
        <v>114</v>
      </c>
      <c r="YU79">
        <v>8.9557999999999999E-2</v>
      </c>
      <c r="YV79">
        <v>0.146561</v>
      </c>
      <c r="YW79" t="s">
        <v>114</v>
      </c>
      <c r="YX79" t="s">
        <v>114</v>
      </c>
      <c r="YY79">
        <v>5.9040000000000002E-2</v>
      </c>
      <c r="YZ79">
        <v>0.18293899999999999</v>
      </c>
      <c r="ZA79">
        <v>0.127748</v>
      </c>
      <c r="ZB79" t="s">
        <v>114</v>
      </c>
      <c r="ZC79">
        <v>0.15211</v>
      </c>
      <c r="ZD79">
        <v>0.115358</v>
      </c>
      <c r="ZE79">
        <v>0.121807</v>
      </c>
      <c r="ZF79">
        <v>4.3040000000000002E-2</v>
      </c>
      <c r="ZG79">
        <v>0.108114</v>
      </c>
      <c r="ZH79">
        <v>5.5454999999999997E-2</v>
      </c>
      <c r="ZI79">
        <v>0.40250000000000002</v>
      </c>
      <c r="ZJ79">
        <v>6.8705000000000002E-2</v>
      </c>
      <c r="ZK79" t="s">
        <v>114</v>
      </c>
      <c r="ZL79">
        <v>0.18781700000000001</v>
      </c>
      <c r="ZM79">
        <v>8.3030999999999994E-2</v>
      </c>
      <c r="ZN79">
        <v>8.9652999999999997E-2</v>
      </c>
      <c r="ZO79">
        <v>9.4144000000000005E-2</v>
      </c>
      <c r="ZP79" t="s">
        <v>114</v>
      </c>
      <c r="ZQ79" t="s">
        <v>114</v>
      </c>
      <c r="ZR79" t="s">
        <v>114</v>
      </c>
      <c r="ZS79" t="s">
        <v>114</v>
      </c>
      <c r="ZT79" t="s">
        <v>114</v>
      </c>
      <c r="ZU79" t="s">
        <v>114</v>
      </c>
      <c r="ZV79">
        <v>7.6031000000000001E-2</v>
      </c>
      <c r="ZW79" t="s">
        <v>114</v>
      </c>
      <c r="ZX79">
        <v>0.44344</v>
      </c>
      <c r="ZY79">
        <v>0.17884700000000001</v>
      </c>
      <c r="ZZ79">
        <v>0.18471699999999999</v>
      </c>
      <c r="AAA79">
        <v>8.0792000000000003E-2</v>
      </c>
      <c r="AAB79">
        <v>0.20586199999999999</v>
      </c>
      <c r="AAC79">
        <v>8.6416999999999994E-2</v>
      </c>
      <c r="AAD79">
        <v>0.147204</v>
      </c>
      <c r="AAE79">
        <v>9.9918000000000007E-2</v>
      </c>
      <c r="AAF79">
        <v>8.4408999999999998E-2</v>
      </c>
      <c r="AAG79">
        <v>7.8852000000000005E-2</v>
      </c>
      <c r="AAH79" t="s">
        <v>114</v>
      </c>
      <c r="AAI79">
        <v>0.47445300000000001</v>
      </c>
      <c r="AAJ79">
        <v>0.12256</v>
      </c>
      <c r="AAK79" t="s">
        <v>114</v>
      </c>
      <c r="AAL79" t="s">
        <v>114</v>
      </c>
      <c r="AAM79">
        <v>0.199348</v>
      </c>
      <c r="AAN79">
        <v>8.8110999999999995E-2</v>
      </c>
      <c r="AAO79">
        <v>0.17419200000000001</v>
      </c>
      <c r="AAP79" t="s">
        <v>114</v>
      </c>
      <c r="AAQ79">
        <v>0.187858</v>
      </c>
      <c r="AAR79">
        <v>0.22037100000000001</v>
      </c>
      <c r="AAS79" t="s">
        <v>114</v>
      </c>
      <c r="AAT79">
        <v>0.12256</v>
      </c>
      <c r="AAU79">
        <v>4.1079999999999998E-2</v>
      </c>
      <c r="AAV79">
        <v>0.1348</v>
      </c>
      <c r="AAW79">
        <v>0.134488</v>
      </c>
      <c r="AAX79" t="s">
        <v>114</v>
      </c>
      <c r="AAY79">
        <v>0.124268</v>
      </c>
      <c r="AAZ79" t="s">
        <v>114</v>
      </c>
      <c r="ABA79">
        <v>9.1558E-2</v>
      </c>
      <c r="ABB79">
        <v>3.8792E-2</v>
      </c>
      <c r="ABC79">
        <v>0.101211</v>
      </c>
      <c r="ABD79" t="s">
        <v>114</v>
      </c>
      <c r="ABE79">
        <v>7.4407000000000001E-2</v>
      </c>
      <c r="ABF79" t="s">
        <v>114</v>
      </c>
      <c r="ABG79">
        <v>8.7597999999999995E-2</v>
      </c>
      <c r="ABH79">
        <v>8.1273999999999999E-2</v>
      </c>
      <c r="ABI79" t="s">
        <v>114</v>
      </c>
      <c r="ABJ79">
        <v>0.31337199999999998</v>
      </c>
      <c r="ABK79">
        <v>0.101591</v>
      </c>
      <c r="ABL79">
        <v>4.1919999999999999E-2</v>
      </c>
      <c r="ABM79">
        <v>8.6456000000000005E-2</v>
      </c>
      <c r="ABN79" t="s">
        <v>114</v>
      </c>
      <c r="ABO79" t="s">
        <v>114</v>
      </c>
      <c r="ABP79">
        <v>2.2287999999999999E-2</v>
      </c>
      <c r="ABQ79" t="s">
        <v>114</v>
      </c>
      <c r="ABR79">
        <v>0.34092499999999998</v>
      </c>
      <c r="ABS79">
        <v>9.2063000000000006E-2</v>
      </c>
      <c r="ABT79" t="s">
        <v>114</v>
      </c>
      <c r="ABU79" t="s">
        <v>114</v>
      </c>
      <c r="ABV79" t="s">
        <v>114</v>
      </c>
      <c r="ABW79" t="s">
        <v>114</v>
      </c>
      <c r="ABX79">
        <v>0.21536</v>
      </c>
      <c r="ABY79" t="s">
        <v>114</v>
      </c>
      <c r="ABZ79">
        <v>6.9443000000000005E-2</v>
      </c>
      <c r="ACA79">
        <v>7.2244000000000003E-2</v>
      </c>
      <c r="ACB79" t="s">
        <v>114</v>
      </c>
      <c r="ACC79">
        <v>6.7228999999999997E-2</v>
      </c>
      <c r="ACD79" t="s">
        <v>114</v>
      </c>
      <c r="ACE79" t="s">
        <v>114</v>
      </c>
      <c r="ACF79" t="s">
        <v>114</v>
      </c>
      <c r="ACG79" t="s">
        <v>114</v>
      </c>
      <c r="ACH79" t="s">
        <v>114</v>
      </c>
      <c r="ACI79" t="s">
        <v>114</v>
      </c>
      <c r="ACJ79" t="s">
        <v>114</v>
      </c>
      <c r="ACK79">
        <v>8.3812999999999999E-2</v>
      </c>
      <c r="ACL79">
        <v>8.6678000000000005E-2</v>
      </c>
      <c r="ACM79" t="s">
        <v>114</v>
      </c>
      <c r="ACN79">
        <v>0.32961600000000002</v>
      </c>
      <c r="ACO79">
        <v>0.12611800000000001</v>
      </c>
    </row>
    <row r="80" spans="1:769" x14ac:dyDescent="0.25">
      <c r="A80" t="s">
        <v>87</v>
      </c>
      <c r="B80" t="s">
        <v>114</v>
      </c>
      <c r="C80" t="s">
        <v>114</v>
      </c>
      <c r="D80">
        <v>24.980519000000001</v>
      </c>
      <c r="E80" t="s">
        <v>114</v>
      </c>
      <c r="F80">
        <v>16.430464000000001</v>
      </c>
      <c r="G80">
        <v>19.746752999999998</v>
      </c>
      <c r="H80">
        <v>9.451613</v>
      </c>
      <c r="I80">
        <v>9.4333329999999993</v>
      </c>
      <c r="J80" t="s">
        <v>114</v>
      </c>
      <c r="K80">
        <v>7.266667</v>
      </c>
      <c r="L80" t="s">
        <v>114</v>
      </c>
      <c r="M80">
        <v>14.045752</v>
      </c>
      <c r="N80" t="s">
        <v>114</v>
      </c>
      <c r="O80">
        <v>15.876623</v>
      </c>
      <c r="P80">
        <v>7.4358969999999998</v>
      </c>
      <c r="Q80">
        <v>8.6</v>
      </c>
      <c r="R80" t="s">
        <v>114</v>
      </c>
      <c r="S80" t="s">
        <v>114</v>
      </c>
      <c r="T80">
        <v>4</v>
      </c>
      <c r="U80">
        <v>11.952</v>
      </c>
      <c r="V80">
        <v>18.294118000000001</v>
      </c>
      <c r="W80" t="s">
        <v>114</v>
      </c>
      <c r="X80">
        <v>10.054544999999999</v>
      </c>
      <c r="Y80" t="s">
        <v>114</v>
      </c>
      <c r="Z80" t="s">
        <v>114</v>
      </c>
      <c r="AA80">
        <v>16.096</v>
      </c>
      <c r="AB80">
        <v>12.252101</v>
      </c>
      <c r="AC80">
        <v>10.158416000000001</v>
      </c>
      <c r="AD80" t="s">
        <v>114</v>
      </c>
      <c r="AE80">
        <v>10.846847</v>
      </c>
      <c r="AF80">
        <v>8.5</v>
      </c>
      <c r="AG80">
        <v>7.5161290000000003</v>
      </c>
      <c r="AH80">
        <v>4.75</v>
      </c>
      <c r="AI80">
        <v>11</v>
      </c>
      <c r="AJ80">
        <v>15.95</v>
      </c>
      <c r="AK80">
        <v>10.280899</v>
      </c>
      <c r="AL80">
        <v>8.5138890000000007</v>
      </c>
      <c r="AM80">
        <v>4.8333329999999997</v>
      </c>
      <c r="AN80">
        <v>14.369565</v>
      </c>
      <c r="AO80">
        <v>21.75</v>
      </c>
      <c r="AP80">
        <v>9.8095239999999997</v>
      </c>
      <c r="AQ80">
        <v>6</v>
      </c>
      <c r="AR80">
        <v>19.942857</v>
      </c>
      <c r="AS80">
        <v>8.1666670000000003</v>
      </c>
      <c r="AT80" t="s">
        <v>114</v>
      </c>
      <c r="AU80">
        <v>12.247788</v>
      </c>
      <c r="AV80" t="s">
        <v>114</v>
      </c>
      <c r="AW80">
        <v>10.546218</v>
      </c>
      <c r="AX80">
        <v>13.275229</v>
      </c>
      <c r="AY80">
        <v>5</v>
      </c>
      <c r="AZ80">
        <v>11.490195999999999</v>
      </c>
      <c r="BA80">
        <v>15.099099000000001</v>
      </c>
      <c r="BB80" t="s">
        <v>114</v>
      </c>
      <c r="BC80" t="s">
        <v>114</v>
      </c>
      <c r="BD80">
        <v>13.747664</v>
      </c>
      <c r="BE80">
        <v>24.234234000000001</v>
      </c>
      <c r="BF80">
        <v>14.891892</v>
      </c>
      <c r="BG80">
        <v>7.9285709999999998</v>
      </c>
      <c r="BH80">
        <v>8.5</v>
      </c>
      <c r="BI80">
        <v>9.84375</v>
      </c>
      <c r="BJ80">
        <v>16.225224999999998</v>
      </c>
      <c r="BK80">
        <v>14.568807</v>
      </c>
      <c r="BL80" t="s">
        <v>114</v>
      </c>
      <c r="BM80">
        <v>15.1</v>
      </c>
      <c r="BN80" t="s">
        <v>114</v>
      </c>
      <c r="BO80" t="s">
        <v>114</v>
      </c>
      <c r="BP80">
        <v>11.668449000000001</v>
      </c>
      <c r="BQ80">
        <v>8.5131580000000007</v>
      </c>
      <c r="BR80" t="s">
        <v>114</v>
      </c>
      <c r="BS80">
        <v>13.674208</v>
      </c>
      <c r="BT80">
        <v>8.5808820000000008</v>
      </c>
      <c r="BU80" t="s">
        <v>114</v>
      </c>
      <c r="BV80" t="s">
        <v>114</v>
      </c>
      <c r="BW80">
        <v>19.853981999999998</v>
      </c>
      <c r="BX80" t="s">
        <v>114</v>
      </c>
      <c r="BY80" t="s">
        <v>114</v>
      </c>
      <c r="BZ80">
        <v>10.298851000000001</v>
      </c>
      <c r="CA80" t="s">
        <v>114</v>
      </c>
      <c r="CB80">
        <v>7.9090910000000001</v>
      </c>
      <c r="CC80">
        <v>6.9310340000000004</v>
      </c>
      <c r="CD80">
        <v>9.35</v>
      </c>
      <c r="CE80">
        <v>7.2857139999999996</v>
      </c>
      <c r="CF80" t="s">
        <v>114</v>
      </c>
      <c r="CG80">
        <v>11.102041</v>
      </c>
      <c r="CH80" t="s">
        <v>114</v>
      </c>
      <c r="CI80">
        <v>19.005952000000001</v>
      </c>
      <c r="CJ80">
        <v>12.891026</v>
      </c>
      <c r="CK80">
        <v>4</v>
      </c>
      <c r="CL80">
        <v>13.763158000000001</v>
      </c>
      <c r="CM80">
        <v>7.8636359999999996</v>
      </c>
      <c r="CN80">
        <v>4</v>
      </c>
      <c r="CO80">
        <v>11.31405</v>
      </c>
      <c r="CP80">
        <v>13.476820999999999</v>
      </c>
      <c r="CQ80">
        <v>13.881481000000001</v>
      </c>
      <c r="CR80">
        <v>7.2</v>
      </c>
      <c r="CS80">
        <v>11.724138</v>
      </c>
      <c r="CT80" t="s">
        <v>114</v>
      </c>
      <c r="CU80">
        <v>24.947711999999999</v>
      </c>
      <c r="CV80">
        <v>18.725490000000001</v>
      </c>
      <c r="CW80">
        <v>9.0084750000000007</v>
      </c>
      <c r="CX80">
        <v>9.1441440000000007</v>
      </c>
      <c r="CY80">
        <v>8.5882349999999992</v>
      </c>
      <c r="CZ80">
        <v>17.398693000000002</v>
      </c>
      <c r="DA80" t="s">
        <v>114</v>
      </c>
      <c r="DB80">
        <v>11.526718000000001</v>
      </c>
      <c r="DC80">
        <v>8.5528460000000006</v>
      </c>
      <c r="DD80">
        <v>9.9084970000000006</v>
      </c>
      <c r="DE80">
        <v>8.84</v>
      </c>
      <c r="DF80">
        <v>12.679739</v>
      </c>
      <c r="DG80">
        <v>6</v>
      </c>
      <c r="DH80">
        <v>6.3571429999999998</v>
      </c>
      <c r="DI80">
        <v>16.253247000000002</v>
      </c>
      <c r="DJ80">
        <v>7.3076920000000003</v>
      </c>
      <c r="DK80">
        <v>7.7857139999999996</v>
      </c>
      <c r="DL80">
        <v>26.491228</v>
      </c>
      <c r="DM80">
        <v>13.61875</v>
      </c>
      <c r="DN80" t="s">
        <v>114</v>
      </c>
      <c r="DO80">
        <v>20.392856999999999</v>
      </c>
      <c r="DP80">
        <v>9.4418600000000001</v>
      </c>
      <c r="DQ80">
        <v>27.557471</v>
      </c>
      <c r="DR80">
        <v>21.660713999999999</v>
      </c>
      <c r="DS80">
        <v>24.816092000000001</v>
      </c>
      <c r="DT80" t="s">
        <v>114</v>
      </c>
      <c r="DU80">
        <v>12.614815</v>
      </c>
      <c r="DV80" t="s">
        <v>114</v>
      </c>
      <c r="DW80" t="s">
        <v>114</v>
      </c>
      <c r="DX80">
        <v>17.335404</v>
      </c>
      <c r="DY80">
        <v>8.9230769999999993</v>
      </c>
      <c r="DZ80">
        <v>9.9864859999999993</v>
      </c>
      <c r="EA80">
        <v>18.660194000000001</v>
      </c>
      <c r="EB80" t="s">
        <v>114</v>
      </c>
      <c r="EC80">
        <v>12</v>
      </c>
      <c r="ED80" t="s">
        <v>114</v>
      </c>
      <c r="EE80">
        <v>7.6590910000000001</v>
      </c>
      <c r="EF80">
        <v>9.1186439999999997</v>
      </c>
      <c r="EG80">
        <v>19.639240999999998</v>
      </c>
      <c r="EH80">
        <v>11</v>
      </c>
      <c r="EI80">
        <v>14.321429</v>
      </c>
      <c r="EJ80">
        <v>6.9655170000000002</v>
      </c>
      <c r="EK80">
        <v>6.25</v>
      </c>
      <c r="EL80">
        <v>11.172414</v>
      </c>
      <c r="EM80">
        <v>11.368852</v>
      </c>
      <c r="EN80">
        <v>5.5</v>
      </c>
      <c r="EO80" t="s">
        <v>114</v>
      </c>
      <c r="EP80">
        <v>15.061223999999999</v>
      </c>
      <c r="EQ80">
        <v>17.830189000000001</v>
      </c>
      <c r="ER80">
        <v>11</v>
      </c>
      <c r="ES80">
        <v>7.4166670000000003</v>
      </c>
      <c r="ET80">
        <v>5</v>
      </c>
      <c r="EU80">
        <v>17.8</v>
      </c>
      <c r="EV80" t="s">
        <v>114</v>
      </c>
      <c r="EW80">
        <v>6.1538459999999997</v>
      </c>
      <c r="EX80">
        <v>12.611110999999999</v>
      </c>
      <c r="EY80">
        <v>7.1818179999999998</v>
      </c>
      <c r="EZ80">
        <v>8.375</v>
      </c>
      <c r="FA80">
        <v>11.686567</v>
      </c>
      <c r="FB80" t="s">
        <v>114</v>
      </c>
      <c r="FC80">
        <v>7.969697</v>
      </c>
      <c r="FD80" t="s">
        <v>114</v>
      </c>
      <c r="FE80" t="s">
        <v>114</v>
      </c>
      <c r="FF80">
        <v>23.08</v>
      </c>
      <c r="FG80">
        <v>28</v>
      </c>
      <c r="FH80">
        <v>28.205479</v>
      </c>
      <c r="FI80">
        <v>6.8</v>
      </c>
      <c r="FJ80">
        <v>21.780487999999998</v>
      </c>
      <c r="FK80">
        <v>21.224489999999999</v>
      </c>
      <c r="FL80">
        <v>25.258621000000002</v>
      </c>
      <c r="FM80">
        <v>6.1395350000000004</v>
      </c>
      <c r="FN80" t="s">
        <v>114</v>
      </c>
      <c r="FO80" t="s">
        <v>114</v>
      </c>
      <c r="FP80">
        <v>19.796610000000001</v>
      </c>
      <c r="FQ80">
        <v>10.285714</v>
      </c>
      <c r="FR80">
        <v>12.795455</v>
      </c>
      <c r="FS80">
        <v>21.333333</v>
      </c>
      <c r="FT80">
        <v>7.4375</v>
      </c>
      <c r="FU80">
        <v>11.065574</v>
      </c>
      <c r="FV80">
        <v>16.571428999999998</v>
      </c>
      <c r="FW80">
        <v>8.8510639999999992</v>
      </c>
      <c r="FX80">
        <v>10.980392</v>
      </c>
      <c r="FY80">
        <v>17.436364000000001</v>
      </c>
      <c r="FZ80">
        <v>21.061223999999999</v>
      </c>
      <c r="GA80">
        <v>8.08</v>
      </c>
      <c r="GB80">
        <v>6.2173910000000001</v>
      </c>
      <c r="GC80">
        <v>12.228070000000001</v>
      </c>
      <c r="GD80">
        <v>22.347826000000001</v>
      </c>
      <c r="GE80">
        <v>20.609090999999999</v>
      </c>
      <c r="GF80">
        <v>5.6428570000000002</v>
      </c>
      <c r="GG80">
        <v>24.8</v>
      </c>
      <c r="GH80">
        <v>9.3116880000000002</v>
      </c>
      <c r="GI80" t="s">
        <v>114</v>
      </c>
      <c r="GJ80">
        <v>12.813953</v>
      </c>
      <c r="GK80">
        <v>10.8</v>
      </c>
      <c r="GL80">
        <v>5</v>
      </c>
      <c r="GM80" t="s">
        <v>114</v>
      </c>
      <c r="GN80">
        <v>6.7692310000000004</v>
      </c>
      <c r="GO80" t="s">
        <v>114</v>
      </c>
      <c r="GP80">
        <v>20.417722000000001</v>
      </c>
      <c r="GQ80">
        <v>31.766234000000001</v>
      </c>
      <c r="GR80">
        <v>15.653846</v>
      </c>
      <c r="GS80">
        <v>4.25</v>
      </c>
      <c r="GT80">
        <v>16.057970999999998</v>
      </c>
      <c r="GU80" t="s">
        <v>114</v>
      </c>
      <c r="GV80">
        <v>7.3783779999999997</v>
      </c>
      <c r="GW80">
        <v>4</v>
      </c>
      <c r="GX80">
        <v>10.678571</v>
      </c>
      <c r="GY80">
        <v>8.0217390000000002</v>
      </c>
      <c r="GZ80">
        <v>22.610389999999999</v>
      </c>
      <c r="HA80">
        <v>12.026316</v>
      </c>
      <c r="HB80">
        <v>17.72</v>
      </c>
      <c r="HC80">
        <v>11.275</v>
      </c>
      <c r="HD80">
        <v>13.882353</v>
      </c>
      <c r="HE80">
        <v>6.4</v>
      </c>
      <c r="HF80" t="s">
        <v>114</v>
      </c>
      <c r="HG80">
        <v>19.561798</v>
      </c>
      <c r="HH80">
        <v>26.023529</v>
      </c>
      <c r="HI80">
        <v>9.5757580000000004</v>
      </c>
      <c r="HJ80">
        <v>21.431818</v>
      </c>
      <c r="HK80">
        <v>10.631579</v>
      </c>
      <c r="HL80">
        <v>8.1956520000000008</v>
      </c>
      <c r="HM80">
        <v>4.5</v>
      </c>
      <c r="HN80">
        <v>6</v>
      </c>
      <c r="HO80">
        <v>23.645833</v>
      </c>
      <c r="HP80">
        <v>4</v>
      </c>
      <c r="HQ80">
        <v>8.2631580000000007</v>
      </c>
      <c r="HR80">
        <v>5.75</v>
      </c>
      <c r="HS80">
        <v>4</v>
      </c>
      <c r="HT80">
        <v>17.645454999999998</v>
      </c>
      <c r="HU80">
        <v>15.4375</v>
      </c>
      <c r="HV80" t="s">
        <v>114</v>
      </c>
      <c r="HW80" t="s">
        <v>114</v>
      </c>
      <c r="HX80">
        <v>10.883495</v>
      </c>
      <c r="HY80">
        <v>20.209676999999999</v>
      </c>
      <c r="HZ80">
        <v>9.7647060000000003</v>
      </c>
      <c r="IA80">
        <v>5.5</v>
      </c>
      <c r="IB80" t="s">
        <v>114</v>
      </c>
      <c r="IC80" t="s">
        <v>114</v>
      </c>
      <c r="ID80" t="s">
        <v>114</v>
      </c>
      <c r="IE80">
        <v>17.333333</v>
      </c>
      <c r="IF80">
        <v>7.1304350000000003</v>
      </c>
      <c r="IG80" t="s">
        <v>114</v>
      </c>
      <c r="IH80">
        <v>9.7200000000000006</v>
      </c>
      <c r="II80" t="s">
        <v>114</v>
      </c>
      <c r="IJ80">
        <v>18.190083000000001</v>
      </c>
      <c r="IK80" t="s">
        <v>114</v>
      </c>
      <c r="IL80" t="s">
        <v>114</v>
      </c>
      <c r="IM80" t="s">
        <v>114</v>
      </c>
      <c r="IN80">
        <v>17.700935000000001</v>
      </c>
      <c r="IO80">
        <v>18.954545</v>
      </c>
      <c r="IP80">
        <v>19.008475000000001</v>
      </c>
      <c r="IQ80" t="s">
        <v>114</v>
      </c>
      <c r="IR80">
        <v>25.659573999999999</v>
      </c>
      <c r="IS80">
        <v>16.653465000000001</v>
      </c>
      <c r="IT80">
        <v>6.375</v>
      </c>
      <c r="IU80">
        <v>5</v>
      </c>
      <c r="IV80">
        <v>7.7142860000000004</v>
      </c>
      <c r="IW80">
        <v>5.875</v>
      </c>
      <c r="IX80">
        <v>10.357143000000001</v>
      </c>
      <c r="IY80">
        <v>26.629921</v>
      </c>
      <c r="IZ80">
        <v>11.898305000000001</v>
      </c>
      <c r="JA80">
        <v>10.55</v>
      </c>
      <c r="JB80">
        <v>4</v>
      </c>
      <c r="JC80">
        <v>9.1785709999999998</v>
      </c>
      <c r="JD80">
        <v>26.351562999999999</v>
      </c>
      <c r="JE80">
        <v>11.369369000000001</v>
      </c>
      <c r="JF80">
        <v>4</v>
      </c>
      <c r="JG80">
        <v>33.820312999999999</v>
      </c>
      <c r="JH80">
        <v>7.3157889999999997</v>
      </c>
      <c r="JI80" t="s">
        <v>114</v>
      </c>
      <c r="JJ80" t="s">
        <v>114</v>
      </c>
      <c r="JK80">
        <v>8.6111109999999993</v>
      </c>
      <c r="JL80">
        <v>34.236220000000003</v>
      </c>
      <c r="JM80">
        <v>17.559055000000001</v>
      </c>
      <c r="JN80">
        <v>17.489051</v>
      </c>
      <c r="JO80" t="s">
        <v>114</v>
      </c>
      <c r="JP80">
        <v>8.6356590000000004</v>
      </c>
      <c r="JQ80">
        <v>4.5</v>
      </c>
      <c r="JR80">
        <v>14.567568</v>
      </c>
      <c r="JS80" t="s">
        <v>114</v>
      </c>
      <c r="JT80" t="s">
        <v>114</v>
      </c>
      <c r="JU80">
        <v>18.183824000000001</v>
      </c>
      <c r="JV80" t="s">
        <v>114</v>
      </c>
      <c r="JW80">
        <v>10.769231</v>
      </c>
      <c r="JX80" t="s">
        <v>114</v>
      </c>
      <c r="JY80">
        <v>5.4</v>
      </c>
      <c r="JZ80" t="s">
        <v>114</v>
      </c>
      <c r="KA80" t="s">
        <v>114</v>
      </c>
      <c r="KB80" t="s">
        <v>114</v>
      </c>
      <c r="KC80" t="s">
        <v>114</v>
      </c>
      <c r="KD80">
        <v>49.848837000000003</v>
      </c>
      <c r="KE80">
        <v>8.1428569999999993</v>
      </c>
      <c r="KF80">
        <v>33.517646999999997</v>
      </c>
      <c r="KG80">
        <v>48.103448</v>
      </c>
      <c r="KH80" t="s">
        <v>114</v>
      </c>
      <c r="KI80">
        <v>14.608696</v>
      </c>
      <c r="KJ80">
        <v>6.2222220000000004</v>
      </c>
      <c r="KK80">
        <v>41.523256000000003</v>
      </c>
      <c r="KL80" t="s">
        <v>114</v>
      </c>
      <c r="KM80">
        <v>19.891566000000001</v>
      </c>
      <c r="KN80">
        <v>31.380952000000001</v>
      </c>
      <c r="KO80" t="s">
        <v>114</v>
      </c>
      <c r="KP80">
        <v>20.074999999999999</v>
      </c>
      <c r="KQ80">
        <v>22.868852</v>
      </c>
      <c r="KR80">
        <v>21</v>
      </c>
      <c r="KS80">
        <v>35.518071999999997</v>
      </c>
      <c r="KT80">
        <v>19.375</v>
      </c>
      <c r="KU80" t="s">
        <v>114</v>
      </c>
      <c r="KV80">
        <v>6.75</v>
      </c>
      <c r="KW80">
        <v>46.172043000000002</v>
      </c>
      <c r="KX80">
        <v>6.5</v>
      </c>
      <c r="KY80">
        <v>26.102273</v>
      </c>
      <c r="KZ80">
        <v>7.1111110000000002</v>
      </c>
      <c r="LA80">
        <v>18.340909</v>
      </c>
      <c r="LB80">
        <v>12.875</v>
      </c>
      <c r="LC80">
        <v>24.125</v>
      </c>
      <c r="LD80" t="s">
        <v>114</v>
      </c>
      <c r="LE80">
        <v>12.015625</v>
      </c>
      <c r="LF80">
        <v>11.65</v>
      </c>
      <c r="LG80">
        <v>25.465909</v>
      </c>
      <c r="LH80">
        <v>11.485714</v>
      </c>
      <c r="LI80">
        <v>17.141176000000002</v>
      </c>
      <c r="LJ80">
        <v>29.851064000000001</v>
      </c>
      <c r="LK80">
        <v>44.914893999999997</v>
      </c>
      <c r="LL80">
        <v>32.127659999999999</v>
      </c>
      <c r="LM80">
        <v>35.531914999999998</v>
      </c>
      <c r="LN80">
        <v>6.5111109999999996</v>
      </c>
      <c r="LO80">
        <v>42.351064000000001</v>
      </c>
      <c r="LP80">
        <v>21.372340000000001</v>
      </c>
      <c r="LQ80">
        <v>32.712766000000002</v>
      </c>
      <c r="LR80" t="s">
        <v>114</v>
      </c>
      <c r="LS80">
        <v>11.431818</v>
      </c>
      <c r="LT80">
        <v>29.510638</v>
      </c>
      <c r="LU80">
        <v>15.236559</v>
      </c>
      <c r="LV80">
        <v>56.574468000000003</v>
      </c>
      <c r="LW80">
        <v>7</v>
      </c>
      <c r="LX80">
        <v>17.776596000000001</v>
      </c>
      <c r="LY80">
        <v>27.833333</v>
      </c>
      <c r="LZ80">
        <v>4.5</v>
      </c>
      <c r="MA80">
        <v>20.890243999999999</v>
      </c>
      <c r="MB80">
        <v>23.304877999999999</v>
      </c>
      <c r="MC80">
        <v>5.8125</v>
      </c>
      <c r="MD80">
        <v>20.204819000000001</v>
      </c>
      <c r="ME80">
        <v>54.265059999999998</v>
      </c>
      <c r="MF80">
        <v>55.807229</v>
      </c>
      <c r="MG80">
        <v>4.9411759999999996</v>
      </c>
      <c r="MH80">
        <v>10.033333000000001</v>
      </c>
      <c r="MI80">
        <v>64.385542000000001</v>
      </c>
      <c r="MJ80">
        <v>19.060976</v>
      </c>
      <c r="MK80">
        <v>42.096386000000003</v>
      </c>
      <c r="ML80" t="s">
        <v>114</v>
      </c>
      <c r="MM80">
        <v>32.060240999999998</v>
      </c>
      <c r="MN80">
        <v>32.475610000000003</v>
      </c>
      <c r="MO80">
        <v>45.783132999999999</v>
      </c>
      <c r="MP80">
        <v>47.078431000000002</v>
      </c>
      <c r="MQ80">
        <v>7.0714290000000002</v>
      </c>
      <c r="MR80">
        <v>14.581633</v>
      </c>
      <c r="MS80" t="s">
        <v>114</v>
      </c>
      <c r="MT80">
        <v>45.705882000000003</v>
      </c>
      <c r="MU80">
        <v>13.265957</v>
      </c>
      <c r="MV80">
        <v>44.352941000000001</v>
      </c>
      <c r="MW80">
        <v>29.245097999999999</v>
      </c>
      <c r="MX80" t="s">
        <v>114</v>
      </c>
      <c r="MY80" t="s">
        <v>114</v>
      </c>
      <c r="MZ80">
        <v>23.274509999999999</v>
      </c>
      <c r="NA80">
        <v>22.705881999999999</v>
      </c>
      <c r="NB80">
        <v>5.8</v>
      </c>
      <c r="NC80">
        <v>20.107842999999999</v>
      </c>
      <c r="ND80">
        <v>36.088234999999997</v>
      </c>
      <c r="NE80">
        <v>13.597015000000001</v>
      </c>
      <c r="NF80">
        <v>7.4358969999999998</v>
      </c>
      <c r="NG80">
        <v>7.7142860000000004</v>
      </c>
      <c r="NH80">
        <v>14.789854999999999</v>
      </c>
      <c r="NI80">
        <v>19.035971</v>
      </c>
      <c r="NJ80">
        <v>28.828571</v>
      </c>
      <c r="NK80">
        <v>7.08</v>
      </c>
      <c r="NL80">
        <v>32.553956999999997</v>
      </c>
      <c r="NM80">
        <v>13.223022</v>
      </c>
      <c r="NN80">
        <v>16.360294</v>
      </c>
      <c r="NO80">
        <v>26.135714</v>
      </c>
      <c r="NP80">
        <v>30.535713999999999</v>
      </c>
      <c r="NQ80">
        <v>6</v>
      </c>
      <c r="NR80">
        <v>19.384058</v>
      </c>
      <c r="NS80">
        <v>14.270676999999999</v>
      </c>
      <c r="NT80">
        <v>12.471014</v>
      </c>
      <c r="NU80">
        <v>11.343066</v>
      </c>
      <c r="NV80">
        <v>15.798610999999999</v>
      </c>
      <c r="NW80">
        <v>11.598485</v>
      </c>
      <c r="NX80">
        <v>11.602941</v>
      </c>
      <c r="NY80" t="s">
        <v>114</v>
      </c>
      <c r="NZ80" t="s">
        <v>114</v>
      </c>
      <c r="OA80">
        <v>15.375</v>
      </c>
      <c r="OB80">
        <v>16.295302</v>
      </c>
      <c r="OC80">
        <v>13.256757</v>
      </c>
      <c r="OD80">
        <v>6.8</v>
      </c>
      <c r="OE80">
        <v>10.75</v>
      </c>
      <c r="OF80">
        <v>4.5</v>
      </c>
      <c r="OG80">
        <v>25.384105999999999</v>
      </c>
      <c r="OH80">
        <v>30.630872</v>
      </c>
      <c r="OI80" t="s">
        <v>114</v>
      </c>
      <c r="OJ80">
        <v>24.921053000000001</v>
      </c>
      <c r="OK80">
        <v>21.509934000000001</v>
      </c>
      <c r="OL80">
        <v>12.682171</v>
      </c>
      <c r="OM80">
        <v>8.9893619999999999</v>
      </c>
      <c r="ON80">
        <v>17.503226000000002</v>
      </c>
      <c r="OO80" t="s">
        <v>114</v>
      </c>
      <c r="OP80">
        <v>17.171779000000001</v>
      </c>
      <c r="OQ80" t="s">
        <v>114</v>
      </c>
      <c r="OR80" t="s">
        <v>114</v>
      </c>
      <c r="OS80">
        <v>6.6666670000000003</v>
      </c>
      <c r="OT80" t="s">
        <v>114</v>
      </c>
      <c r="OU80" t="s">
        <v>114</v>
      </c>
      <c r="OV80" t="s">
        <v>114</v>
      </c>
      <c r="OW80" t="s">
        <v>114</v>
      </c>
      <c r="OX80" t="s">
        <v>114</v>
      </c>
      <c r="OY80" t="s">
        <v>114</v>
      </c>
      <c r="OZ80" t="s">
        <v>114</v>
      </c>
      <c r="PA80" t="s">
        <v>114</v>
      </c>
      <c r="PB80">
        <v>23.066666999999999</v>
      </c>
      <c r="PC80">
        <v>23.42623</v>
      </c>
      <c r="PD80" t="s">
        <v>114</v>
      </c>
      <c r="PE80">
        <v>11.466666999999999</v>
      </c>
      <c r="PF80">
        <v>8.9534880000000001</v>
      </c>
      <c r="PG80">
        <v>13.959595999999999</v>
      </c>
      <c r="PH80">
        <v>11.59</v>
      </c>
      <c r="PI80">
        <v>12.6</v>
      </c>
      <c r="PJ80">
        <v>8.2653060000000007</v>
      </c>
      <c r="PK80">
        <v>21.049505</v>
      </c>
      <c r="PL80">
        <v>4</v>
      </c>
      <c r="PM80">
        <v>14</v>
      </c>
      <c r="PN80" t="s">
        <v>114</v>
      </c>
      <c r="PO80" t="s">
        <v>114</v>
      </c>
      <c r="PP80">
        <v>8.625</v>
      </c>
      <c r="PQ80">
        <v>15</v>
      </c>
      <c r="PR80">
        <v>7.8375000000000004</v>
      </c>
      <c r="PS80">
        <v>22.830356999999999</v>
      </c>
      <c r="PT80">
        <v>7.125</v>
      </c>
      <c r="PU80">
        <v>17.747748000000001</v>
      </c>
      <c r="PV80">
        <v>29.619468999999999</v>
      </c>
      <c r="PW80">
        <v>19.017544000000001</v>
      </c>
      <c r="PX80">
        <v>19.973683999999999</v>
      </c>
      <c r="PY80">
        <v>10.694118</v>
      </c>
      <c r="PZ80">
        <v>26.114035000000001</v>
      </c>
      <c r="QA80">
        <v>8.7142859999999995</v>
      </c>
      <c r="QB80">
        <v>7.5487799999999998</v>
      </c>
      <c r="QC80">
        <v>13.5</v>
      </c>
      <c r="QD80">
        <v>12.72</v>
      </c>
      <c r="QE80">
        <v>8.0224720000000005</v>
      </c>
      <c r="QF80">
        <v>8.8695649999999997</v>
      </c>
      <c r="QG80">
        <v>20.837838000000001</v>
      </c>
      <c r="QH80" t="s">
        <v>114</v>
      </c>
      <c r="QI80" t="s">
        <v>114</v>
      </c>
      <c r="QJ80">
        <v>14.094891000000001</v>
      </c>
      <c r="QK80">
        <v>11.893805</v>
      </c>
      <c r="QL80" t="s">
        <v>114</v>
      </c>
      <c r="QM80">
        <v>11.233333</v>
      </c>
      <c r="QN80" t="s">
        <v>114</v>
      </c>
      <c r="QO80">
        <v>6.3333329999999997</v>
      </c>
      <c r="QP80">
        <v>8.0952380000000002</v>
      </c>
      <c r="QQ80" t="s">
        <v>114</v>
      </c>
      <c r="QR80" t="s">
        <v>114</v>
      </c>
      <c r="QS80">
        <v>10.112902999999999</v>
      </c>
      <c r="QT80" t="s">
        <v>114</v>
      </c>
      <c r="QU80" t="s">
        <v>114</v>
      </c>
      <c r="QV80">
        <v>18.068701999999998</v>
      </c>
      <c r="QW80">
        <v>19.340741000000001</v>
      </c>
      <c r="QX80">
        <v>6</v>
      </c>
      <c r="QY80">
        <v>6</v>
      </c>
      <c r="QZ80">
        <v>19.811966000000002</v>
      </c>
      <c r="RA80">
        <v>26.710526000000002</v>
      </c>
      <c r="RB80">
        <v>32.068966000000003</v>
      </c>
      <c r="RC80">
        <v>14.571429</v>
      </c>
      <c r="RD80">
        <v>7.09375</v>
      </c>
      <c r="RE80">
        <v>21.654866999999999</v>
      </c>
      <c r="RF80">
        <v>14.786517</v>
      </c>
      <c r="RG80">
        <v>14.9375</v>
      </c>
      <c r="RH80">
        <v>6.7</v>
      </c>
      <c r="RI80">
        <v>8.9423080000000006</v>
      </c>
      <c r="RJ80">
        <v>29.948276</v>
      </c>
      <c r="RK80">
        <v>12.820513</v>
      </c>
      <c r="RL80">
        <v>12.820225000000001</v>
      </c>
      <c r="RM80">
        <v>26.338982999999999</v>
      </c>
      <c r="RN80" t="s">
        <v>114</v>
      </c>
      <c r="RO80">
        <v>27.341667000000001</v>
      </c>
      <c r="RP80">
        <v>4.6666670000000003</v>
      </c>
      <c r="RQ80">
        <v>17.660713999999999</v>
      </c>
      <c r="RR80">
        <v>9.3333329999999997</v>
      </c>
      <c r="RS80">
        <v>6.0256410000000002</v>
      </c>
      <c r="RT80">
        <v>25.152542</v>
      </c>
      <c r="RU80">
        <v>6.3214290000000002</v>
      </c>
      <c r="RV80">
        <v>26.625</v>
      </c>
      <c r="RW80">
        <v>12.504761999999999</v>
      </c>
      <c r="RX80">
        <v>4.75</v>
      </c>
      <c r="RY80">
        <v>27.283332999999999</v>
      </c>
      <c r="RZ80">
        <v>13.652174</v>
      </c>
      <c r="SA80">
        <v>5.8461540000000003</v>
      </c>
      <c r="SB80">
        <v>5.6</v>
      </c>
      <c r="SC80">
        <v>8.6914890000000007</v>
      </c>
      <c r="SD80">
        <v>16.331033999999999</v>
      </c>
      <c r="SE80">
        <v>25.579267999999999</v>
      </c>
      <c r="SF80">
        <v>14.445205</v>
      </c>
      <c r="SG80">
        <v>16.986485999999999</v>
      </c>
      <c r="SH80" t="s">
        <v>114</v>
      </c>
      <c r="SI80">
        <v>26.030303</v>
      </c>
      <c r="SJ80">
        <v>39.538462000000003</v>
      </c>
      <c r="SK80" t="s">
        <v>114</v>
      </c>
      <c r="SL80" t="s">
        <v>114</v>
      </c>
      <c r="SM80">
        <v>5.65</v>
      </c>
      <c r="SN80">
        <v>27.049689000000001</v>
      </c>
      <c r="SO80" t="s">
        <v>114</v>
      </c>
      <c r="SP80">
        <v>8.1818179999999998</v>
      </c>
      <c r="SQ80">
        <v>6.7272730000000003</v>
      </c>
      <c r="SR80">
        <v>20.288732</v>
      </c>
      <c r="SS80">
        <v>26.333333</v>
      </c>
      <c r="ST80">
        <v>7.2352939999999997</v>
      </c>
      <c r="SU80">
        <v>19.760000000000002</v>
      </c>
      <c r="SV80">
        <v>4.6666670000000003</v>
      </c>
      <c r="SW80">
        <v>22.376812000000001</v>
      </c>
      <c r="SX80">
        <v>5</v>
      </c>
      <c r="SY80">
        <v>10.58</v>
      </c>
      <c r="SZ80">
        <v>6.8723400000000003</v>
      </c>
      <c r="TA80">
        <v>24.888888999999999</v>
      </c>
      <c r="TB80">
        <v>9.34</v>
      </c>
      <c r="TC80">
        <v>21.558824000000001</v>
      </c>
      <c r="TD80">
        <v>22.338235000000001</v>
      </c>
      <c r="TE80">
        <v>15.28125</v>
      </c>
      <c r="TF80">
        <v>11.098039</v>
      </c>
      <c r="TG80">
        <v>6.1333330000000004</v>
      </c>
      <c r="TH80">
        <v>13.118644</v>
      </c>
      <c r="TI80">
        <v>11.106382999999999</v>
      </c>
      <c r="TJ80" t="s">
        <v>114</v>
      </c>
      <c r="TK80">
        <v>7.0172410000000003</v>
      </c>
      <c r="TL80" t="s">
        <v>114</v>
      </c>
      <c r="TM80" t="s">
        <v>114</v>
      </c>
      <c r="TN80">
        <v>18.192982000000001</v>
      </c>
      <c r="TO80" t="s">
        <v>114</v>
      </c>
      <c r="TP80">
        <v>11.413333</v>
      </c>
      <c r="TQ80">
        <v>11.019608</v>
      </c>
      <c r="TR80">
        <v>8.6666670000000003</v>
      </c>
      <c r="TS80">
        <v>11.619047999999999</v>
      </c>
      <c r="TT80">
        <v>5</v>
      </c>
      <c r="TU80" t="s">
        <v>114</v>
      </c>
      <c r="TV80">
        <v>9.5294120000000007</v>
      </c>
      <c r="TW80">
        <v>9.1999999999999993</v>
      </c>
      <c r="TX80">
        <v>19.987096999999999</v>
      </c>
      <c r="TY80" t="s">
        <v>114</v>
      </c>
      <c r="TZ80">
        <v>27.209091000000001</v>
      </c>
      <c r="UA80">
        <v>27.666667</v>
      </c>
      <c r="UB80">
        <v>22.289854999999999</v>
      </c>
      <c r="UC80" t="s">
        <v>114</v>
      </c>
      <c r="UD80">
        <v>16.529412000000001</v>
      </c>
      <c r="UE80">
        <v>27</v>
      </c>
      <c r="UF80">
        <v>14.964286</v>
      </c>
      <c r="UG80">
        <v>11.8</v>
      </c>
      <c r="UH80" t="s">
        <v>114</v>
      </c>
      <c r="UI80">
        <v>32.985294000000003</v>
      </c>
      <c r="UJ80">
        <v>16.128205000000001</v>
      </c>
      <c r="UK80">
        <v>10.466666999999999</v>
      </c>
      <c r="UL80">
        <v>21.602273</v>
      </c>
      <c r="UM80" t="s">
        <v>114</v>
      </c>
      <c r="UN80" t="s">
        <v>114</v>
      </c>
      <c r="UO80" t="s">
        <v>114</v>
      </c>
      <c r="UP80">
        <v>23.095890000000001</v>
      </c>
      <c r="UQ80" t="s">
        <v>114</v>
      </c>
      <c r="UR80">
        <v>25.032257999999999</v>
      </c>
      <c r="US80">
        <v>22.186440999999999</v>
      </c>
      <c r="UT80">
        <v>11.685185000000001</v>
      </c>
      <c r="UU80">
        <v>21.945651999999999</v>
      </c>
      <c r="UV80">
        <v>18.372881</v>
      </c>
      <c r="UW80" t="s">
        <v>114</v>
      </c>
      <c r="UX80">
        <v>29.710937999999999</v>
      </c>
      <c r="UY80">
        <v>24.820225000000001</v>
      </c>
      <c r="UZ80" t="s">
        <v>114</v>
      </c>
      <c r="VA80">
        <v>26.712</v>
      </c>
      <c r="VB80">
        <v>5.5</v>
      </c>
      <c r="VC80" t="s">
        <v>114</v>
      </c>
      <c r="VD80">
        <v>5.5</v>
      </c>
      <c r="VE80">
        <v>16.956522</v>
      </c>
      <c r="VF80">
        <v>22.579364999999999</v>
      </c>
      <c r="VG80">
        <v>7.3333329999999997</v>
      </c>
      <c r="VH80">
        <v>10.068182</v>
      </c>
      <c r="VI80" t="s">
        <v>114</v>
      </c>
      <c r="VJ80" t="s">
        <v>114</v>
      </c>
      <c r="VK80" t="s">
        <v>114</v>
      </c>
      <c r="VL80" t="s">
        <v>114</v>
      </c>
      <c r="VM80" t="s">
        <v>114</v>
      </c>
      <c r="VN80">
        <v>14</v>
      </c>
      <c r="VO80">
        <v>20.756757</v>
      </c>
      <c r="VP80">
        <v>11.466666999999999</v>
      </c>
      <c r="VQ80">
        <v>10.485714</v>
      </c>
      <c r="VR80">
        <v>12.4</v>
      </c>
      <c r="VS80">
        <v>10.25</v>
      </c>
      <c r="VT80" t="s">
        <v>114</v>
      </c>
      <c r="VU80">
        <v>7.46875</v>
      </c>
      <c r="VV80" t="s">
        <v>114</v>
      </c>
      <c r="VW80">
        <v>4</v>
      </c>
      <c r="VX80" t="s">
        <v>114</v>
      </c>
      <c r="VY80">
        <v>24.430108000000001</v>
      </c>
      <c r="VZ80">
        <v>17.482143000000001</v>
      </c>
      <c r="WA80" t="s">
        <v>114</v>
      </c>
      <c r="WB80" t="s">
        <v>114</v>
      </c>
      <c r="WC80" t="s">
        <v>114</v>
      </c>
      <c r="WD80">
        <v>6.75</v>
      </c>
      <c r="WE80">
        <v>11.458333</v>
      </c>
      <c r="WF80">
        <v>14.254902</v>
      </c>
      <c r="WG80">
        <v>9.6</v>
      </c>
      <c r="WH80" t="s">
        <v>114</v>
      </c>
      <c r="WI80">
        <v>9.8541670000000003</v>
      </c>
      <c r="WJ80">
        <v>5</v>
      </c>
      <c r="WK80">
        <v>16.361702000000001</v>
      </c>
      <c r="WL80" t="s">
        <v>114</v>
      </c>
      <c r="WM80">
        <v>7.0512819999999996</v>
      </c>
      <c r="WN80">
        <v>19.860465000000001</v>
      </c>
      <c r="WO80">
        <v>15.693333000000001</v>
      </c>
      <c r="WP80">
        <v>12.014925</v>
      </c>
      <c r="WQ80">
        <v>17.402439000000001</v>
      </c>
      <c r="WR80" t="s">
        <v>114</v>
      </c>
      <c r="WS80">
        <v>17.831776000000001</v>
      </c>
      <c r="WT80" t="s">
        <v>114</v>
      </c>
      <c r="WU80">
        <v>4.75</v>
      </c>
      <c r="WV80" t="s">
        <v>114</v>
      </c>
      <c r="WW80">
        <v>6.9545450000000004</v>
      </c>
      <c r="WX80">
        <v>4</v>
      </c>
      <c r="WY80">
        <v>4</v>
      </c>
      <c r="WZ80" t="s">
        <v>114</v>
      </c>
      <c r="XA80">
        <v>5.6428570000000002</v>
      </c>
      <c r="XB80" t="s">
        <v>114</v>
      </c>
      <c r="XC80">
        <v>5.6923079999999997</v>
      </c>
      <c r="XD80">
        <v>7</v>
      </c>
      <c r="XE80">
        <v>10.611765</v>
      </c>
      <c r="XF80" t="s">
        <v>114</v>
      </c>
      <c r="XG80">
        <v>10.316456000000001</v>
      </c>
      <c r="XH80">
        <v>19.875969000000001</v>
      </c>
      <c r="XI80">
        <v>5</v>
      </c>
      <c r="XJ80">
        <v>4.9090910000000001</v>
      </c>
      <c r="XK80">
        <v>13.963855000000001</v>
      </c>
      <c r="XL80">
        <v>7.375</v>
      </c>
      <c r="XM80">
        <v>19.062892999999999</v>
      </c>
      <c r="XN80">
        <v>12.343434</v>
      </c>
      <c r="XO80">
        <v>25.666667</v>
      </c>
      <c r="XP80" t="s">
        <v>114</v>
      </c>
      <c r="XQ80" t="s">
        <v>114</v>
      </c>
      <c r="XR80">
        <v>8.875</v>
      </c>
      <c r="XS80">
        <v>10.538462000000001</v>
      </c>
      <c r="XT80">
        <v>23.258503000000001</v>
      </c>
      <c r="XU80" t="s">
        <v>114</v>
      </c>
      <c r="XV80" t="s">
        <v>114</v>
      </c>
      <c r="XW80" t="s">
        <v>114</v>
      </c>
      <c r="XX80">
        <v>12.75</v>
      </c>
      <c r="XY80">
        <v>9.0638299999999994</v>
      </c>
      <c r="XZ80">
        <v>7.375</v>
      </c>
      <c r="YA80">
        <v>4.8888889999999998</v>
      </c>
      <c r="YB80">
        <v>10.538462000000001</v>
      </c>
      <c r="YC80">
        <v>20.810811000000001</v>
      </c>
      <c r="YD80" t="s">
        <v>114</v>
      </c>
      <c r="YE80">
        <v>8.2272730000000003</v>
      </c>
      <c r="YF80" t="s">
        <v>114</v>
      </c>
      <c r="YG80">
        <v>26.724489999999999</v>
      </c>
      <c r="YH80" t="s">
        <v>114</v>
      </c>
      <c r="YI80" t="s">
        <v>114</v>
      </c>
      <c r="YJ80">
        <v>15.980392</v>
      </c>
      <c r="YK80">
        <v>15.456</v>
      </c>
      <c r="YL80">
        <v>11.857143000000001</v>
      </c>
      <c r="YM80">
        <v>25.580356999999999</v>
      </c>
      <c r="YN80" t="s">
        <v>114</v>
      </c>
      <c r="YO80" t="s">
        <v>114</v>
      </c>
      <c r="YP80" t="s">
        <v>114</v>
      </c>
      <c r="YQ80">
        <v>16.360544000000001</v>
      </c>
      <c r="YR80">
        <v>11.337838</v>
      </c>
      <c r="YS80">
        <v>12.409091</v>
      </c>
      <c r="YT80" t="s">
        <v>114</v>
      </c>
      <c r="YU80">
        <v>12.633333</v>
      </c>
      <c r="YV80">
        <v>19.236640999999999</v>
      </c>
      <c r="YW80" t="s">
        <v>114</v>
      </c>
      <c r="YX80" t="s">
        <v>114</v>
      </c>
      <c r="YY80">
        <v>5</v>
      </c>
      <c r="YZ80">
        <v>11.285714</v>
      </c>
      <c r="ZA80">
        <v>15.515789</v>
      </c>
      <c r="ZB80" t="s">
        <v>114</v>
      </c>
      <c r="ZC80">
        <v>12.370968</v>
      </c>
      <c r="ZD80">
        <v>16.526316000000001</v>
      </c>
      <c r="ZE80">
        <v>17.514851</v>
      </c>
      <c r="ZF80">
        <v>4</v>
      </c>
      <c r="ZG80">
        <v>9.0769230000000007</v>
      </c>
      <c r="ZH80">
        <v>6.4838709999999997</v>
      </c>
      <c r="ZI80">
        <v>9.875</v>
      </c>
      <c r="ZJ80">
        <v>6.9230770000000001</v>
      </c>
      <c r="ZK80" t="s">
        <v>114</v>
      </c>
      <c r="ZL80">
        <v>7.6190480000000003</v>
      </c>
      <c r="ZM80">
        <v>7.6666670000000003</v>
      </c>
      <c r="ZN80">
        <v>7</v>
      </c>
      <c r="ZO80">
        <v>6.6</v>
      </c>
      <c r="ZP80" t="s">
        <v>114</v>
      </c>
      <c r="ZQ80" t="s">
        <v>114</v>
      </c>
      <c r="ZR80" t="s">
        <v>114</v>
      </c>
      <c r="ZS80" t="s">
        <v>114</v>
      </c>
      <c r="ZT80" t="s">
        <v>114</v>
      </c>
      <c r="ZU80" t="s">
        <v>114</v>
      </c>
      <c r="ZV80">
        <v>11.740741</v>
      </c>
      <c r="ZW80" t="s">
        <v>114</v>
      </c>
      <c r="ZX80">
        <v>16</v>
      </c>
      <c r="ZY80">
        <v>10.625</v>
      </c>
      <c r="ZZ80">
        <v>17.086957000000002</v>
      </c>
      <c r="AAA80">
        <v>11.080807999999999</v>
      </c>
      <c r="AAB80">
        <v>10.727273</v>
      </c>
      <c r="AAC80">
        <v>6.7142860000000004</v>
      </c>
      <c r="AAD80">
        <v>18.776786000000001</v>
      </c>
      <c r="AAE80">
        <v>8.0857139999999994</v>
      </c>
      <c r="AAF80">
        <v>5.6666670000000003</v>
      </c>
      <c r="AAG80">
        <v>7.4</v>
      </c>
      <c r="AAH80" t="s">
        <v>114</v>
      </c>
      <c r="AAI80">
        <v>14.666667</v>
      </c>
      <c r="AAJ80">
        <v>7</v>
      </c>
      <c r="AAK80" t="s">
        <v>114</v>
      </c>
      <c r="AAL80" t="s">
        <v>114</v>
      </c>
      <c r="AAM80">
        <v>15.384615</v>
      </c>
      <c r="AAN80">
        <v>14.472222</v>
      </c>
      <c r="AAO80">
        <v>13.533333000000001</v>
      </c>
      <c r="AAP80" t="s">
        <v>114</v>
      </c>
      <c r="AAQ80">
        <v>11.681818</v>
      </c>
      <c r="AAR80">
        <v>18.242424</v>
      </c>
      <c r="AAS80" t="s">
        <v>114</v>
      </c>
      <c r="AAT80">
        <v>6</v>
      </c>
      <c r="AAU80">
        <v>5</v>
      </c>
      <c r="AAV80">
        <v>6</v>
      </c>
      <c r="AAW80">
        <v>12.637681000000001</v>
      </c>
      <c r="AAX80" t="s">
        <v>114</v>
      </c>
      <c r="AAY80">
        <v>15.409639</v>
      </c>
      <c r="AAZ80" t="s">
        <v>114</v>
      </c>
      <c r="ABA80">
        <v>21.192661000000001</v>
      </c>
      <c r="ABB80">
        <v>6.9354839999999998</v>
      </c>
      <c r="ABC80">
        <v>23.583333</v>
      </c>
      <c r="ABD80" t="s">
        <v>114</v>
      </c>
      <c r="ABE80">
        <v>9.8793100000000003</v>
      </c>
      <c r="ABF80" t="s">
        <v>114</v>
      </c>
      <c r="ABG80">
        <v>16.892157000000001</v>
      </c>
      <c r="ABH80">
        <v>15.318182</v>
      </c>
      <c r="ABI80" t="s">
        <v>114</v>
      </c>
      <c r="ABJ80">
        <v>11.95</v>
      </c>
      <c r="ABK80">
        <v>18.84375</v>
      </c>
      <c r="ABL80">
        <v>4</v>
      </c>
      <c r="ABM80">
        <v>15.765957</v>
      </c>
      <c r="ABN80" t="s">
        <v>114</v>
      </c>
      <c r="ABO80" t="s">
        <v>114</v>
      </c>
      <c r="ABP80">
        <v>4.5999999999999996</v>
      </c>
      <c r="ABQ80" t="s">
        <v>114</v>
      </c>
      <c r="ABR80">
        <v>20.977273</v>
      </c>
      <c r="ABS80">
        <v>18.409091</v>
      </c>
      <c r="ABT80" t="s">
        <v>114</v>
      </c>
      <c r="ABU80" t="s">
        <v>114</v>
      </c>
      <c r="ABV80" t="s">
        <v>114</v>
      </c>
      <c r="ABW80" t="s">
        <v>114</v>
      </c>
      <c r="ABX80">
        <v>6.3333329999999997</v>
      </c>
      <c r="ABY80" t="s">
        <v>114</v>
      </c>
      <c r="ABZ80">
        <v>17.226666999999999</v>
      </c>
      <c r="ACA80">
        <v>13.884615</v>
      </c>
      <c r="ACB80" t="s">
        <v>114</v>
      </c>
      <c r="ACC80">
        <v>15.379747</v>
      </c>
      <c r="ACD80" t="s">
        <v>114</v>
      </c>
      <c r="ACE80" t="s">
        <v>114</v>
      </c>
      <c r="ACF80" t="s">
        <v>114</v>
      </c>
      <c r="ACG80" t="s">
        <v>114</v>
      </c>
      <c r="ACH80" t="s">
        <v>114</v>
      </c>
      <c r="ACI80" t="s">
        <v>114</v>
      </c>
      <c r="ACJ80" t="s">
        <v>114</v>
      </c>
      <c r="ACK80">
        <v>14.625</v>
      </c>
      <c r="ACL80">
        <v>10.674419</v>
      </c>
      <c r="ACM80" t="s">
        <v>114</v>
      </c>
      <c r="ACN80">
        <v>16.2</v>
      </c>
      <c r="ACO80">
        <v>13.645569999999999</v>
      </c>
    </row>
    <row r="81" spans="1:769" x14ac:dyDescent="0.25">
      <c r="A81" t="s">
        <v>88</v>
      </c>
      <c r="B81" t="s">
        <v>114</v>
      </c>
      <c r="C81" t="s">
        <v>114</v>
      </c>
      <c r="D81">
        <v>5.9290000000000002E-3</v>
      </c>
      <c r="E81" t="s">
        <v>114</v>
      </c>
      <c r="F81">
        <v>8.3979999999999992E-3</v>
      </c>
      <c r="G81">
        <v>7.247E-3</v>
      </c>
      <c r="H81">
        <v>1.4900999999999999E-2</v>
      </c>
      <c r="I81">
        <v>1.7590999999999999E-2</v>
      </c>
      <c r="J81" t="s">
        <v>114</v>
      </c>
      <c r="K81">
        <v>1.5432E-2</v>
      </c>
      <c r="L81" t="s">
        <v>114</v>
      </c>
      <c r="M81">
        <v>9.8139999999999998E-3</v>
      </c>
      <c r="N81" t="s">
        <v>114</v>
      </c>
      <c r="O81">
        <v>9.0419999999999997E-3</v>
      </c>
      <c r="P81">
        <v>1.0485E-2</v>
      </c>
      <c r="Q81">
        <v>1.7639999999999999E-2</v>
      </c>
      <c r="R81" t="s">
        <v>114</v>
      </c>
      <c r="S81" t="s">
        <v>114</v>
      </c>
      <c r="T81">
        <v>3.2799999999999999E-3</v>
      </c>
      <c r="U81">
        <v>1.1923E-2</v>
      </c>
      <c r="V81">
        <v>9.9340000000000001E-3</v>
      </c>
      <c r="W81" t="s">
        <v>114</v>
      </c>
      <c r="X81">
        <v>1.261E-2</v>
      </c>
      <c r="Y81" t="s">
        <v>114</v>
      </c>
      <c r="Z81" t="s">
        <v>114</v>
      </c>
      <c r="AA81">
        <v>8.9370000000000005E-3</v>
      </c>
      <c r="AB81">
        <v>1.193E-2</v>
      </c>
      <c r="AC81">
        <v>1.3065999999999999E-2</v>
      </c>
      <c r="AD81" t="s">
        <v>114</v>
      </c>
      <c r="AE81">
        <v>1.2421E-2</v>
      </c>
      <c r="AF81">
        <v>2.3585999999999999E-2</v>
      </c>
      <c r="AG81">
        <v>1.3551000000000001E-2</v>
      </c>
      <c r="AH81">
        <v>7.0899999999999999E-3</v>
      </c>
      <c r="AI81">
        <v>3.8831999999999998E-2</v>
      </c>
      <c r="AJ81">
        <v>9.5379999999999996E-3</v>
      </c>
      <c r="AK81">
        <v>1.3384999999999999E-2</v>
      </c>
      <c r="AL81">
        <v>1.1771E-2</v>
      </c>
      <c r="AM81">
        <v>3.9220000000000001E-3</v>
      </c>
      <c r="AN81">
        <v>1.0754E-2</v>
      </c>
      <c r="AO81">
        <v>7.0400000000000003E-3</v>
      </c>
      <c r="AP81">
        <v>1.4723999999999999E-2</v>
      </c>
      <c r="AQ81">
        <v>8.6429999999999996E-3</v>
      </c>
      <c r="AR81">
        <v>7.868E-3</v>
      </c>
      <c r="AS81">
        <v>1.6580000000000001E-2</v>
      </c>
      <c r="AT81" t="s">
        <v>114</v>
      </c>
      <c r="AU81">
        <v>1.2546E-2</v>
      </c>
      <c r="AV81" t="s">
        <v>114</v>
      </c>
      <c r="AW81">
        <v>1.2581E-2</v>
      </c>
      <c r="AX81">
        <v>1.0857E-2</v>
      </c>
      <c r="AY81">
        <v>1.1986999999999999E-2</v>
      </c>
      <c r="AZ81">
        <v>1.2678999999999999E-2</v>
      </c>
      <c r="BA81">
        <v>8.7329999999999994E-3</v>
      </c>
      <c r="BB81" t="s">
        <v>114</v>
      </c>
      <c r="BC81" t="s">
        <v>114</v>
      </c>
      <c r="BD81">
        <v>9.9659999999999992E-3</v>
      </c>
      <c r="BE81">
        <v>6.0299999999999998E-3</v>
      </c>
      <c r="BF81">
        <v>8.7729999999999995E-3</v>
      </c>
      <c r="BG81">
        <v>1.9681000000000001E-2</v>
      </c>
      <c r="BH81">
        <v>2.3387999999999999E-2</v>
      </c>
      <c r="BI81">
        <v>1.2579E-2</v>
      </c>
      <c r="BJ81">
        <v>8.4720000000000004E-3</v>
      </c>
      <c r="BK81">
        <v>9.6369999999999997E-3</v>
      </c>
      <c r="BL81" t="s">
        <v>114</v>
      </c>
      <c r="BM81">
        <v>8.9549999999999994E-3</v>
      </c>
      <c r="BN81" t="s">
        <v>114</v>
      </c>
      <c r="BO81" t="s">
        <v>114</v>
      </c>
      <c r="BP81">
        <v>6.8349999999999999E-3</v>
      </c>
      <c r="BQ81">
        <v>6.5570000000000003E-3</v>
      </c>
      <c r="BR81" t="s">
        <v>114</v>
      </c>
      <c r="BS81">
        <v>7.0790000000000002E-3</v>
      </c>
      <c r="BT81">
        <v>5.4200000000000003E-3</v>
      </c>
      <c r="BU81" t="s">
        <v>114</v>
      </c>
      <c r="BV81" t="s">
        <v>114</v>
      </c>
      <c r="BW81">
        <v>5.4209999999999996E-3</v>
      </c>
      <c r="BX81" t="s">
        <v>114</v>
      </c>
      <c r="BY81" t="s">
        <v>114</v>
      </c>
      <c r="BZ81">
        <v>7.1739999999999998E-3</v>
      </c>
      <c r="CA81" t="s">
        <v>114</v>
      </c>
      <c r="CB81">
        <v>9.8630000000000002E-3</v>
      </c>
      <c r="CC81">
        <v>7.1609999999999998E-3</v>
      </c>
      <c r="CD81">
        <v>1.4590000000000001E-2</v>
      </c>
      <c r="CE81">
        <v>1.4954E-2</v>
      </c>
      <c r="CF81" t="s">
        <v>114</v>
      </c>
      <c r="CG81">
        <v>8.8090000000000009E-3</v>
      </c>
      <c r="CH81" t="s">
        <v>114</v>
      </c>
      <c r="CI81">
        <v>7.1069999999999996E-3</v>
      </c>
      <c r="CJ81">
        <v>8.9859999999999992E-3</v>
      </c>
      <c r="CK81">
        <v>4.64E-3</v>
      </c>
      <c r="CL81">
        <v>1.0355E-2</v>
      </c>
      <c r="CM81">
        <v>1.4373E-2</v>
      </c>
      <c r="CN81">
        <v>3.8930000000000002E-3</v>
      </c>
      <c r="CO81">
        <v>1.166E-2</v>
      </c>
      <c r="CP81">
        <v>9.5490000000000002E-3</v>
      </c>
      <c r="CQ81">
        <v>1.2163999999999999E-2</v>
      </c>
      <c r="CR81">
        <v>1.2532E-2</v>
      </c>
      <c r="CS81">
        <v>1.7527999999999998E-2</v>
      </c>
      <c r="CT81" t="s">
        <v>114</v>
      </c>
      <c r="CU81">
        <v>6.4029999999999998E-3</v>
      </c>
      <c r="CV81">
        <v>8.0649999999999993E-3</v>
      </c>
      <c r="CW81">
        <v>8.1429999999999992E-3</v>
      </c>
      <c r="CX81">
        <v>7.6790000000000001E-3</v>
      </c>
      <c r="CY81">
        <v>7.1580000000000003E-3</v>
      </c>
      <c r="CZ81">
        <v>5.8599999999999998E-3</v>
      </c>
      <c r="DA81" t="s">
        <v>114</v>
      </c>
      <c r="DB81">
        <v>9.6220000000000003E-3</v>
      </c>
      <c r="DC81">
        <v>6.1120000000000002E-3</v>
      </c>
      <c r="DD81">
        <v>5.1999999999999998E-3</v>
      </c>
      <c r="DE81">
        <v>1.519E-2</v>
      </c>
      <c r="DF81">
        <v>7.0169999999999998E-3</v>
      </c>
      <c r="DG81">
        <v>6.7689999999999998E-3</v>
      </c>
      <c r="DH81">
        <v>1.2735E-2</v>
      </c>
      <c r="DI81">
        <v>6.4029999999999998E-3</v>
      </c>
      <c r="DJ81">
        <v>1.0513E-2</v>
      </c>
      <c r="DK81">
        <v>1.3167E-2</v>
      </c>
      <c r="DL81">
        <v>7.012E-3</v>
      </c>
      <c r="DM81">
        <v>9.2449999999999997E-3</v>
      </c>
      <c r="DN81" t="s">
        <v>114</v>
      </c>
      <c r="DO81">
        <v>8.5400000000000007E-3</v>
      </c>
      <c r="DP81">
        <v>1.5897000000000001E-2</v>
      </c>
      <c r="DQ81">
        <v>6.5209999999999999E-3</v>
      </c>
      <c r="DR81">
        <v>7.535E-3</v>
      </c>
      <c r="DS81">
        <v>6.6519999999999999E-3</v>
      </c>
      <c r="DT81" t="s">
        <v>114</v>
      </c>
      <c r="DU81">
        <v>1.532E-2</v>
      </c>
      <c r="DV81" t="s">
        <v>114</v>
      </c>
      <c r="DW81" t="s">
        <v>114</v>
      </c>
      <c r="DX81">
        <v>1.0248999999999999E-2</v>
      </c>
      <c r="DY81">
        <v>1.6555E-2</v>
      </c>
      <c r="DZ81">
        <v>6.7790000000000003E-3</v>
      </c>
      <c r="EA81">
        <v>4.8149999999999998E-3</v>
      </c>
      <c r="EB81" t="s">
        <v>114</v>
      </c>
      <c r="EC81">
        <v>7.1913000000000005E-2</v>
      </c>
      <c r="ED81" t="s">
        <v>114</v>
      </c>
      <c r="EE81">
        <v>7.5709999999999996E-3</v>
      </c>
      <c r="EF81">
        <v>8.5299999999999994E-3</v>
      </c>
      <c r="EG81">
        <v>4.6420000000000003E-3</v>
      </c>
      <c r="EH81">
        <v>2.8728E-2</v>
      </c>
      <c r="EI81">
        <v>5.7949999999999998E-3</v>
      </c>
      <c r="EJ81">
        <v>1.2095E-2</v>
      </c>
      <c r="EK81">
        <v>1.4615E-2</v>
      </c>
      <c r="EL81">
        <v>7.7390000000000002E-3</v>
      </c>
      <c r="EM81">
        <v>7.2100000000000003E-3</v>
      </c>
      <c r="EN81">
        <v>9.7660000000000004E-3</v>
      </c>
      <c r="EO81" t="s">
        <v>114</v>
      </c>
      <c r="EP81">
        <v>8.26E-3</v>
      </c>
      <c r="EQ81">
        <v>4.8669999999999998E-3</v>
      </c>
      <c r="ER81">
        <v>9.7029999999999998E-3</v>
      </c>
      <c r="ES81">
        <v>1.0330000000000001E-2</v>
      </c>
      <c r="ET81">
        <v>5.6690000000000004E-3</v>
      </c>
      <c r="EU81">
        <v>5.7879999999999997E-3</v>
      </c>
      <c r="EV81" t="s">
        <v>114</v>
      </c>
      <c r="EW81">
        <v>1.1138E-2</v>
      </c>
      <c r="EX81">
        <v>8.2539999999999992E-3</v>
      </c>
      <c r="EY81">
        <v>2.3717999999999999E-2</v>
      </c>
      <c r="EZ81">
        <v>2.0854000000000001E-2</v>
      </c>
      <c r="FA81">
        <v>7.8790000000000006E-3</v>
      </c>
      <c r="FB81" t="s">
        <v>114</v>
      </c>
      <c r="FC81">
        <v>1.5264E-2</v>
      </c>
      <c r="FD81" t="s">
        <v>114</v>
      </c>
      <c r="FE81" t="s">
        <v>114</v>
      </c>
      <c r="FF81">
        <v>6.1669999999999997E-3</v>
      </c>
      <c r="FG81">
        <v>6.1989999999999996E-3</v>
      </c>
      <c r="FH81">
        <v>5.313E-3</v>
      </c>
      <c r="FI81">
        <v>2.9959E-2</v>
      </c>
      <c r="FJ81">
        <v>7.5659999999999998E-3</v>
      </c>
      <c r="FK81">
        <v>5.8869999999999999E-3</v>
      </c>
      <c r="FL81">
        <v>4.7819999999999998E-3</v>
      </c>
      <c r="FM81">
        <v>8.8979999999999997E-3</v>
      </c>
      <c r="FN81" t="s">
        <v>114</v>
      </c>
      <c r="FO81" t="s">
        <v>114</v>
      </c>
      <c r="FP81">
        <v>5.8269999999999997E-3</v>
      </c>
      <c r="FQ81">
        <v>5.3908999999999999E-2</v>
      </c>
      <c r="FR81">
        <v>6.744E-3</v>
      </c>
      <c r="FS81">
        <v>6.2290000000000002E-3</v>
      </c>
      <c r="FT81">
        <v>2.0296999999999999E-2</v>
      </c>
      <c r="FU81">
        <v>1.423E-2</v>
      </c>
      <c r="FV81">
        <v>5.4860000000000004E-3</v>
      </c>
      <c r="FW81">
        <v>7.6319999999999999E-3</v>
      </c>
      <c r="FX81">
        <v>5.5440000000000003E-3</v>
      </c>
      <c r="FY81">
        <v>6.8370000000000002E-3</v>
      </c>
      <c r="FZ81">
        <v>6.2769999999999996E-3</v>
      </c>
      <c r="GA81">
        <v>6.0340000000000003E-3</v>
      </c>
      <c r="GB81">
        <v>1.1993999999999999E-2</v>
      </c>
      <c r="GC81">
        <v>9.1540000000000007E-3</v>
      </c>
      <c r="GD81">
        <v>4.7010000000000003E-3</v>
      </c>
      <c r="GE81">
        <v>6.5550000000000001E-3</v>
      </c>
      <c r="GF81">
        <v>7.5329999999999998E-3</v>
      </c>
      <c r="GG81">
        <v>4.2459999999999998E-2</v>
      </c>
      <c r="GH81">
        <v>7.0010000000000003E-3</v>
      </c>
      <c r="GI81" t="s">
        <v>114</v>
      </c>
      <c r="GJ81">
        <v>7.5709999999999996E-3</v>
      </c>
      <c r="GK81">
        <v>9.2750000000000003E-3</v>
      </c>
      <c r="GL81">
        <v>9.9729999999999992E-3</v>
      </c>
      <c r="GM81" t="s">
        <v>114</v>
      </c>
      <c r="GN81">
        <v>1.0319E-2</v>
      </c>
      <c r="GO81" t="s">
        <v>114</v>
      </c>
      <c r="GP81">
        <v>6.019E-3</v>
      </c>
      <c r="GQ81">
        <v>4.182E-3</v>
      </c>
      <c r="GR81">
        <v>8.2979999999999998E-3</v>
      </c>
      <c r="GS81">
        <v>1.1615E-2</v>
      </c>
      <c r="GT81">
        <v>9.0570000000000008E-3</v>
      </c>
      <c r="GU81" t="s">
        <v>114</v>
      </c>
      <c r="GV81">
        <v>9.3589999999999993E-3</v>
      </c>
      <c r="GW81">
        <v>1.1467E-2</v>
      </c>
      <c r="GX81">
        <v>7.3899999999999999E-3</v>
      </c>
      <c r="GY81">
        <v>8.116E-3</v>
      </c>
      <c r="GZ81">
        <v>4.6779999999999999E-3</v>
      </c>
      <c r="HA81">
        <v>1.244E-2</v>
      </c>
      <c r="HB81">
        <v>8.9300000000000004E-3</v>
      </c>
      <c r="HC81">
        <v>8.5339999999999999E-3</v>
      </c>
      <c r="HD81">
        <v>1.6458E-2</v>
      </c>
      <c r="HE81">
        <v>1.6549999999999999E-2</v>
      </c>
      <c r="HF81" t="s">
        <v>114</v>
      </c>
      <c r="HG81">
        <v>7.2789999999999999E-3</v>
      </c>
      <c r="HH81">
        <v>5.6160000000000003E-3</v>
      </c>
      <c r="HI81">
        <v>6.1890000000000001E-3</v>
      </c>
      <c r="HJ81">
        <v>5.5770000000000004E-3</v>
      </c>
      <c r="HK81">
        <v>1.1842E-2</v>
      </c>
      <c r="HL81">
        <v>1.1027E-2</v>
      </c>
      <c r="HM81">
        <v>8.6400000000000001E-3</v>
      </c>
      <c r="HN81">
        <v>6.8360000000000001E-3</v>
      </c>
      <c r="HO81">
        <v>4.8310000000000002E-3</v>
      </c>
      <c r="HP81">
        <v>7.4400000000000004E-3</v>
      </c>
      <c r="HQ81">
        <v>7.8519999999999996E-3</v>
      </c>
      <c r="HR81">
        <v>8.0999999999999996E-3</v>
      </c>
      <c r="HS81">
        <v>2.0719999999999999E-2</v>
      </c>
      <c r="HT81">
        <v>5.0949999999999997E-3</v>
      </c>
      <c r="HU81">
        <v>4.3309999999999998E-3</v>
      </c>
      <c r="HV81" t="s">
        <v>114</v>
      </c>
      <c r="HW81" t="s">
        <v>114</v>
      </c>
      <c r="HX81">
        <v>6.7489999999999998E-3</v>
      </c>
      <c r="HY81">
        <v>4.9249999999999997E-3</v>
      </c>
      <c r="HZ81">
        <v>5.1310000000000001E-3</v>
      </c>
      <c r="IA81">
        <v>1.0758999999999999E-2</v>
      </c>
      <c r="IB81" t="s">
        <v>114</v>
      </c>
      <c r="IC81" t="s">
        <v>114</v>
      </c>
      <c r="ID81" t="s">
        <v>114</v>
      </c>
      <c r="IE81">
        <v>4.8260000000000004E-3</v>
      </c>
      <c r="IF81">
        <v>6.6340000000000001E-3</v>
      </c>
      <c r="IG81" t="s">
        <v>114</v>
      </c>
      <c r="IH81">
        <v>7.7999999999999996E-3</v>
      </c>
      <c r="II81" t="s">
        <v>114</v>
      </c>
      <c r="IJ81">
        <v>6.5339999999999999E-3</v>
      </c>
      <c r="IK81" t="s">
        <v>114</v>
      </c>
      <c r="IL81" t="s">
        <v>114</v>
      </c>
      <c r="IM81" t="s">
        <v>114</v>
      </c>
      <c r="IN81">
        <v>5.4209999999999996E-3</v>
      </c>
      <c r="IO81">
        <v>5.5329999999999997E-3</v>
      </c>
      <c r="IP81">
        <v>6.1640000000000002E-3</v>
      </c>
      <c r="IQ81" t="s">
        <v>114</v>
      </c>
      <c r="IR81">
        <v>5.7219999999999997E-3</v>
      </c>
      <c r="IS81">
        <v>6.9410000000000001E-3</v>
      </c>
      <c r="IT81">
        <v>9.6570000000000007E-3</v>
      </c>
      <c r="IU81">
        <v>1.3390000000000001E-2</v>
      </c>
      <c r="IV81">
        <v>1.6531000000000001E-2</v>
      </c>
      <c r="IW81">
        <v>1.133E-2</v>
      </c>
      <c r="IX81">
        <v>1.8461000000000002E-2</v>
      </c>
      <c r="IY81">
        <v>4.4359999999999998E-3</v>
      </c>
      <c r="IZ81">
        <v>1.0159E-2</v>
      </c>
      <c r="JA81">
        <v>1.0880000000000001E-2</v>
      </c>
      <c r="JB81">
        <v>3.3600000000000001E-3</v>
      </c>
      <c r="JC81">
        <v>1.5821999999999999E-2</v>
      </c>
      <c r="JD81">
        <v>4.4549999999999998E-3</v>
      </c>
      <c r="JE81">
        <v>1.0455000000000001E-2</v>
      </c>
      <c r="JF81">
        <v>4.1469999999999996E-3</v>
      </c>
      <c r="JG81">
        <v>3.8630000000000001E-3</v>
      </c>
      <c r="JH81">
        <v>1.2664999999999999E-2</v>
      </c>
      <c r="JI81" t="s">
        <v>114</v>
      </c>
      <c r="JJ81" t="s">
        <v>114</v>
      </c>
      <c r="JK81">
        <v>1.0923E-2</v>
      </c>
      <c r="JL81">
        <v>3.4350000000000001E-3</v>
      </c>
      <c r="JM81">
        <v>5.7019999999999996E-3</v>
      </c>
      <c r="JN81">
        <v>8.1080000000000006E-3</v>
      </c>
      <c r="JO81" t="s">
        <v>114</v>
      </c>
      <c r="JP81">
        <v>7.2820000000000003E-3</v>
      </c>
      <c r="JQ81">
        <v>1.0873000000000001E-2</v>
      </c>
      <c r="JR81">
        <v>1.0758999999999999E-2</v>
      </c>
      <c r="JS81" t="s">
        <v>114</v>
      </c>
      <c r="JT81" t="s">
        <v>114</v>
      </c>
      <c r="JU81">
        <v>7.535E-3</v>
      </c>
      <c r="JV81" t="s">
        <v>114</v>
      </c>
      <c r="JW81">
        <v>3.6380000000000003E-2</v>
      </c>
      <c r="JX81" t="s">
        <v>114</v>
      </c>
      <c r="JY81">
        <v>9.9880000000000004E-3</v>
      </c>
      <c r="JZ81" t="s">
        <v>114</v>
      </c>
      <c r="KA81" t="s">
        <v>114</v>
      </c>
      <c r="KB81" t="s">
        <v>114</v>
      </c>
      <c r="KC81" t="s">
        <v>114</v>
      </c>
      <c r="KD81">
        <v>7.247E-3</v>
      </c>
      <c r="KE81">
        <v>1.7363E-2</v>
      </c>
      <c r="KF81">
        <v>1.0468999999999999E-2</v>
      </c>
      <c r="KG81">
        <v>7.0400000000000003E-3</v>
      </c>
      <c r="KH81" t="s">
        <v>114</v>
      </c>
      <c r="KI81">
        <v>2.5426000000000001E-2</v>
      </c>
      <c r="KJ81">
        <v>1.7315000000000001E-2</v>
      </c>
      <c r="KK81">
        <v>8.8859999999999998E-3</v>
      </c>
      <c r="KL81" t="s">
        <v>114</v>
      </c>
      <c r="KM81">
        <v>1.6701000000000001E-2</v>
      </c>
      <c r="KN81">
        <v>1.1187000000000001E-2</v>
      </c>
      <c r="KO81" t="s">
        <v>114</v>
      </c>
      <c r="KP81">
        <v>1.9665999999999999E-2</v>
      </c>
      <c r="KQ81">
        <v>2.5634000000000001E-2</v>
      </c>
      <c r="KR81">
        <v>1.6753000000000001E-2</v>
      </c>
      <c r="KS81">
        <v>1.0662E-2</v>
      </c>
      <c r="KT81">
        <v>8.2609999999999992E-3</v>
      </c>
      <c r="KU81" t="s">
        <v>114</v>
      </c>
      <c r="KV81">
        <v>2.1434999999999999E-2</v>
      </c>
      <c r="KW81">
        <v>4.2839999999999996E-3</v>
      </c>
      <c r="KX81">
        <v>1.1779E-2</v>
      </c>
      <c r="KY81">
        <v>7.2290000000000002E-3</v>
      </c>
      <c r="KZ81">
        <v>1.8447000000000002E-2</v>
      </c>
      <c r="LA81">
        <v>1.0921999999999999E-2</v>
      </c>
      <c r="LB81">
        <v>1.7536E-2</v>
      </c>
      <c r="LC81">
        <v>9.7669999999999996E-3</v>
      </c>
      <c r="LD81" t="s">
        <v>114</v>
      </c>
      <c r="LE81">
        <v>1.9434E-2</v>
      </c>
      <c r="LF81">
        <v>3.3050999999999997E-2</v>
      </c>
      <c r="LG81">
        <v>8.7860000000000004E-3</v>
      </c>
      <c r="LH81">
        <v>1.8026E-2</v>
      </c>
      <c r="LI81">
        <v>1.4297000000000001E-2</v>
      </c>
      <c r="LJ81">
        <v>6.6030000000000004E-3</v>
      </c>
      <c r="LK81">
        <v>6.8430000000000001E-3</v>
      </c>
      <c r="LL81">
        <v>5.8250000000000003E-3</v>
      </c>
      <c r="LM81">
        <v>7.2719999999999998E-3</v>
      </c>
      <c r="LN81">
        <v>1.0213E-2</v>
      </c>
      <c r="LO81">
        <v>5.9719999999999999E-3</v>
      </c>
      <c r="LP81">
        <v>9.4920000000000004E-3</v>
      </c>
      <c r="LQ81">
        <v>7.077E-3</v>
      </c>
      <c r="LR81" t="s">
        <v>114</v>
      </c>
      <c r="LS81">
        <v>2.2549E-2</v>
      </c>
      <c r="LT81">
        <v>8.5159999999999993E-3</v>
      </c>
      <c r="LU81">
        <v>9.4629999999999992E-3</v>
      </c>
      <c r="LV81">
        <v>4.542E-3</v>
      </c>
      <c r="LW81">
        <v>2.4119999999999999E-2</v>
      </c>
      <c r="LX81">
        <v>9.3449999999999991E-3</v>
      </c>
      <c r="LY81">
        <v>7.4700000000000001E-3</v>
      </c>
      <c r="LZ81">
        <v>9.6229999999999996E-3</v>
      </c>
      <c r="MA81">
        <v>1.5597E-2</v>
      </c>
      <c r="MB81">
        <v>1.2397E-2</v>
      </c>
      <c r="MC81">
        <v>1.1512E-2</v>
      </c>
      <c r="MD81">
        <v>7.8510000000000003E-3</v>
      </c>
      <c r="ME81">
        <v>7.0829999999999999E-3</v>
      </c>
      <c r="MF81">
        <v>3.9399999999999999E-3</v>
      </c>
      <c r="MG81">
        <v>6.156E-3</v>
      </c>
      <c r="MH81">
        <v>3.2834000000000002E-2</v>
      </c>
      <c r="MI81">
        <v>4.0940000000000004E-3</v>
      </c>
      <c r="MJ81">
        <v>1.2226000000000001E-2</v>
      </c>
      <c r="MK81">
        <v>7.3810000000000004E-3</v>
      </c>
      <c r="ML81" t="s">
        <v>114</v>
      </c>
      <c r="MM81">
        <v>7.3099999999999997E-3</v>
      </c>
      <c r="MN81">
        <v>5.8069999999999997E-3</v>
      </c>
      <c r="MO81">
        <v>4.6979999999999999E-3</v>
      </c>
      <c r="MP81">
        <v>4.2069999999999998E-3</v>
      </c>
      <c r="MQ81">
        <v>2.1344999999999999E-2</v>
      </c>
      <c r="MR81">
        <v>1.3754000000000001E-2</v>
      </c>
      <c r="MS81" t="s">
        <v>114</v>
      </c>
      <c r="MT81">
        <v>4.1079999999999997E-3</v>
      </c>
      <c r="MU81">
        <v>1.4678999999999999E-2</v>
      </c>
      <c r="MV81">
        <v>4.6829999999999997E-3</v>
      </c>
      <c r="MW81">
        <v>6.3579999999999999E-3</v>
      </c>
      <c r="MX81" t="s">
        <v>114</v>
      </c>
      <c r="MY81" t="s">
        <v>114</v>
      </c>
      <c r="MZ81">
        <v>8.5810000000000001E-3</v>
      </c>
      <c r="NA81">
        <v>1.0664E-2</v>
      </c>
      <c r="NB81">
        <v>2.5374000000000001E-2</v>
      </c>
      <c r="NC81">
        <v>9.0270000000000003E-3</v>
      </c>
      <c r="ND81">
        <v>5.4860000000000004E-3</v>
      </c>
      <c r="NE81">
        <v>1.9695000000000001E-2</v>
      </c>
      <c r="NF81">
        <v>6.594E-3</v>
      </c>
      <c r="NG81">
        <v>1.0259000000000001E-2</v>
      </c>
      <c r="NH81">
        <v>6.4729999999999996E-3</v>
      </c>
      <c r="NI81">
        <v>5.0559999999999997E-3</v>
      </c>
      <c r="NJ81">
        <v>3.6930000000000001E-3</v>
      </c>
      <c r="NK81">
        <v>1.2102999999999999E-2</v>
      </c>
      <c r="NL81">
        <v>3.3890000000000001E-3</v>
      </c>
      <c r="NM81">
        <v>7.2480000000000001E-3</v>
      </c>
      <c r="NN81">
        <v>6.4479999999999997E-3</v>
      </c>
      <c r="NO81">
        <v>3.9189999999999997E-3</v>
      </c>
      <c r="NP81">
        <v>3.4949999999999998E-3</v>
      </c>
      <c r="NQ81">
        <v>1.7871999999999999E-2</v>
      </c>
      <c r="NR81">
        <v>5.5630000000000002E-3</v>
      </c>
      <c r="NS81">
        <v>7.2150000000000001E-3</v>
      </c>
      <c r="NT81">
        <v>7.0879999999999997E-3</v>
      </c>
      <c r="NU81">
        <v>7.6819999999999996E-3</v>
      </c>
      <c r="NV81">
        <v>4.7999999999999996E-3</v>
      </c>
      <c r="NW81">
        <v>6.4120000000000002E-3</v>
      </c>
      <c r="NX81">
        <v>6.2729999999999999E-3</v>
      </c>
      <c r="NY81" t="s">
        <v>114</v>
      </c>
      <c r="NZ81" t="s">
        <v>114</v>
      </c>
      <c r="OA81">
        <v>1.7309999999999999E-2</v>
      </c>
      <c r="OB81">
        <v>4.3039999999999997E-3</v>
      </c>
      <c r="OC81">
        <v>5.8190000000000004E-3</v>
      </c>
      <c r="OD81">
        <v>7.0990000000000003E-3</v>
      </c>
      <c r="OE81">
        <v>1.8419000000000001E-2</v>
      </c>
      <c r="OF81">
        <v>7.5370000000000003E-3</v>
      </c>
      <c r="OG81">
        <v>3.9150000000000001E-3</v>
      </c>
      <c r="OH81">
        <v>3.323E-3</v>
      </c>
      <c r="OI81" t="s">
        <v>114</v>
      </c>
      <c r="OJ81">
        <v>3.7260000000000001E-3</v>
      </c>
      <c r="OK81">
        <v>4.1370000000000001E-3</v>
      </c>
      <c r="OL81">
        <v>4.8770000000000003E-3</v>
      </c>
      <c r="OM81">
        <v>9.1739999999999999E-3</v>
      </c>
      <c r="ON81">
        <v>4.1079999999999997E-3</v>
      </c>
      <c r="OO81" t="s">
        <v>114</v>
      </c>
      <c r="OP81">
        <v>4.7780000000000001E-3</v>
      </c>
      <c r="OQ81" t="s">
        <v>114</v>
      </c>
      <c r="OR81" t="s">
        <v>114</v>
      </c>
      <c r="OS81">
        <v>2.2261E-2</v>
      </c>
      <c r="OT81" t="s">
        <v>114</v>
      </c>
      <c r="OU81" t="s">
        <v>114</v>
      </c>
      <c r="OV81" t="s">
        <v>114</v>
      </c>
      <c r="OW81" t="s">
        <v>114</v>
      </c>
      <c r="OX81" t="s">
        <v>114</v>
      </c>
      <c r="OY81" t="s">
        <v>114</v>
      </c>
      <c r="OZ81" t="s">
        <v>114</v>
      </c>
      <c r="PA81" t="s">
        <v>114</v>
      </c>
      <c r="PB81">
        <v>4.522E-3</v>
      </c>
      <c r="PC81">
        <v>4.8900000000000002E-3</v>
      </c>
      <c r="PD81" t="s">
        <v>114</v>
      </c>
      <c r="PE81">
        <v>6.5709999999999996E-3</v>
      </c>
      <c r="PF81">
        <v>1.6916E-2</v>
      </c>
      <c r="PG81">
        <v>6.7520000000000002E-3</v>
      </c>
      <c r="PH81">
        <v>5.8240000000000002E-3</v>
      </c>
      <c r="PI81">
        <v>4.2206E-2</v>
      </c>
      <c r="PJ81">
        <v>9.887E-3</v>
      </c>
      <c r="PK81">
        <v>7.012E-3</v>
      </c>
      <c r="PL81">
        <v>9.8670000000000008E-3</v>
      </c>
      <c r="PM81">
        <v>7.6530000000000001E-3</v>
      </c>
      <c r="PN81" t="s">
        <v>114</v>
      </c>
      <c r="PO81" t="s">
        <v>114</v>
      </c>
      <c r="PP81">
        <v>2.1517999999999999E-2</v>
      </c>
      <c r="PQ81">
        <v>1.3017000000000001E-2</v>
      </c>
      <c r="PR81">
        <v>7.9240000000000005E-3</v>
      </c>
      <c r="PS81">
        <v>4.4180000000000001E-3</v>
      </c>
      <c r="PT81">
        <v>1.9503E-2</v>
      </c>
      <c r="PU81">
        <v>6.0369999999999998E-3</v>
      </c>
      <c r="PV81">
        <v>3.9179999999999996E-3</v>
      </c>
      <c r="PW81">
        <v>5.5360000000000001E-3</v>
      </c>
      <c r="PX81">
        <v>5.1669999999999997E-3</v>
      </c>
      <c r="PY81">
        <v>7.4549999999999998E-3</v>
      </c>
      <c r="PZ81">
        <v>3.9569999999999996E-3</v>
      </c>
      <c r="QA81">
        <v>1.0054E-2</v>
      </c>
      <c r="QB81">
        <v>6.8069999999999997E-3</v>
      </c>
      <c r="QC81">
        <v>1.5893999999999998E-2</v>
      </c>
      <c r="QD81">
        <v>6.2370000000000004E-3</v>
      </c>
      <c r="QE81">
        <v>5.7499999999999999E-3</v>
      </c>
      <c r="QF81">
        <v>5.9220000000000002E-3</v>
      </c>
      <c r="QG81">
        <v>7.0340000000000003E-3</v>
      </c>
      <c r="QH81" t="s">
        <v>114</v>
      </c>
      <c r="QI81" t="s">
        <v>114</v>
      </c>
      <c r="QJ81">
        <v>4.6690000000000004E-3</v>
      </c>
      <c r="QK81">
        <v>6.4700000000000001E-3</v>
      </c>
      <c r="QL81" t="s">
        <v>114</v>
      </c>
      <c r="QM81">
        <v>7.2810000000000001E-3</v>
      </c>
      <c r="QN81" t="s">
        <v>114</v>
      </c>
      <c r="QO81">
        <v>1.2484E-2</v>
      </c>
      <c r="QP81">
        <v>1.3576E-2</v>
      </c>
      <c r="QQ81" t="s">
        <v>114</v>
      </c>
      <c r="QR81" t="s">
        <v>114</v>
      </c>
      <c r="QS81">
        <v>1.3306E-2</v>
      </c>
      <c r="QT81" t="s">
        <v>114</v>
      </c>
      <c r="QU81" t="s">
        <v>114</v>
      </c>
      <c r="QV81">
        <v>5.9899999999999997E-3</v>
      </c>
      <c r="QW81">
        <v>4.5989999999999998E-3</v>
      </c>
      <c r="QX81">
        <v>1.4283000000000001E-2</v>
      </c>
      <c r="QY81">
        <v>1.0097E-2</v>
      </c>
      <c r="QZ81">
        <v>6.7970000000000001E-3</v>
      </c>
      <c r="RA81">
        <v>5.7210000000000004E-3</v>
      </c>
      <c r="RB81">
        <v>3.869E-3</v>
      </c>
      <c r="RC81">
        <v>3.3123E-2</v>
      </c>
      <c r="RD81">
        <v>9.41E-3</v>
      </c>
      <c r="RE81">
        <v>4.9230000000000003E-3</v>
      </c>
      <c r="RF81">
        <v>5.934E-3</v>
      </c>
      <c r="RG81">
        <v>6.3369999999999998E-3</v>
      </c>
      <c r="RH81">
        <v>8.3059999999999991E-3</v>
      </c>
      <c r="RI81">
        <v>8.9090000000000003E-3</v>
      </c>
      <c r="RJ81">
        <v>4.0610000000000004E-3</v>
      </c>
      <c r="RK81">
        <v>7.9979999999999999E-3</v>
      </c>
      <c r="RL81">
        <v>5.6750000000000004E-3</v>
      </c>
      <c r="RM81">
        <v>4.4860000000000004E-3</v>
      </c>
      <c r="RN81" t="s">
        <v>114</v>
      </c>
      <c r="RO81">
        <v>4.5690000000000001E-3</v>
      </c>
      <c r="RP81">
        <v>9.4219999999999998E-3</v>
      </c>
      <c r="RQ81">
        <v>5.6759999999999996E-3</v>
      </c>
      <c r="RR81">
        <v>7.1040000000000001E-3</v>
      </c>
      <c r="RS81">
        <v>6.4850000000000003E-3</v>
      </c>
      <c r="RT81">
        <v>4.4219999999999997E-3</v>
      </c>
      <c r="RU81">
        <v>8.1709999999999994E-3</v>
      </c>
      <c r="RV81">
        <v>4.1019999999999997E-3</v>
      </c>
      <c r="RW81">
        <v>7.8560000000000001E-3</v>
      </c>
      <c r="RX81">
        <v>4.7400000000000003E-3</v>
      </c>
      <c r="RY81">
        <v>4.215E-3</v>
      </c>
      <c r="RZ81">
        <v>6.2350000000000001E-3</v>
      </c>
      <c r="SA81">
        <v>9.5139999999999999E-3</v>
      </c>
      <c r="SB81">
        <v>1.4171E-2</v>
      </c>
      <c r="SC81">
        <v>5.9959999999999996E-3</v>
      </c>
      <c r="SD81">
        <v>4.5180000000000003E-3</v>
      </c>
      <c r="SE81">
        <v>4.1850000000000004E-3</v>
      </c>
      <c r="SF81">
        <v>5.7809999999999997E-3</v>
      </c>
      <c r="SG81">
        <v>4.0359999999999997E-3</v>
      </c>
      <c r="SH81" t="s">
        <v>114</v>
      </c>
      <c r="SI81">
        <v>4.1260000000000003E-3</v>
      </c>
      <c r="SJ81">
        <v>2.0874E-2</v>
      </c>
      <c r="SK81" t="s">
        <v>114</v>
      </c>
      <c r="SL81" t="s">
        <v>114</v>
      </c>
      <c r="SM81">
        <v>8.7889999999999999E-3</v>
      </c>
      <c r="SN81">
        <v>4.1450000000000002E-3</v>
      </c>
      <c r="SO81" t="s">
        <v>114</v>
      </c>
      <c r="SP81">
        <v>7.7879999999999998E-3</v>
      </c>
      <c r="SQ81">
        <v>8.2369999999999995E-3</v>
      </c>
      <c r="SR81">
        <v>5.6049999999999997E-3</v>
      </c>
      <c r="SS81">
        <v>4.797E-3</v>
      </c>
      <c r="ST81">
        <v>8.4069999999999995E-3</v>
      </c>
      <c r="SU81">
        <v>4.9810000000000002E-3</v>
      </c>
      <c r="SV81">
        <v>7.2519999999999998E-3</v>
      </c>
      <c r="SW81">
        <v>4.2430000000000002E-3</v>
      </c>
      <c r="SX81">
        <v>5.62E-3</v>
      </c>
      <c r="SY81">
        <v>4.3880000000000004E-3</v>
      </c>
      <c r="SZ81">
        <v>8.8240000000000002E-3</v>
      </c>
      <c r="TA81">
        <v>3.803E-3</v>
      </c>
      <c r="TB81">
        <v>5.1710000000000002E-3</v>
      </c>
      <c r="TC81">
        <v>4.3759999999999997E-3</v>
      </c>
      <c r="TD81">
        <v>4.529E-3</v>
      </c>
      <c r="TE81">
        <v>4.3769999999999998E-3</v>
      </c>
      <c r="TF81">
        <v>4.9290000000000002E-3</v>
      </c>
      <c r="TG81">
        <v>7.509E-3</v>
      </c>
      <c r="TH81">
        <v>4.4149999999999997E-3</v>
      </c>
      <c r="TI81">
        <v>5.7169999999999999E-3</v>
      </c>
      <c r="TJ81" t="s">
        <v>114</v>
      </c>
      <c r="TK81">
        <v>7.0829999999999999E-3</v>
      </c>
      <c r="TL81" t="s">
        <v>114</v>
      </c>
      <c r="TM81" t="s">
        <v>114</v>
      </c>
      <c r="TN81">
        <v>5.6559999999999996E-3</v>
      </c>
      <c r="TO81" t="s">
        <v>114</v>
      </c>
      <c r="TP81">
        <v>7.9150000000000002E-3</v>
      </c>
      <c r="TQ81">
        <v>7.1459999999999996E-3</v>
      </c>
      <c r="TR81">
        <v>1.1983000000000001E-2</v>
      </c>
      <c r="TS81">
        <v>9.5180000000000004E-3</v>
      </c>
      <c r="TT81">
        <v>8.7600000000000004E-3</v>
      </c>
      <c r="TU81" t="s">
        <v>114</v>
      </c>
      <c r="TV81">
        <v>6.2430000000000003E-3</v>
      </c>
      <c r="TW81">
        <v>1.9151000000000001E-2</v>
      </c>
      <c r="TX81">
        <v>4.914E-3</v>
      </c>
      <c r="TY81" t="s">
        <v>114</v>
      </c>
      <c r="TZ81">
        <v>7.0489999999999997E-3</v>
      </c>
      <c r="UA81">
        <v>6.3800000000000003E-3</v>
      </c>
      <c r="UB81">
        <v>6.2719999999999998E-3</v>
      </c>
      <c r="UC81" t="s">
        <v>114</v>
      </c>
      <c r="UD81">
        <v>7.4390000000000003E-3</v>
      </c>
      <c r="UE81">
        <v>5.5630000000000002E-3</v>
      </c>
      <c r="UF81">
        <v>9.2589999999999999E-3</v>
      </c>
      <c r="UG81">
        <v>1.0553999999999999E-2</v>
      </c>
      <c r="UH81" t="s">
        <v>114</v>
      </c>
      <c r="UI81">
        <v>5.2249999999999996E-3</v>
      </c>
      <c r="UJ81">
        <v>8.5609999999999992E-3</v>
      </c>
      <c r="UK81">
        <v>8.5290000000000001E-3</v>
      </c>
      <c r="UL81">
        <v>5.6210000000000001E-3</v>
      </c>
      <c r="UM81" t="s">
        <v>114</v>
      </c>
      <c r="UN81" t="s">
        <v>114</v>
      </c>
      <c r="UO81" t="s">
        <v>114</v>
      </c>
      <c r="UP81">
        <v>4.9150000000000001E-3</v>
      </c>
      <c r="UQ81" t="s">
        <v>114</v>
      </c>
      <c r="UR81">
        <v>5.8729999999999997E-3</v>
      </c>
      <c r="US81">
        <v>6.9119999999999997E-3</v>
      </c>
      <c r="UT81">
        <v>6.0340000000000003E-3</v>
      </c>
      <c r="UU81">
        <v>5.0400000000000002E-3</v>
      </c>
      <c r="UV81">
        <v>5.3210000000000002E-3</v>
      </c>
      <c r="UW81" t="s">
        <v>114</v>
      </c>
      <c r="UX81">
        <v>5.4869999999999997E-3</v>
      </c>
      <c r="UY81">
        <v>4.7530000000000003E-3</v>
      </c>
      <c r="UZ81" t="s">
        <v>114</v>
      </c>
      <c r="VA81">
        <v>5.4730000000000004E-3</v>
      </c>
      <c r="VB81">
        <v>1.6114E-2</v>
      </c>
      <c r="VC81" t="s">
        <v>114</v>
      </c>
      <c r="VD81">
        <v>1.0071999999999999E-2</v>
      </c>
      <c r="VE81">
        <v>8.0269999999999994E-3</v>
      </c>
      <c r="VF81">
        <v>6.241E-3</v>
      </c>
      <c r="VG81">
        <v>5.6299999999999996E-3</v>
      </c>
      <c r="VH81">
        <v>1.4742E-2</v>
      </c>
      <c r="VI81" t="s">
        <v>114</v>
      </c>
      <c r="VJ81" t="s">
        <v>114</v>
      </c>
      <c r="VK81" t="s">
        <v>114</v>
      </c>
      <c r="VL81" t="s">
        <v>114</v>
      </c>
      <c r="VM81" t="s">
        <v>114</v>
      </c>
      <c r="VN81">
        <v>1.0043E-2</v>
      </c>
      <c r="VO81">
        <v>7.3169999999999997E-3</v>
      </c>
      <c r="VP81">
        <v>1.0102E-2</v>
      </c>
      <c r="VQ81">
        <v>8.1290000000000008E-3</v>
      </c>
      <c r="VR81">
        <v>1.9640999999999999E-2</v>
      </c>
      <c r="VS81">
        <v>1.0463999999999999E-2</v>
      </c>
      <c r="VT81" t="s">
        <v>114</v>
      </c>
      <c r="VU81">
        <v>1.0684000000000001E-2</v>
      </c>
      <c r="VV81" t="s">
        <v>114</v>
      </c>
      <c r="VW81">
        <v>2.2932999999999999E-2</v>
      </c>
      <c r="VX81" t="s">
        <v>114</v>
      </c>
      <c r="VY81">
        <v>5.5779999999999996E-3</v>
      </c>
      <c r="VZ81">
        <v>5.2680000000000001E-3</v>
      </c>
      <c r="WA81" t="s">
        <v>114</v>
      </c>
      <c r="WB81" t="s">
        <v>114</v>
      </c>
      <c r="WC81" t="s">
        <v>114</v>
      </c>
      <c r="WD81">
        <v>1.9539999999999998E-2</v>
      </c>
      <c r="WE81">
        <v>2.4996999999999998E-2</v>
      </c>
      <c r="WF81">
        <v>1.3167999999999999E-2</v>
      </c>
      <c r="WG81">
        <v>9.0220000000000005E-3</v>
      </c>
      <c r="WH81" t="s">
        <v>114</v>
      </c>
      <c r="WI81">
        <v>1.1776E-2</v>
      </c>
      <c r="WJ81">
        <v>8.7060000000000002E-3</v>
      </c>
      <c r="WK81">
        <v>8.6840000000000007E-3</v>
      </c>
      <c r="WL81" t="s">
        <v>114</v>
      </c>
      <c r="WM81">
        <v>7.8440000000000003E-3</v>
      </c>
      <c r="WN81">
        <v>4.901E-3</v>
      </c>
      <c r="WO81">
        <v>6.8890000000000002E-3</v>
      </c>
      <c r="WP81">
        <v>5.0829999999999998E-3</v>
      </c>
      <c r="WQ81">
        <v>4.3350000000000003E-3</v>
      </c>
      <c r="WR81" t="s">
        <v>114</v>
      </c>
      <c r="WS81">
        <v>4.6360000000000004E-3</v>
      </c>
      <c r="WT81" t="s">
        <v>114</v>
      </c>
      <c r="WU81">
        <v>8.5929999999999999E-3</v>
      </c>
      <c r="WV81" t="s">
        <v>114</v>
      </c>
      <c r="WW81">
        <v>1.2652999999999999E-2</v>
      </c>
      <c r="WX81">
        <v>8.9470000000000001E-3</v>
      </c>
      <c r="WY81">
        <v>1.7972999999999999E-2</v>
      </c>
      <c r="WZ81" t="s">
        <v>114</v>
      </c>
      <c r="XA81">
        <v>6.0910000000000001E-3</v>
      </c>
      <c r="XB81" t="s">
        <v>114</v>
      </c>
      <c r="XC81">
        <v>6.7210000000000004E-3</v>
      </c>
      <c r="XD81">
        <v>3.1063E-2</v>
      </c>
      <c r="XE81">
        <v>7.5139999999999998E-3</v>
      </c>
      <c r="XF81" t="s">
        <v>114</v>
      </c>
      <c r="XG81">
        <v>7.894E-3</v>
      </c>
      <c r="XH81">
        <v>4.7530000000000003E-3</v>
      </c>
      <c r="XI81">
        <v>3.7599999999999999E-3</v>
      </c>
      <c r="XJ81">
        <v>8.9210000000000001E-3</v>
      </c>
      <c r="XK81">
        <v>6.0959999999999999E-3</v>
      </c>
      <c r="XL81">
        <v>9.8410000000000008E-3</v>
      </c>
      <c r="XM81">
        <v>6.13E-3</v>
      </c>
      <c r="XN81">
        <v>7.2589999999999998E-3</v>
      </c>
      <c r="XO81">
        <v>2.9048999999999998E-2</v>
      </c>
      <c r="XP81" t="s">
        <v>114</v>
      </c>
      <c r="XQ81" t="s">
        <v>114</v>
      </c>
      <c r="XR81">
        <v>1.6754999999999999E-2</v>
      </c>
      <c r="XS81">
        <v>1.1486E-2</v>
      </c>
      <c r="XT81">
        <v>5.3769999999999998E-3</v>
      </c>
      <c r="XU81" t="s">
        <v>114</v>
      </c>
      <c r="XV81" t="s">
        <v>114</v>
      </c>
      <c r="XW81" t="s">
        <v>114</v>
      </c>
      <c r="XX81">
        <v>8.1019999999999998E-3</v>
      </c>
      <c r="XY81">
        <v>8.2810000000000002E-3</v>
      </c>
      <c r="XZ81">
        <v>1.1738999999999999E-2</v>
      </c>
      <c r="YA81">
        <v>6.2529999999999999E-3</v>
      </c>
      <c r="YB81">
        <v>1.7035999999999999E-2</v>
      </c>
      <c r="YC81">
        <v>5.9870000000000001E-3</v>
      </c>
      <c r="YD81" t="s">
        <v>114</v>
      </c>
      <c r="YE81">
        <v>1.3205E-2</v>
      </c>
      <c r="YF81" t="s">
        <v>114</v>
      </c>
      <c r="YG81">
        <v>5.6189999999999999E-3</v>
      </c>
      <c r="YH81" t="s">
        <v>114</v>
      </c>
      <c r="YI81" t="s">
        <v>114</v>
      </c>
      <c r="YJ81">
        <v>5.0559999999999997E-3</v>
      </c>
      <c r="YK81">
        <v>5.4920000000000004E-3</v>
      </c>
      <c r="YL81">
        <v>7.6449999999999999E-3</v>
      </c>
      <c r="YM81">
        <v>6.2859999999999999E-3</v>
      </c>
      <c r="YN81" t="s">
        <v>114</v>
      </c>
      <c r="YO81" t="s">
        <v>114</v>
      </c>
      <c r="YP81" t="s">
        <v>114</v>
      </c>
      <c r="YQ81">
        <v>6.3299999999999997E-3</v>
      </c>
      <c r="YR81">
        <v>8.6350000000000003E-3</v>
      </c>
      <c r="YS81">
        <v>1.2127000000000001E-2</v>
      </c>
      <c r="YT81" t="s">
        <v>114</v>
      </c>
      <c r="YU81">
        <v>6.9249999999999997E-3</v>
      </c>
      <c r="YV81">
        <v>6.3610000000000003E-3</v>
      </c>
      <c r="YW81" t="s">
        <v>114</v>
      </c>
      <c r="YX81" t="s">
        <v>114</v>
      </c>
      <c r="YY81">
        <v>1.4760000000000001E-2</v>
      </c>
      <c r="YZ81">
        <v>1.495E-2</v>
      </c>
      <c r="ZA81">
        <v>8.2609999999999992E-3</v>
      </c>
      <c r="ZB81" t="s">
        <v>114</v>
      </c>
      <c r="ZC81">
        <v>1.1990000000000001E-2</v>
      </c>
      <c r="ZD81">
        <v>7.3839999999999999E-3</v>
      </c>
      <c r="ZE81">
        <v>7.3850000000000001E-3</v>
      </c>
      <c r="ZF81">
        <v>1.4347E-2</v>
      </c>
      <c r="ZG81">
        <v>1.3597E-2</v>
      </c>
      <c r="ZH81">
        <v>9.7120000000000001E-3</v>
      </c>
      <c r="ZI81">
        <v>4.5052000000000002E-2</v>
      </c>
      <c r="ZJ81">
        <v>1.1656E-2</v>
      </c>
      <c r="ZK81" t="s">
        <v>114</v>
      </c>
      <c r="ZL81">
        <v>2.0184000000000001E-2</v>
      </c>
      <c r="ZM81">
        <v>1.2631E-2</v>
      </c>
      <c r="ZN81">
        <v>1.4869E-2</v>
      </c>
      <c r="ZO81">
        <v>1.7048000000000001E-2</v>
      </c>
      <c r="ZP81" t="s">
        <v>114</v>
      </c>
      <c r="ZQ81" t="s">
        <v>114</v>
      </c>
      <c r="ZR81" t="s">
        <v>114</v>
      </c>
      <c r="ZS81" t="s">
        <v>114</v>
      </c>
      <c r="ZT81" t="s">
        <v>114</v>
      </c>
      <c r="ZU81" t="s">
        <v>114</v>
      </c>
      <c r="ZV81">
        <v>7.3550000000000004E-3</v>
      </c>
      <c r="ZW81" t="s">
        <v>114</v>
      </c>
      <c r="ZX81">
        <v>2.8955000000000002E-2</v>
      </c>
      <c r="ZY81">
        <v>1.7221E-2</v>
      </c>
      <c r="ZZ81">
        <v>1.3037E-2</v>
      </c>
      <c r="AAA81">
        <v>7.064E-3</v>
      </c>
      <c r="AAB81">
        <v>1.7524000000000001E-2</v>
      </c>
      <c r="AAC81">
        <v>1.5217E-2</v>
      </c>
      <c r="AAD81">
        <v>8.0260000000000001E-3</v>
      </c>
      <c r="AAE81">
        <v>1.3374E-2</v>
      </c>
      <c r="AAF81">
        <v>1.737E-2</v>
      </c>
      <c r="AAG81">
        <v>1.2024999999999999E-2</v>
      </c>
      <c r="AAH81" t="s">
        <v>114</v>
      </c>
      <c r="AAI81">
        <v>2.7071000000000001E-2</v>
      </c>
      <c r="AAJ81">
        <v>2.0427000000000001E-2</v>
      </c>
      <c r="AAK81" t="s">
        <v>114</v>
      </c>
      <c r="AAL81" t="s">
        <v>114</v>
      </c>
      <c r="AAM81">
        <v>1.274E-2</v>
      </c>
      <c r="AAN81">
        <v>5.9610000000000002E-3</v>
      </c>
      <c r="AAO81">
        <v>1.2001E-2</v>
      </c>
      <c r="AAP81" t="s">
        <v>114</v>
      </c>
      <c r="AAQ81">
        <v>1.5417E-2</v>
      </c>
      <c r="AAR81">
        <v>1.2349000000000001E-2</v>
      </c>
      <c r="AAS81" t="s">
        <v>114</v>
      </c>
      <c r="AAT81">
        <v>2.4511999999999999E-2</v>
      </c>
      <c r="AAU81">
        <v>9.7630000000000008E-3</v>
      </c>
      <c r="AAV81">
        <v>2.6960000000000001E-2</v>
      </c>
      <c r="AAW81">
        <v>1.0489E-2</v>
      </c>
      <c r="AAX81" t="s">
        <v>114</v>
      </c>
      <c r="AAY81">
        <v>7.2009999999999999E-3</v>
      </c>
      <c r="AAZ81" t="s">
        <v>114</v>
      </c>
      <c r="ABA81">
        <v>4.9220000000000002E-3</v>
      </c>
      <c r="ABB81">
        <v>6.8529999999999997E-3</v>
      </c>
      <c r="ABC81">
        <v>4.6059999999999999E-3</v>
      </c>
      <c r="ABD81" t="s">
        <v>114</v>
      </c>
      <c r="ABE81">
        <v>8.5529999999999998E-3</v>
      </c>
      <c r="ABF81" t="s">
        <v>114</v>
      </c>
      <c r="ABG81">
        <v>5.8230000000000001E-3</v>
      </c>
      <c r="ABH81">
        <v>5.7590000000000002E-3</v>
      </c>
      <c r="ABI81" t="s">
        <v>114</v>
      </c>
      <c r="ABJ81">
        <v>1.6378E-2</v>
      </c>
      <c r="ABK81">
        <v>5.5240000000000003E-3</v>
      </c>
      <c r="ABL81">
        <v>1.3972999999999999E-2</v>
      </c>
      <c r="ABM81">
        <v>6.332E-3</v>
      </c>
      <c r="ABN81" t="s">
        <v>114</v>
      </c>
      <c r="ABO81" t="s">
        <v>114</v>
      </c>
      <c r="ABP81">
        <v>6.0179999999999999E-3</v>
      </c>
      <c r="ABQ81" t="s">
        <v>114</v>
      </c>
      <c r="ABR81">
        <v>1.5948E-2</v>
      </c>
      <c r="ABS81">
        <v>5.3350000000000003E-3</v>
      </c>
      <c r="ABT81" t="s">
        <v>114</v>
      </c>
      <c r="ABU81" t="s">
        <v>114</v>
      </c>
      <c r="ABV81" t="s">
        <v>114</v>
      </c>
      <c r="ABW81" t="s">
        <v>114</v>
      </c>
      <c r="ABX81">
        <v>3.6281000000000001E-2</v>
      </c>
      <c r="ABY81" t="s">
        <v>114</v>
      </c>
      <c r="ABZ81">
        <v>4.3499999999999997E-3</v>
      </c>
      <c r="ACA81">
        <v>5.5110000000000003E-3</v>
      </c>
      <c r="ACB81" t="s">
        <v>114</v>
      </c>
      <c r="ACC81">
        <v>4.7159999999999997E-3</v>
      </c>
      <c r="ACD81" t="s">
        <v>114</v>
      </c>
      <c r="ACE81" t="s">
        <v>114</v>
      </c>
      <c r="ACF81" t="s">
        <v>114</v>
      </c>
      <c r="ACG81" t="s">
        <v>114</v>
      </c>
      <c r="ACH81" t="s">
        <v>114</v>
      </c>
      <c r="ACI81" t="s">
        <v>114</v>
      </c>
      <c r="ACJ81" t="s">
        <v>114</v>
      </c>
      <c r="ACK81">
        <v>6.1149999999999998E-3</v>
      </c>
      <c r="ACL81">
        <v>7.7409999999999996E-3</v>
      </c>
      <c r="ACM81" t="s">
        <v>114</v>
      </c>
      <c r="ACN81">
        <v>2.3130999999999999E-2</v>
      </c>
      <c r="ACO81">
        <v>9.2669999999999992E-3</v>
      </c>
    </row>
    <row r="82" spans="1:769" x14ac:dyDescent="0.25">
      <c r="A82" t="s">
        <v>89</v>
      </c>
      <c r="B82" t="s">
        <v>114</v>
      </c>
      <c r="C82" t="s">
        <v>114</v>
      </c>
      <c r="D82">
        <v>3.1800000000000001E-3</v>
      </c>
      <c r="E82" t="s">
        <v>114</v>
      </c>
      <c r="F82">
        <v>3.1619999999999999E-3</v>
      </c>
      <c r="G82">
        <v>3.0349999999999999E-3</v>
      </c>
      <c r="H82">
        <v>4.9370000000000004E-3</v>
      </c>
      <c r="I82">
        <v>7.4920000000000004E-3</v>
      </c>
      <c r="J82" t="s">
        <v>114</v>
      </c>
      <c r="K82">
        <v>5.9199999999999999E-3</v>
      </c>
      <c r="L82" t="s">
        <v>114</v>
      </c>
      <c r="M82">
        <v>3.14E-3</v>
      </c>
      <c r="N82" t="s">
        <v>114</v>
      </c>
      <c r="O82">
        <v>3.382E-3</v>
      </c>
      <c r="P82">
        <v>3.6870000000000002E-3</v>
      </c>
      <c r="Q82">
        <v>6.9629999999999996E-3</v>
      </c>
      <c r="R82" t="s">
        <v>114</v>
      </c>
      <c r="S82" t="s">
        <v>114</v>
      </c>
      <c r="T82">
        <v>3.3600000000000001E-3</v>
      </c>
      <c r="U82">
        <v>3.1740000000000002E-3</v>
      </c>
      <c r="V82">
        <v>6.1539999999999997E-3</v>
      </c>
      <c r="W82" t="s">
        <v>114</v>
      </c>
      <c r="X82">
        <v>3.2680000000000001E-3</v>
      </c>
      <c r="Y82" t="s">
        <v>114</v>
      </c>
      <c r="Z82" t="s">
        <v>114</v>
      </c>
      <c r="AA82">
        <v>3.1949999999999999E-3</v>
      </c>
      <c r="AB82">
        <v>4.705E-3</v>
      </c>
      <c r="AC82">
        <v>3.7750000000000001E-3</v>
      </c>
      <c r="AD82" t="s">
        <v>114</v>
      </c>
      <c r="AE82">
        <v>3.2260000000000001E-3</v>
      </c>
      <c r="AF82">
        <v>1.108E-2</v>
      </c>
      <c r="AG82">
        <v>3.9699999999999996E-3</v>
      </c>
      <c r="AH82">
        <v>3.0899999999999999E-3</v>
      </c>
      <c r="AI82">
        <v>6.1599999999999997E-3</v>
      </c>
      <c r="AJ82">
        <v>3.4979999999999998E-3</v>
      </c>
      <c r="AK82">
        <v>5.006E-3</v>
      </c>
      <c r="AL82">
        <v>3.3679999999999999E-3</v>
      </c>
      <c r="AM82">
        <v>3.627E-3</v>
      </c>
      <c r="AN82">
        <v>3.908E-3</v>
      </c>
      <c r="AO82">
        <v>3.483E-3</v>
      </c>
      <c r="AP82">
        <v>4.9410000000000001E-3</v>
      </c>
      <c r="AQ82">
        <v>3.784E-3</v>
      </c>
      <c r="AR82">
        <v>3.3709999999999999E-3</v>
      </c>
      <c r="AS82">
        <v>4.8869999999999999E-3</v>
      </c>
      <c r="AT82" t="s">
        <v>114</v>
      </c>
      <c r="AU82">
        <v>6.7580000000000001E-3</v>
      </c>
      <c r="AV82" t="s">
        <v>114</v>
      </c>
      <c r="AW82">
        <v>3.5530000000000002E-3</v>
      </c>
      <c r="AX82">
        <v>3.9280000000000001E-3</v>
      </c>
      <c r="AY82">
        <v>4.6800000000000001E-3</v>
      </c>
      <c r="AZ82">
        <v>4.7759999999999999E-3</v>
      </c>
      <c r="BA82">
        <v>3.1380000000000002E-3</v>
      </c>
      <c r="BB82" t="s">
        <v>114</v>
      </c>
      <c r="BC82" t="s">
        <v>114</v>
      </c>
      <c r="BD82">
        <v>4.725E-3</v>
      </c>
      <c r="BE82">
        <v>3.3059999999999999E-3</v>
      </c>
      <c r="BF82">
        <v>3.8760000000000001E-3</v>
      </c>
      <c r="BG82">
        <v>5.7470000000000004E-3</v>
      </c>
      <c r="BH82">
        <v>5.8300000000000001E-3</v>
      </c>
      <c r="BI82">
        <v>3.934E-3</v>
      </c>
      <c r="BJ82">
        <v>3.6050000000000001E-3</v>
      </c>
      <c r="BK82">
        <v>4.9899999999999996E-3</v>
      </c>
      <c r="BL82" t="s">
        <v>114</v>
      </c>
      <c r="BM82">
        <v>3.8920000000000001E-3</v>
      </c>
      <c r="BN82" t="s">
        <v>114</v>
      </c>
      <c r="BO82" t="s">
        <v>114</v>
      </c>
      <c r="BP82">
        <v>5.4710000000000002E-3</v>
      </c>
      <c r="BQ82">
        <v>3.6900000000000001E-3</v>
      </c>
      <c r="BR82" t="s">
        <v>114</v>
      </c>
      <c r="BS82">
        <v>4.1469999999999996E-3</v>
      </c>
      <c r="BT82">
        <v>4.3800000000000002E-3</v>
      </c>
      <c r="BU82" t="s">
        <v>114</v>
      </c>
      <c r="BV82" t="s">
        <v>114</v>
      </c>
      <c r="BW82">
        <v>4.1939999999999998E-3</v>
      </c>
      <c r="BX82" t="s">
        <v>114</v>
      </c>
      <c r="BY82" t="s">
        <v>114</v>
      </c>
      <c r="BZ82">
        <v>4.0080000000000003E-3</v>
      </c>
      <c r="CA82" t="s">
        <v>114</v>
      </c>
      <c r="CB82">
        <v>8.5050000000000004E-3</v>
      </c>
      <c r="CC82">
        <v>5.0660000000000002E-3</v>
      </c>
      <c r="CD82">
        <v>8.7550000000000006E-3</v>
      </c>
      <c r="CE82">
        <v>7.4910000000000003E-3</v>
      </c>
      <c r="CF82" t="s">
        <v>114</v>
      </c>
      <c r="CG82">
        <v>3.3409999999999998E-3</v>
      </c>
      <c r="CH82" t="s">
        <v>114</v>
      </c>
      <c r="CI82">
        <v>3.9940000000000002E-3</v>
      </c>
      <c r="CJ82">
        <v>3.431E-3</v>
      </c>
      <c r="CK82">
        <v>4.0800000000000003E-3</v>
      </c>
      <c r="CL82">
        <v>4.509E-3</v>
      </c>
      <c r="CM82">
        <v>5.1929999999999997E-3</v>
      </c>
      <c r="CN82">
        <v>3.9199999999999999E-3</v>
      </c>
      <c r="CO82">
        <v>3.6189999999999998E-3</v>
      </c>
      <c r="CP82">
        <v>4.0720000000000001E-3</v>
      </c>
      <c r="CQ82">
        <v>6.3039999999999997E-3</v>
      </c>
      <c r="CR82">
        <v>4.6160000000000003E-3</v>
      </c>
      <c r="CS82">
        <v>9.2619999999999994E-3</v>
      </c>
      <c r="CT82" t="s">
        <v>114</v>
      </c>
      <c r="CU82">
        <v>3.764E-3</v>
      </c>
      <c r="CV82">
        <v>4.1799999999999997E-3</v>
      </c>
      <c r="CW82">
        <v>5.2100000000000002E-3</v>
      </c>
      <c r="CX82">
        <v>5.6150000000000002E-3</v>
      </c>
      <c r="CY82">
        <v>5.5710000000000004E-3</v>
      </c>
      <c r="CZ82">
        <v>4.3899999999999998E-3</v>
      </c>
      <c r="DA82" t="s">
        <v>114</v>
      </c>
      <c r="DB82">
        <v>5.2639999999999996E-3</v>
      </c>
      <c r="DC82">
        <v>3.8289999999999999E-3</v>
      </c>
      <c r="DD82">
        <v>3.3430000000000001E-3</v>
      </c>
      <c r="DE82">
        <v>6.7089999999999997E-3</v>
      </c>
      <c r="DF82">
        <v>3.9940000000000002E-3</v>
      </c>
      <c r="DG82">
        <v>4.7280000000000004E-3</v>
      </c>
      <c r="DH82">
        <v>6.3540000000000003E-3</v>
      </c>
      <c r="DI82">
        <v>3.4629999999999999E-3</v>
      </c>
      <c r="DJ82">
        <v>8.2710000000000006E-3</v>
      </c>
      <c r="DK82">
        <v>9.3170000000000006E-3</v>
      </c>
      <c r="DL82">
        <v>3.3159999999999999E-3</v>
      </c>
      <c r="DM82">
        <v>4.411E-3</v>
      </c>
      <c r="DN82" t="s">
        <v>114</v>
      </c>
      <c r="DO82">
        <v>3.9290000000000002E-3</v>
      </c>
      <c r="DP82">
        <v>8.182E-3</v>
      </c>
      <c r="DQ82">
        <v>3.454E-3</v>
      </c>
      <c r="DR82">
        <v>3.4009999999999999E-3</v>
      </c>
      <c r="DS82">
        <v>3.1819999999999999E-3</v>
      </c>
      <c r="DT82" t="s">
        <v>114</v>
      </c>
      <c r="DU82">
        <v>4.8999999999999998E-3</v>
      </c>
      <c r="DV82" t="s">
        <v>114</v>
      </c>
      <c r="DW82" t="s">
        <v>114</v>
      </c>
      <c r="DX82">
        <v>4.8630000000000001E-3</v>
      </c>
      <c r="DY82">
        <v>6.2680000000000001E-3</v>
      </c>
      <c r="DZ82">
        <v>5.0400000000000002E-3</v>
      </c>
      <c r="EA82">
        <v>3.532E-3</v>
      </c>
      <c r="EB82" t="s">
        <v>114</v>
      </c>
      <c r="EC82">
        <v>2.0559999999999998E-2</v>
      </c>
      <c r="ED82" t="s">
        <v>114</v>
      </c>
      <c r="EE82">
        <v>6.1659999999999996E-3</v>
      </c>
      <c r="EF82">
        <v>6.7080000000000004E-3</v>
      </c>
      <c r="EG82">
        <v>3.4589999999999998E-3</v>
      </c>
      <c r="EH82">
        <v>2.7640000000000001E-2</v>
      </c>
      <c r="EI82">
        <v>4.1739999999999998E-3</v>
      </c>
      <c r="EJ82">
        <v>1.0588999999999999E-2</v>
      </c>
      <c r="EK82">
        <v>1.3594999999999999E-2</v>
      </c>
      <c r="EL82">
        <v>6.4409999999999997E-3</v>
      </c>
      <c r="EM82">
        <v>5.6540000000000002E-3</v>
      </c>
      <c r="EN82">
        <v>8.7290000000000006E-3</v>
      </c>
      <c r="EO82" t="s">
        <v>114</v>
      </c>
      <c r="EP82">
        <v>5.8809999999999999E-3</v>
      </c>
      <c r="EQ82">
        <v>3.6939999999999998E-3</v>
      </c>
      <c r="ER82">
        <v>7.6039999999999996E-3</v>
      </c>
      <c r="ES82">
        <v>8.5800000000000008E-3</v>
      </c>
      <c r="ET82">
        <v>5.1840000000000002E-3</v>
      </c>
      <c r="EU82">
        <v>4.2969999999999996E-3</v>
      </c>
      <c r="EV82" t="s">
        <v>114</v>
      </c>
      <c r="EW82">
        <v>8.1169999999999992E-3</v>
      </c>
      <c r="EX82">
        <v>5.8430000000000001E-3</v>
      </c>
      <c r="EY82">
        <v>1.2851E-2</v>
      </c>
      <c r="EZ82">
        <v>1.6735E-2</v>
      </c>
      <c r="FA82">
        <v>5.8900000000000003E-3</v>
      </c>
      <c r="FB82" t="s">
        <v>114</v>
      </c>
      <c r="FC82">
        <v>1.055E-2</v>
      </c>
      <c r="FD82" t="s">
        <v>114</v>
      </c>
      <c r="FE82" t="s">
        <v>114</v>
      </c>
      <c r="FF82">
        <v>4.8300000000000001E-3</v>
      </c>
      <c r="FG82">
        <v>5.0540000000000003E-3</v>
      </c>
      <c r="FH82">
        <v>4.0949999999999997E-3</v>
      </c>
      <c r="FI82">
        <v>1.6784E-2</v>
      </c>
      <c r="FJ82">
        <v>5.3239999999999997E-3</v>
      </c>
      <c r="FK82">
        <v>4.6290000000000003E-3</v>
      </c>
      <c r="FL82">
        <v>3.8549999999999999E-3</v>
      </c>
      <c r="FM82">
        <v>7.8189999999999996E-3</v>
      </c>
      <c r="FN82" t="s">
        <v>114</v>
      </c>
      <c r="FO82" t="s">
        <v>114</v>
      </c>
      <c r="FP82">
        <v>4.5700000000000003E-3</v>
      </c>
      <c r="FQ82">
        <v>2.4445999999999999E-2</v>
      </c>
      <c r="FR82">
        <v>5.5100000000000001E-3</v>
      </c>
      <c r="FS82">
        <v>4.3940000000000003E-3</v>
      </c>
      <c r="FT82">
        <v>1.5782999999999998E-2</v>
      </c>
      <c r="FU82">
        <v>1.2675000000000001E-2</v>
      </c>
      <c r="FV82">
        <v>4.5750000000000001E-3</v>
      </c>
      <c r="FW82">
        <v>5.6350000000000003E-3</v>
      </c>
      <c r="FX82">
        <v>4.2189999999999997E-3</v>
      </c>
      <c r="FY82">
        <v>5.4219999999999997E-3</v>
      </c>
      <c r="FZ82">
        <v>4.6439999999999997E-3</v>
      </c>
      <c r="GA82">
        <v>5.5050000000000003E-3</v>
      </c>
      <c r="GB82">
        <v>9.3360000000000005E-3</v>
      </c>
      <c r="GC82">
        <v>6.7320000000000001E-3</v>
      </c>
      <c r="GD82">
        <v>3.3649999999999999E-3</v>
      </c>
      <c r="GE82">
        <v>3.9259999999999998E-3</v>
      </c>
      <c r="GF82">
        <v>6.7660000000000003E-3</v>
      </c>
      <c r="GG82">
        <v>2.3800000000000002E-2</v>
      </c>
      <c r="GH82">
        <v>5.1120000000000002E-3</v>
      </c>
      <c r="GI82" t="s">
        <v>114</v>
      </c>
      <c r="GJ82">
        <v>6.4700000000000001E-3</v>
      </c>
      <c r="GK82">
        <v>6.6689999999999996E-3</v>
      </c>
      <c r="GL82">
        <v>6.6E-3</v>
      </c>
      <c r="GM82" t="s">
        <v>114</v>
      </c>
      <c r="GN82">
        <v>8.6309999999999998E-3</v>
      </c>
      <c r="GO82" t="s">
        <v>114</v>
      </c>
      <c r="GP82">
        <v>4.4910000000000002E-3</v>
      </c>
      <c r="GQ82">
        <v>3.3010000000000001E-3</v>
      </c>
      <c r="GR82">
        <v>6.8349999999999999E-3</v>
      </c>
      <c r="GS82">
        <v>9.2599999999999991E-3</v>
      </c>
      <c r="GT82">
        <v>5.9189999999999998E-3</v>
      </c>
      <c r="GU82" t="s">
        <v>114</v>
      </c>
      <c r="GV82">
        <v>6.9909999999999998E-3</v>
      </c>
      <c r="GW82">
        <v>1.312E-2</v>
      </c>
      <c r="GX82">
        <v>5.574E-3</v>
      </c>
      <c r="GY82">
        <v>6.8519999999999996E-3</v>
      </c>
      <c r="GZ82">
        <v>3.7090000000000001E-3</v>
      </c>
      <c r="HA82">
        <v>1.0735E-2</v>
      </c>
      <c r="HB82">
        <v>6.2839999999999997E-3</v>
      </c>
      <c r="HC82">
        <v>7.3509999999999999E-3</v>
      </c>
      <c r="HD82">
        <v>1.4368000000000001E-2</v>
      </c>
      <c r="HE82">
        <v>1.3584000000000001E-2</v>
      </c>
      <c r="HF82" t="s">
        <v>114</v>
      </c>
      <c r="HG82">
        <v>4.731E-3</v>
      </c>
      <c r="HH82">
        <v>3.9370000000000004E-3</v>
      </c>
      <c r="HI82">
        <v>4.8679999999999999E-3</v>
      </c>
      <c r="HJ82">
        <v>4.0819999999999997E-3</v>
      </c>
      <c r="HK82">
        <v>7.7860000000000004E-3</v>
      </c>
      <c r="HL82">
        <v>8.8489999999999992E-3</v>
      </c>
      <c r="HM82">
        <v>8.2400000000000008E-3</v>
      </c>
      <c r="HN82">
        <v>5.934E-3</v>
      </c>
      <c r="HO82">
        <v>3.4039999999999999E-3</v>
      </c>
      <c r="HP82">
        <v>6.6400000000000001E-3</v>
      </c>
      <c r="HQ82">
        <v>5.4539999999999996E-3</v>
      </c>
      <c r="HR82">
        <v>7.3280000000000003E-3</v>
      </c>
      <c r="HS82">
        <v>1.592E-2</v>
      </c>
      <c r="HT82">
        <v>3.8310000000000002E-3</v>
      </c>
      <c r="HU82">
        <v>3.48E-3</v>
      </c>
      <c r="HV82" t="s">
        <v>114</v>
      </c>
      <c r="HW82" t="s">
        <v>114</v>
      </c>
      <c r="HX82">
        <v>5.1749999999999999E-3</v>
      </c>
      <c r="HY82">
        <v>3.588E-3</v>
      </c>
      <c r="HZ82">
        <v>4.0010000000000002E-3</v>
      </c>
      <c r="IA82">
        <v>9.3600000000000003E-3</v>
      </c>
      <c r="IB82" t="s">
        <v>114</v>
      </c>
      <c r="IC82" t="s">
        <v>114</v>
      </c>
      <c r="ID82" t="s">
        <v>114</v>
      </c>
      <c r="IE82">
        <v>3.5000000000000001E-3</v>
      </c>
      <c r="IF82">
        <v>4.8399999999999997E-3</v>
      </c>
      <c r="IG82" t="s">
        <v>114</v>
      </c>
      <c r="IH82">
        <v>5.8739999999999999E-3</v>
      </c>
      <c r="II82" t="s">
        <v>114</v>
      </c>
      <c r="IJ82">
        <v>4.7460000000000002E-3</v>
      </c>
      <c r="IK82" t="s">
        <v>114</v>
      </c>
      <c r="IL82" t="s">
        <v>114</v>
      </c>
      <c r="IM82" t="s">
        <v>114</v>
      </c>
      <c r="IN82">
        <v>3.9110000000000004E-3</v>
      </c>
      <c r="IO82">
        <v>4.313E-3</v>
      </c>
      <c r="IP82">
        <v>4.3810000000000003E-3</v>
      </c>
      <c r="IQ82" t="s">
        <v>114</v>
      </c>
      <c r="IR82">
        <v>3.7209999999999999E-3</v>
      </c>
      <c r="IS82">
        <v>4.8599999999999997E-3</v>
      </c>
      <c r="IT82">
        <v>7.7799999999999996E-3</v>
      </c>
      <c r="IU82">
        <v>1.142E-2</v>
      </c>
      <c r="IV82">
        <v>1.5180000000000001E-2</v>
      </c>
      <c r="IW82">
        <v>1.0165E-2</v>
      </c>
      <c r="IX82">
        <v>9.3279999999999995E-3</v>
      </c>
      <c r="IY82">
        <v>2.9030000000000002E-3</v>
      </c>
      <c r="IZ82">
        <v>6.2110000000000004E-3</v>
      </c>
      <c r="JA82">
        <v>4.4910000000000002E-3</v>
      </c>
      <c r="JB82">
        <v>3.467E-3</v>
      </c>
      <c r="JC82">
        <v>7.3350000000000004E-3</v>
      </c>
      <c r="JD82">
        <v>3.1489999999999999E-3</v>
      </c>
      <c r="JE82">
        <v>8.005E-3</v>
      </c>
      <c r="JF82">
        <v>3.5200000000000001E-3</v>
      </c>
      <c r="JG82">
        <v>2.9780000000000002E-3</v>
      </c>
      <c r="JH82">
        <v>5.6140000000000001E-3</v>
      </c>
      <c r="JI82" t="s">
        <v>114</v>
      </c>
      <c r="JJ82" t="s">
        <v>114</v>
      </c>
      <c r="JK82">
        <v>6.0169999999999998E-3</v>
      </c>
      <c r="JL82">
        <v>2.898E-3</v>
      </c>
      <c r="JM82">
        <v>3.8409999999999998E-3</v>
      </c>
      <c r="JN82">
        <v>4.5529999999999998E-3</v>
      </c>
      <c r="JO82" t="s">
        <v>114</v>
      </c>
      <c r="JP82">
        <v>4.2050000000000004E-3</v>
      </c>
      <c r="JQ82">
        <v>5.7400000000000003E-3</v>
      </c>
      <c r="JR82">
        <v>5.0800000000000003E-3</v>
      </c>
      <c r="JS82" t="s">
        <v>114</v>
      </c>
      <c r="JT82" t="s">
        <v>114</v>
      </c>
      <c r="JU82">
        <v>4.7999999999999996E-3</v>
      </c>
      <c r="JV82" t="s">
        <v>114</v>
      </c>
      <c r="JW82">
        <v>2.4174999999999999E-2</v>
      </c>
      <c r="JX82" t="s">
        <v>114</v>
      </c>
      <c r="JY82">
        <v>6.8320000000000004E-3</v>
      </c>
      <c r="JZ82" t="s">
        <v>114</v>
      </c>
      <c r="KA82" t="s">
        <v>114</v>
      </c>
      <c r="KB82" t="s">
        <v>114</v>
      </c>
      <c r="KC82" t="s">
        <v>114</v>
      </c>
      <c r="KD82">
        <v>4.3020000000000003E-3</v>
      </c>
      <c r="KE82">
        <v>8.2609999999999992E-3</v>
      </c>
      <c r="KF82">
        <v>5.2230000000000002E-3</v>
      </c>
      <c r="KG82">
        <v>4.0499999999999998E-3</v>
      </c>
      <c r="KH82" t="s">
        <v>114</v>
      </c>
      <c r="KI82">
        <v>1.4970000000000001E-2</v>
      </c>
      <c r="KJ82">
        <v>8.5730000000000008E-3</v>
      </c>
      <c r="KK82">
        <v>3.702E-3</v>
      </c>
      <c r="KL82" t="s">
        <v>114</v>
      </c>
      <c r="KM82">
        <v>6.4749999999999999E-3</v>
      </c>
      <c r="KN82">
        <v>5.5430000000000002E-3</v>
      </c>
      <c r="KO82" t="s">
        <v>114</v>
      </c>
      <c r="KP82">
        <v>8.4370000000000001E-3</v>
      </c>
      <c r="KQ82">
        <v>1.3169999999999999E-2</v>
      </c>
      <c r="KR82">
        <v>8.1060000000000004E-3</v>
      </c>
      <c r="KS82">
        <v>4.4949999999999999E-3</v>
      </c>
      <c r="KT82">
        <v>5.1809999999999998E-3</v>
      </c>
      <c r="KU82" t="s">
        <v>114</v>
      </c>
      <c r="KV82">
        <v>1.5959999999999998E-2</v>
      </c>
      <c r="KW82">
        <v>3.104E-3</v>
      </c>
      <c r="KX82">
        <v>9.1420000000000008E-3</v>
      </c>
      <c r="KY82">
        <v>4.7840000000000001E-3</v>
      </c>
      <c r="KZ82">
        <v>8.5640000000000004E-3</v>
      </c>
      <c r="LA82">
        <v>5.1390000000000003E-3</v>
      </c>
      <c r="LB82">
        <v>1.3061E-2</v>
      </c>
      <c r="LC82">
        <v>6.1089999999999998E-3</v>
      </c>
      <c r="LD82" t="s">
        <v>114</v>
      </c>
      <c r="LE82">
        <v>1.098E-2</v>
      </c>
      <c r="LF82">
        <v>2.2478000000000001E-2</v>
      </c>
      <c r="LG82">
        <v>5.3150000000000003E-3</v>
      </c>
      <c r="LH82">
        <v>9.0679999999999997E-3</v>
      </c>
      <c r="LI82">
        <v>8.6020000000000003E-3</v>
      </c>
      <c r="LJ82">
        <v>5.3109999999999997E-3</v>
      </c>
      <c r="LK82">
        <v>4.3160000000000004E-3</v>
      </c>
      <c r="LL82">
        <v>3.9309999999999996E-3</v>
      </c>
      <c r="LM82">
        <v>5.8539999999999998E-3</v>
      </c>
      <c r="LN82">
        <v>6.045E-3</v>
      </c>
      <c r="LO82">
        <v>4.3680000000000004E-3</v>
      </c>
      <c r="LP82">
        <v>7.3379999999999999E-3</v>
      </c>
      <c r="LQ82">
        <v>4.4120000000000001E-3</v>
      </c>
      <c r="LR82" t="s">
        <v>114</v>
      </c>
      <c r="LS82">
        <v>1.7697000000000001E-2</v>
      </c>
      <c r="LT82">
        <v>7.012E-3</v>
      </c>
      <c r="LU82">
        <v>6.7749999999999998E-3</v>
      </c>
      <c r="LV82">
        <v>3.336E-3</v>
      </c>
      <c r="LW82">
        <v>7.3200000000000001E-3</v>
      </c>
      <c r="LX82">
        <v>5.5279999999999999E-3</v>
      </c>
      <c r="LY82">
        <v>4.9030000000000002E-3</v>
      </c>
      <c r="LZ82">
        <v>5.9899999999999997E-3</v>
      </c>
      <c r="MA82">
        <v>1.3306E-2</v>
      </c>
      <c r="MB82">
        <v>8.3649999999999992E-3</v>
      </c>
      <c r="MC82">
        <v>6.2300000000000003E-3</v>
      </c>
      <c r="MD82">
        <v>5.672E-3</v>
      </c>
      <c r="ME82">
        <v>6.0720000000000001E-3</v>
      </c>
      <c r="MF82">
        <v>3.1050000000000001E-3</v>
      </c>
      <c r="MG82">
        <v>5.0800000000000003E-3</v>
      </c>
      <c r="MH82">
        <v>3.3061E-2</v>
      </c>
      <c r="MI82">
        <v>3.2160000000000001E-3</v>
      </c>
      <c r="MJ82">
        <v>7.7819999999999999E-3</v>
      </c>
      <c r="MK82">
        <v>5.973E-3</v>
      </c>
      <c r="ML82" t="s">
        <v>114</v>
      </c>
      <c r="MM82">
        <v>6.2509999999999996E-3</v>
      </c>
      <c r="MN82">
        <v>4.1139999999999996E-3</v>
      </c>
      <c r="MO82">
        <v>3.519E-3</v>
      </c>
      <c r="MP82">
        <v>3.2620000000000001E-3</v>
      </c>
      <c r="MQ82">
        <v>1.0326E-2</v>
      </c>
      <c r="MR82">
        <v>8.2470000000000009E-3</v>
      </c>
      <c r="MS82" t="s">
        <v>114</v>
      </c>
      <c r="MT82">
        <v>3.1480000000000002E-3</v>
      </c>
      <c r="MU82">
        <v>6.3759999999999997E-3</v>
      </c>
      <c r="MV82">
        <v>3.4940000000000001E-3</v>
      </c>
      <c r="MW82">
        <v>3.9240000000000004E-3</v>
      </c>
      <c r="MX82" t="s">
        <v>114</v>
      </c>
      <c r="MY82" t="s">
        <v>114</v>
      </c>
      <c r="MZ82">
        <v>5.3099999999999996E-3</v>
      </c>
      <c r="NA82">
        <v>7.8150000000000008E-3</v>
      </c>
      <c r="NB82">
        <v>1.4456E-2</v>
      </c>
      <c r="NC82">
        <v>6.9150000000000001E-3</v>
      </c>
      <c r="ND82">
        <v>3.568E-3</v>
      </c>
      <c r="NE82">
        <v>8.8979999999999997E-3</v>
      </c>
      <c r="NF82">
        <v>3.9170000000000003E-3</v>
      </c>
      <c r="NG82">
        <v>5.3499999999999997E-3</v>
      </c>
      <c r="NH82">
        <v>3.7399999999999998E-3</v>
      </c>
      <c r="NI82">
        <v>3.4780000000000002E-3</v>
      </c>
      <c r="NJ82">
        <v>2.99E-3</v>
      </c>
      <c r="NK82">
        <v>5.3790000000000001E-3</v>
      </c>
      <c r="NL82">
        <v>2.862E-3</v>
      </c>
      <c r="NM82">
        <v>4.2940000000000001E-3</v>
      </c>
      <c r="NN82">
        <v>4.339E-3</v>
      </c>
      <c r="NO82">
        <v>3.0109999999999998E-3</v>
      </c>
      <c r="NP82">
        <v>2.9020000000000001E-3</v>
      </c>
      <c r="NQ82">
        <v>5.4400000000000004E-3</v>
      </c>
      <c r="NR82">
        <v>3.558E-3</v>
      </c>
      <c r="NS82">
        <v>4.0229999999999997E-3</v>
      </c>
      <c r="NT82">
        <v>3.7260000000000001E-3</v>
      </c>
      <c r="NU82">
        <v>3.9050000000000001E-3</v>
      </c>
      <c r="NV82">
        <v>3.748E-3</v>
      </c>
      <c r="NW82">
        <v>4.7470000000000004E-3</v>
      </c>
      <c r="NX82">
        <v>5.1749999999999999E-3</v>
      </c>
      <c r="NY82" t="s">
        <v>114</v>
      </c>
      <c r="NZ82" t="s">
        <v>114</v>
      </c>
      <c r="OA82">
        <v>1.477E-2</v>
      </c>
      <c r="OB82">
        <v>3.372E-3</v>
      </c>
      <c r="OC82">
        <v>4.3379999999999998E-3</v>
      </c>
      <c r="OD82">
        <v>5.862E-3</v>
      </c>
      <c r="OE82">
        <v>1.2741000000000001E-2</v>
      </c>
      <c r="OF82">
        <v>4.9199999999999999E-3</v>
      </c>
      <c r="OG82">
        <v>3.1319999999999998E-3</v>
      </c>
      <c r="OH82">
        <v>2.875E-3</v>
      </c>
      <c r="OI82" t="s">
        <v>114</v>
      </c>
      <c r="OJ82">
        <v>3.0890000000000002E-3</v>
      </c>
      <c r="OK82">
        <v>3.2620000000000001E-3</v>
      </c>
      <c r="OL82">
        <v>3.7889999999999998E-3</v>
      </c>
      <c r="OM82">
        <v>7.7200000000000003E-3</v>
      </c>
      <c r="ON82">
        <v>3.3170000000000001E-3</v>
      </c>
      <c r="OO82" t="s">
        <v>114</v>
      </c>
      <c r="OP82">
        <v>3.5699999999999998E-3</v>
      </c>
      <c r="OQ82" t="s">
        <v>114</v>
      </c>
      <c r="OR82" t="s">
        <v>114</v>
      </c>
      <c r="OS82">
        <v>2.1173000000000001E-2</v>
      </c>
      <c r="OT82" t="s">
        <v>114</v>
      </c>
      <c r="OU82" t="s">
        <v>114</v>
      </c>
      <c r="OV82" t="s">
        <v>114</v>
      </c>
      <c r="OW82" t="s">
        <v>114</v>
      </c>
      <c r="OX82" t="s">
        <v>114</v>
      </c>
      <c r="OY82" t="s">
        <v>114</v>
      </c>
      <c r="OZ82" t="s">
        <v>114</v>
      </c>
      <c r="PA82" t="s">
        <v>114</v>
      </c>
      <c r="PB82">
        <v>3.7269999999999998E-3</v>
      </c>
      <c r="PC82">
        <v>3.6600000000000001E-3</v>
      </c>
      <c r="PD82" t="s">
        <v>114</v>
      </c>
      <c r="PE82">
        <v>4.9750000000000003E-3</v>
      </c>
      <c r="PF82">
        <v>1.4186000000000001E-2</v>
      </c>
      <c r="PG82">
        <v>5.522E-3</v>
      </c>
      <c r="PH82">
        <v>4.738E-3</v>
      </c>
      <c r="PI82">
        <v>3.074E-2</v>
      </c>
      <c r="PJ82">
        <v>8.6199999999999992E-3</v>
      </c>
      <c r="PK82">
        <v>5.5160000000000001E-3</v>
      </c>
      <c r="PL82">
        <v>0.01</v>
      </c>
      <c r="PM82">
        <v>5.3660000000000001E-3</v>
      </c>
      <c r="PN82" t="s">
        <v>114</v>
      </c>
      <c r="PO82" t="s">
        <v>114</v>
      </c>
      <c r="PP82">
        <v>1.3582E-2</v>
      </c>
      <c r="PQ82">
        <v>8.4700000000000001E-3</v>
      </c>
      <c r="PR82">
        <v>6.3769999999999999E-3</v>
      </c>
      <c r="PS82">
        <v>3.4009999999999999E-3</v>
      </c>
      <c r="PT82">
        <v>1.6905E-2</v>
      </c>
      <c r="PU82">
        <v>3.8210000000000002E-3</v>
      </c>
      <c r="PV82">
        <v>3.0270000000000002E-3</v>
      </c>
      <c r="PW82">
        <v>3.9820000000000003E-3</v>
      </c>
      <c r="PX82">
        <v>3.6960000000000001E-3</v>
      </c>
      <c r="PY82">
        <v>5.6429999999999996E-3</v>
      </c>
      <c r="PZ82">
        <v>3.094E-3</v>
      </c>
      <c r="QA82">
        <v>7.8569999999999994E-3</v>
      </c>
      <c r="QB82">
        <v>5.8919999999999997E-3</v>
      </c>
      <c r="QC82">
        <v>1.1717E-2</v>
      </c>
      <c r="QD82">
        <v>5.1749999999999999E-3</v>
      </c>
      <c r="QE82">
        <v>4.8739999999999999E-3</v>
      </c>
      <c r="QF82">
        <v>4.7130000000000002E-3</v>
      </c>
      <c r="QG82">
        <v>4.8079999999999998E-3</v>
      </c>
      <c r="QH82" t="s">
        <v>114</v>
      </c>
      <c r="QI82" t="s">
        <v>114</v>
      </c>
      <c r="QJ82">
        <v>3.483E-3</v>
      </c>
      <c r="QK82">
        <v>4.9569999999999996E-3</v>
      </c>
      <c r="QL82" t="s">
        <v>114</v>
      </c>
      <c r="QM82">
        <v>5.64E-3</v>
      </c>
      <c r="QN82" t="s">
        <v>114</v>
      </c>
      <c r="QO82">
        <v>9.8399999999999998E-3</v>
      </c>
      <c r="QP82">
        <v>8.7449999999999993E-3</v>
      </c>
      <c r="QQ82" t="s">
        <v>114</v>
      </c>
      <c r="QR82" t="s">
        <v>114</v>
      </c>
      <c r="QS82">
        <v>8.6350000000000003E-3</v>
      </c>
      <c r="QT82" t="s">
        <v>114</v>
      </c>
      <c r="QU82" t="s">
        <v>114</v>
      </c>
      <c r="QV82">
        <v>4.182E-3</v>
      </c>
      <c r="QW82">
        <v>3.1900000000000001E-3</v>
      </c>
      <c r="QX82">
        <v>1.2390999999999999E-2</v>
      </c>
      <c r="QY82">
        <v>8.5170000000000003E-3</v>
      </c>
      <c r="QZ82">
        <v>4.986E-3</v>
      </c>
      <c r="RA82">
        <v>4.3270000000000001E-3</v>
      </c>
      <c r="RB82">
        <v>3.0769999999999999E-3</v>
      </c>
      <c r="RC82">
        <v>3.0346000000000001E-2</v>
      </c>
      <c r="RD82">
        <v>8.4790000000000004E-3</v>
      </c>
      <c r="RE82">
        <v>3.7520000000000001E-3</v>
      </c>
      <c r="RF82">
        <v>4.8910000000000004E-3</v>
      </c>
      <c r="RG82">
        <v>4.6829999999999997E-3</v>
      </c>
      <c r="RH82">
        <v>7.1780000000000004E-3</v>
      </c>
      <c r="RI82">
        <v>7.071E-3</v>
      </c>
      <c r="RJ82">
        <v>3.2980000000000002E-3</v>
      </c>
      <c r="RK82">
        <v>6.8459999999999997E-3</v>
      </c>
      <c r="RL82">
        <v>5.2389999999999997E-3</v>
      </c>
      <c r="RM82">
        <v>3.4030000000000002E-3</v>
      </c>
      <c r="RN82" t="s">
        <v>114</v>
      </c>
      <c r="RO82">
        <v>3.5279999999999999E-3</v>
      </c>
      <c r="RP82">
        <v>6.5599999999999999E-3</v>
      </c>
      <c r="RQ82">
        <v>4.8999999999999998E-3</v>
      </c>
      <c r="RR82">
        <v>5.7710000000000001E-3</v>
      </c>
      <c r="RS82">
        <v>5.6350000000000003E-3</v>
      </c>
      <c r="RT82">
        <v>3.3159999999999999E-3</v>
      </c>
      <c r="RU82">
        <v>7.1209999999999997E-3</v>
      </c>
      <c r="RV82">
        <v>3.1819999999999999E-3</v>
      </c>
      <c r="RW82">
        <v>5.0930000000000003E-3</v>
      </c>
      <c r="RX82">
        <v>4.7400000000000003E-3</v>
      </c>
      <c r="RY82">
        <v>3.2889999999999998E-3</v>
      </c>
      <c r="RZ82">
        <v>4.9950000000000003E-3</v>
      </c>
      <c r="SA82">
        <v>7.0179999999999999E-3</v>
      </c>
      <c r="SB82">
        <v>1.108E-2</v>
      </c>
      <c r="SC82">
        <v>4.7920000000000003E-3</v>
      </c>
      <c r="SD82">
        <v>3.6050000000000001E-3</v>
      </c>
      <c r="SE82">
        <v>3.225E-3</v>
      </c>
      <c r="SF82">
        <v>4.4380000000000001E-3</v>
      </c>
      <c r="SG82">
        <v>3.2599999999999999E-3</v>
      </c>
      <c r="SH82" t="s">
        <v>114</v>
      </c>
      <c r="SI82">
        <v>3.0639999999999999E-3</v>
      </c>
      <c r="SJ82">
        <v>1.4017999999999999E-2</v>
      </c>
      <c r="SK82" t="s">
        <v>114</v>
      </c>
      <c r="SL82" t="s">
        <v>114</v>
      </c>
      <c r="SM82">
        <v>7.8799999999999999E-3</v>
      </c>
      <c r="SN82">
        <v>3.2169999999999998E-3</v>
      </c>
      <c r="SO82" t="s">
        <v>114</v>
      </c>
      <c r="SP82">
        <v>5.692E-3</v>
      </c>
      <c r="SQ82">
        <v>6.4019999999999997E-3</v>
      </c>
      <c r="SR82">
        <v>4.274E-3</v>
      </c>
      <c r="SS82">
        <v>3.7009999999999999E-3</v>
      </c>
      <c r="ST82">
        <v>6.6410000000000002E-3</v>
      </c>
      <c r="SU82">
        <v>3.7669999999999999E-3</v>
      </c>
      <c r="SV82">
        <v>5.7070000000000003E-3</v>
      </c>
      <c r="SW82">
        <v>3.3809999999999999E-3</v>
      </c>
      <c r="SX82">
        <v>4.9199999999999999E-3</v>
      </c>
      <c r="SY82">
        <v>3.594E-3</v>
      </c>
      <c r="SZ82">
        <v>6.9849999999999999E-3</v>
      </c>
      <c r="TA82">
        <v>3.104E-3</v>
      </c>
      <c r="TB82">
        <v>4.1180000000000001E-3</v>
      </c>
      <c r="TC82">
        <v>3.2339999999999999E-3</v>
      </c>
      <c r="TD82">
        <v>3.3540000000000002E-3</v>
      </c>
      <c r="TE82">
        <v>3.6250000000000002E-3</v>
      </c>
      <c r="TF82">
        <v>3.9760000000000004E-3</v>
      </c>
      <c r="TG82">
        <v>5.7089999999999997E-3</v>
      </c>
      <c r="TH82">
        <v>3.5690000000000001E-3</v>
      </c>
      <c r="TI82">
        <v>4.581E-3</v>
      </c>
      <c r="TJ82" t="s">
        <v>114</v>
      </c>
      <c r="TK82">
        <v>5.9810000000000002E-3</v>
      </c>
      <c r="TL82" t="s">
        <v>114</v>
      </c>
      <c r="TM82" t="s">
        <v>114</v>
      </c>
      <c r="TN82">
        <v>4.2469999999999999E-3</v>
      </c>
      <c r="TO82" t="s">
        <v>114</v>
      </c>
      <c r="TP82">
        <v>5.666E-3</v>
      </c>
      <c r="TQ82">
        <v>5.8320000000000004E-3</v>
      </c>
      <c r="TR82">
        <v>8.9119999999999998E-3</v>
      </c>
      <c r="TS82">
        <v>5.5139999999999998E-3</v>
      </c>
      <c r="TT82">
        <v>7.1199999999999996E-3</v>
      </c>
      <c r="TU82" t="s">
        <v>114</v>
      </c>
      <c r="TV82">
        <v>4.9280000000000001E-3</v>
      </c>
      <c r="TW82">
        <v>1.2160000000000001E-2</v>
      </c>
      <c r="TX82">
        <v>3.669E-3</v>
      </c>
      <c r="TY82" t="s">
        <v>114</v>
      </c>
      <c r="TZ82">
        <v>5.156E-3</v>
      </c>
      <c r="UA82">
        <v>4.9259999999999998E-3</v>
      </c>
      <c r="UB82">
        <v>5.1209999999999997E-3</v>
      </c>
      <c r="UC82" t="s">
        <v>114</v>
      </c>
      <c r="UD82">
        <v>5.3550000000000004E-3</v>
      </c>
      <c r="UE82">
        <v>3.9360000000000003E-3</v>
      </c>
      <c r="UF82">
        <v>6.1720000000000004E-3</v>
      </c>
      <c r="UG82">
        <v>6.8349999999999999E-3</v>
      </c>
      <c r="UH82" t="s">
        <v>114</v>
      </c>
      <c r="UI82">
        <v>3.8409999999999998E-3</v>
      </c>
      <c r="UJ82">
        <v>6.3080000000000002E-3</v>
      </c>
      <c r="UK82">
        <v>6.6829999999999997E-3</v>
      </c>
      <c r="UL82">
        <v>4.2189999999999997E-3</v>
      </c>
      <c r="UM82" t="s">
        <v>114</v>
      </c>
      <c r="UN82" t="s">
        <v>114</v>
      </c>
      <c r="UO82" t="s">
        <v>114</v>
      </c>
      <c r="UP82">
        <v>3.6819999999999999E-3</v>
      </c>
      <c r="UQ82" t="s">
        <v>114</v>
      </c>
      <c r="UR82">
        <v>4.228E-3</v>
      </c>
      <c r="US82">
        <v>4.4939999999999997E-3</v>
      </c>
      <c r="UT82">
        <v>5.3359999999999996E-3</v>
      </c>
      <c r="UU82">
        <v>3.8289999999999999E-3</v>
      </c>
      <c r="UV82">
        <v>4.0070000000000001E-3</v>
      </c>
      <c r="UW82" t="s">
        <v>114</v>
      </c>
      <c r="UX82">
        <v>3.8969999999999999E-3</v>
      </c>
      <c r="UY82">
        <v>3.7160000000000001E-3</v>
      </c>
      <c r="UZ82" t="s">
        <v>114</v>
      </c>
      <c r="VA82">
        <v>3.7729999999999999E-3</v>
      </c>
      <c r="VB82">
        <v>1.008E-2</v>
      </c>
      <c r="VC82" t="s">
        <v>114</v>
      </c>
      <c r="VD82">
        <v>8.8000000000000005E-3</v>
      </c>
      <c r="VE82">
        <v>5.306E-3</v>
      </c>
      <c r="VF82">
        <v>3.9630000000000004E-3</v>
      </c>
      <c r="VG82">
        <v>4.9290000000000002E-3</v>
      </c>
      <c r="VH82">
        <v>1.0709E-2</v>
      </c>
      <c r="VI82" t="s">
        <v>114</v>
      </c>
      <c r="VJ82" t="s">
        <v>114</v>
      </c>
      <c r="VK82" t="s">
        <v>114</v>
      </c>
      <c r="VL82" t="s">
        <v>114</v>
      </c>
      <c r="VM82" t="s">
        <v>114</v>
      </c>
      <c r="VN82">
        <v>8.3999999999999995E-3</v>
      </c>
      <c r="VO82">
        <v>4.5149999999999999E-3</v>
      </c>
      <c r="VP82">
        <v>7.1050000000000002E-3</v>
      </c>
      <c r="VQ82">
        <v>6.4380000000000001E-3</v>
      </c>
      <c r="VR82">
        <v>9.7359999999999999E-3</v>
      </c>
      <c r="VS82">
        <v>8.5830000000000004E-3</v>
      </c>
      <c r="VT82" t="s">
        <v>114</v>
      </c>
      <c r="VU82">
        <v>8.3459999999999993E-3</v>
      </c>
      <c r="VV82" t="s">
        <v>114</v>
      </c>
      <c r="VW82">
        <v>2.0400000000000001E-2</v>
      </c>
      <c r="VX82" t="s">
        <v>114</v>
      </c>
      <c r="VY82">
        <v>4.058E-3</v>
      </c>
      <c r="VZ82">
        <v>3.7109999999999999E-3</v>
      </c>
      <c r="WA82" t="s">
        <v>114</v>
      </c>
      <c r="WB82" t="s">
        <v>114</v>
      </c>
      <c r="WC82" t="s">
        <v>114</v>
      </c>
      <c r="WD82">
        <v>1.6029999999999999E-2</v>
      </c>
      <c r="WE82">
        <v>2.2204999999999999E-2</v>
      </c>
      <c r="WF82">
        <v>8.489E-3</v>
      </c>
      <c r="WG82">
        <v>7.1469999999999997E-3</v>
      </c>
      <c r="WH82" t="s">
        <v>114</v>
      </c>
      <c r="WI82">
        <v>8.7919999999999995E-3</v>
      </c>
      <c r="WJ82">
        <v>7.2529999999999999E-3</v>
      </c>
      <c r="WK82">
        <v>5.6740000000000002E-3</v>
      </c>
      <c r="WL82" t="s">
        <v>114</v>
      </c>
      <c r="WM82">
        <v>6.7409999999999996E-3</v>
      </c>
      <c r="WN82">
        <v>3.6900000000000001E-3</v>
      </c>
      <c r="WO82">
        <v>4.5989999999999998E-3</v>
      </c>
      <c r="WP82">
        <v>4.1529999999999996E-3</v>
      </c>
      <c r="WQ82">
        <v>3.5590000000000001E-3</v>
      </c>
      <c r="WR82" t="s">
        <v>114</v>
      </c>
      <c r="WS82">
        <v>3.5950000000000001E-3</v>
      </c>
      <c r="WT82" t="s">
        <v>114</v>
      </c>
      <c r="WU82">
        <v>9.3799999999999994E-3</v>
      </c>
      <c r="WV82" t="s">
        <v>114</v>
      </c>
      <c r="WW82">
        <v>8.5749999999999993E-3</v>
      </c>
      <c r="WX82">
        <v>9.6399999999999993E-3</v>
      </c>
      <c r="WY82">
        <v>1.4239999999999999E-2</v>
      </c>
      <c r="WZ82" t="s">
        <v>114</v>
      </c>
      <c r="XA82">
        <v>4.96E-3</v>
      </c>
      <c r="XB82" t="s">
        <v>114</v>
      </c>
      <c r="XC82">
        <v>5.483E-3</v>
      </c>
      <c r="XD82">
        <v>1.1464E-2</v>
      </c>
      <c r="XE82">
        <v>5.2459999999999998E-3</v>
      </c>
      <c r="XF82" t="s">
        <v>114</v>
      </c>
      <c r="XG82">
        <v>5.5729999999999998E-3</v>
      </c>
      <c r="XH82">
        <v>3.6419999999999998E-3</v>
      </c>
      <c r="XI82">
        <v>3.8E-3</v>
      </c>
      <c r="XJ82">
        <v>8.3490000000000005E-3</v>
      </c>
      <c r="XK82">
        <v>4.3319999999999999E-3</v>
      </c>
      <c r="XL82">
        <v>7.2589999999999998E-3</v>
      </c>
      <c r="XM82">
        <v>4.1869999999999997E-3</v>
      </c>
      <c r="XN82">
        <v>5.437E-3</v>
      </c>
      <c r="XO82">
        <v>2.172E-2</v>
      </c>
      <c r="XP82" t="s">
        <v>114</v>
      </c>
      <c r="XQ82" t="s">
        <v>114</v>
      </c>
      <c r="XR82">
        <v>1.1039999999999999E-2</v>
      </c>
      <c r="XS82">
        <v>8.7039999999999999E-3</v>
      </c>
      <c r="XT82">
        <v>3.6719999999999999E-3</v>
      </c>
      <c r="XU82" t="s">
        <v>114</v>
      </c>
      <c r="XV82" t="s">
        <v>114</v>
      </c>
      <c r="XW82" t="s">
        <v>114</v>
      </c>
      <c r="XX82">
        <v>6.5890000000000002E-3</v>
      </c>
      <c r="XY82">
        <v>6.4970000000000002E-3</v>
      </c>
      <c r="XZ82">
        <v>9.5370000000000003E-3</v>
      </c>
      <c r="YA82">
        <v>5.9020000000000001E-3</v>
      </c>
      <c r="YB82">
        <v>1.3313999999999999E-2</v>
      </c>
      <c r="YC82">
        <v>4.4140000000000004E-3</v>
      </c>
      <c r="YD82" t="s">
        <v>114</v>
      </c>
      <c r="YE82">
        <v>9.4000000000000004E-3</v>
      </c>
      <c r="YF82" t="s">
        <v>114</v>
      </c>
      <c r="YG82">
        <v>4.2659999999999998E-3</v>
      </c>
      <c r="YH82" t="s">
        <v>114</v>
      </c>
      <c r="YI82" t="s">
        <v>114</v>
      </c>
      <c r="YJ82">
        <v>3.8149999999999998E-3</v>
      </c>
      <c r="YK82">
        <v>4.0749999999999996E-3</v>
      </c>
      <c r="YL82">
        <v>5.7099999999999998E-3</v>
      </c>
      <c r="YM82">
        <v>4.522E-3</v>
      </c>
      <c r="YN82" t="s">
        <v>114</v>
      </c>
      <c r="YO82" t="s">
        <v>114</v>
      </c>
      <c r="YP82" t="s">
        <v>114</v>
      </c>
      <c r="YQ82">
        <v>4.483E-3</v>
      </c>
      <c r="YR82">
        <v>6.5770000000000004E-3</v>
      </c>
      <c r="YS82">
        <v>9.4549999999999999E-3</v>
      </c>
      <c r="YT82" t="s">
        <v>114</v>
      </c>
      <c r="YU82">
        <v>4.9259999999999998E-3</v>
      </c>
      <c r="YV82">
        <v>4.1460000000000004E-3</v>
      </c>
      <c r="YW82" t="s">
        <v>114</v>
      </c>
      <c r="YX82" t="s">
        <v>114</v>
      </c>
      <c r="YY82">
        <v>1.24E-2</v>
      </c>
      <c r="YZ82">
        <v>1.1093E-2</v>
      </c>
      <c r="ZA82">
        <v>5.391E-3</v>
      </c>
      <c r="ZB82" t="s">
        <v>114</v>
      </c>
      <c r="ZC82">
        <v>8.3560000000000006E-3</v>
      </c>
      <c r="ZD82">
        <v>5.5770000000000004E-3</v>
      </c>
      <c r="ZE82">
        <v>5.2389999999999997E-3</v>
      </c>
      <c r="ZF82">
        <v>7.5199999999999998E-3</v>
      </c>
      <c r="ZG82">
        <v>1.1557E-2</v>
      </c>
      <c r="ZH82">
        <v>7.5370000000000003E-3</v>
      </c>
      <c r="ZI82">
        <v>3.5869999999999999E-2</v>
      </c>
      <c r="ZJ82">
        <v>1.0503E-2</v>
      </c>
      <c r="ZK82" t="s">
        <v>114</v>
      </c>
      <c r="ZL82">
        <v>1.5233999999999999E-2</v>
      </c>
      <c r="ZM82">
        <v>1.1443999999999999E-2</v>
      </c>
      <c r="ZN82">
        <v>1.29E-2</v>
      </c>
      <c r="ZO82">
        <v>1.5391999999999999E-2</v>
      </c>
      <c r="ZP82" t="s">
        <v>114</v>
      </c>
      <c r="ZQ82" t="s">
        <v>114</v>
      </c>
      <c r="ZR82" t="s">
        <v>114</v>
      </c>
      <c r="ZS82" t="s">
        <v>114</v>
      </c>
      <c r="ZT82" t="s">
        <v>114</v>
      </c>
      <c r="ZU82" t="s">
        <v>114</v>
      </c>
      <c r="ZV82">
        <v>5.5659999999999998E-3</v>
      </c>
      <c r="ZW82" t="s">
        <v>114</v>
      </c>
      <c r="ZX82">
        <v>2.3266999999999999E-2</v>
      </c>
      <c r="ZY82">
        <v>1.3089999999999999E-2</v>
      </c>
      <c r="ZZ82">
        <v>1.1660999999999999E-2</v>
      </c>
      <c r="AAA82">
        <v>4.0039999999999997E-3</v>
      </c>
      <c r="AAB82">
        <v>1.304E-2</v>
      </c>
      <c r="AAC82">
        <v>1.3769E-2</v>
      </c>
      <c r="AAD82">
        <v>6.2890000000000003E-3</v>
      </c>
      <c r="AAE82">
        <v>9.6790000000000001E-3</v>
      </c>
      <c r="AAF82">
        <v>1.4168999999999999E-2</v>
      </c>
      <c r="AAG82">
        <v>1.0288E-2</v>
      </c>
      <c r="AAH82" t="s">
        <v>114</v>
      </c>
      <c r="AAI82">
        <v>2.1687000000000001E-2</v>
      </c>
      <c r="AAJ82">
        <v>1.908E-2</v>
      </c>
      <c r="AAK82" t="s">
        <v>114</v>
      </c>
      <c r="AAL82" t="s">
        <v>114</v>
      </c>
      <c r="AAM82">
        <v>1.0163E-2</v>
      </c>
      <c r="AAN82">
        <v>4.3750000000000004E-3</v>
      </c>
      <c r="AAO82">
        <v>1.0064E-2</v>
      </c>
      <c r="AAP82" t="s">
        <v>114</v>
      </c>
      <c r="AAQ82">
        <v>1.2784999999999999E-2</v>
      </c>
      <c r="AAR82">
        <v>1.0410000000000001E-2</v>
      </c>
      <c r="AAS82" t="s">
        <v>114</v>
      </c>
      <c r="AAT82">
        <v>1.304E-2</v>
      </c>
      <c r="AAU82">
        <v>9.3200000000000002E-3</v>
      </c>
      <c r="AAV82">
        <v>2.5919999999999999E-2</v>
      </c>
      <c r="AAW82">
        <v>8.3210000000000003E-3</v>
      </c>
      <c r="AAX82" t="s">
        <v>114</v>
      </c>
      <c r="AAY82">
        <v>5.2399999999999999E-3</v>
      </c>
      <c r="AAZ82" t="s">
        <v>114</v>
      </c>
      <c r="ABA82">
        <v>3.705E-3</v>
      </c>
      <c r="ABB82">
        <v>5.8450000000000004E-3</v>
      </c>
      <c r="ABC82">
        <v>3.503E-3</v>
      </c>
      <c r="ABD82" t="s">
        <v>114</v>
      </c>
      <c r="ABE82">
        <v>7.1130000000000004E-3</v>
      </c>
      <c r="ABF82" t="s">
        <v>114</v>
      </c>
      <c r="ABG82">
        <v>4.2909999999999997E-3</v>
      </c>
      <c r="ABH82">
        <v>4.5079999999999999E-3</v>
      </c>
      <c r="ABI82" t="s">
        <v>114</v>
      </c>
      <c r="ABJ82">
        <v>1.2492E-2</v>
      </c>
      <c r="ABK82">
        <v>4.1279999999999997E-3</v>
      </c>
      <c r="ABL82">
        <v>1.136E-2</v>
      </c>
      <c r="ABM82">
        <v>4.6350000000000002E-3</v>
      </c>
      <c r="ABN82" t="s">
        <v>114</v>
      </c>
      <c r="ABO82" t="s">
        <v>114</v>
      </c>
      <c r="ABP82">
        <v>5.7120000000000001E-3</v>
      </c>
      <c r="ABQ82" t="s">
        <v>114</v>
      </c>
      <c r="ABR82">
        <v>1.1389E-2</v>
      </c>
      <c r="ABS82">
        <v>4.0070000000000001E-3</v>
      </c>
      <c r="ABT82" t="s">
        <v>114</v>
      </c>
      <c r="ABU82" t="s">
        <v>114</v>
      </c>
      <c r="ABV82" t="s">
        <v>114</v>
      </c>
      <c r="ABW82" t="s">
        <v>114</v>
      </c>
      <c r="ABX82">
        <v>3.1519999999999999E-2</v>
      </c>
      <c r="ABY82" t="s">
        <v>114</v>
      </c>
      <c r="ABZ82">
        <v>3.3279999999999998E-3</v>
      </c>
      <c r="ACA82">
        <v>3.7750000000000001E-3</v>
      </c>
      <c r="ACB82" t="s">
        <v>114</v>
      </c>
      <c r="ACC82">
        <v>3.5539999999999999E-3</v>
      </c>
      <c r="ACD82" t="s">
        <v>114</v>
      </c>
      <c r="ACE82" t="s">
        <v>114</v>
      </c>
      <c r="ACF82" t="s">
        <v>114</v>
      </c>
      <c r="ACG82" t="s">
        <v>114</v>
      </c>
      <c r="ACH82" t="s">
        <v>114</v>
      </c>
      <c r="ACI82" t="s">
        <v>114</v>
      </c>
      <c r="ACJ82" t="s">
        <v>114</v>
      </c>
      <c r="ACK82">
        <v>3.9439999999999996E-3</v>
      </c>
      <c r="ACL82">
        <v>4.927E-3</v>
      </c>
      <c r="ACM82" t="s">
        <v>114</v>
      </c>
      <c r="ACN82">
        <v>1.6544E-2</v>
      </c>
      <c r="ACO82">
        <v>6.1770000000000002E-3</v>
      </c>
    </row>
    <row r="83" spans="1:769" x14ac:dyDescent="0.25">
      <c r="A83" t="s">
        <v>891</v>
      </c>
      <c r="B83" t="s">
        <v>114</v>
      </c>
      <c r="C83" t="s">
        <v>114</v>
      </c>
      <c r="D83">
        <v>0.56484199999999996</v>
      </c>
      <c r="E83" t="s">
        <v>114</v>
      </c>
      <c r="F83">
        <v>0.42604599999999998</v>
      </c>
      <c r="G83">
        <v>0.46500599999999997</v>
      </c>
      <c r="H83">
        <v>0.412323</v>
      </c>
      <c r="I83">
        <v>0.45768300000000001</v>
      </c>
      <c r="J83" t="s">
        <v>114</v>
      </c>
      <c r="K83">
        <v>0.51911099999999999</v>
      </c>
      <c r="L83" t="s">
        <v>114</v>
      </c>
      <c r="M83">
        <v>0.421568</v>
      </c>
      <c r="N83" t="s">
        <v>114</v>
      </c>
      <c r="O83">
        <v>0.43603500000000001</v>
      </c>
      <c r="P83">
        <v>0.60325799999999996</v>
      </c>
      <c r="Q83">
        <v>0.48484100000000002</v>
      </c>
      <c r="R83" t="s">
        <v>114</v>
      </c>
      <c r="S83" t="s">
        <v>114</v>
      </c>
      <c r="T83">
        <v>1.0243899999999999</v>
      </c>
      <c r="U83">
        <v>0.276532</v>
      </c>
      <c r="V83">
        <v>0.63176200000000005</v>
      </c>
      <c r="W83" t="s">
        <v>114</v>
      </c>
      <c r="X83">
        <v>0.31809300000000001</v>
      </c>
      <c r="Y83" t="s">
        <v>114</v>
      </c>
      <c r="Z83" t="s">
        <v>114</v>
      </c>
      <c r="AA83">
        <v>0.36901299999999998</v>
      </c>
      <c r="AB83">
        <v>0.41451900000000003</v>
      </c>
      <c r="AC83">
        <v>0.326262</v>
      </c>
      <c r="AD83" t="s">
        <v>114</v>
      </c>
      <c r="AE83">
        <v>0.289213</v>
      </c>
      <c r="AF83">
        <v>0.47932399999999997</v>
      </c>
      <c r="AG83">
        <v>0.55506999999999995</v>
      </c>
      <c r="AH83">
        <v>0.78335299999999997</v>
      </c>
      <c r="AI83">
        <v>0.158632</v>
      </c>
      <c r="AJ83">
        <v>0.378722</v>
      </c>
      <c r="AK83">
        <v>0.38892500000000002</v>
      </c>
      <c r="AL83">
        <v>0.42466599999999999</v>
      </c>
      <c r="AM83">
        <v>0.94796400000000003</v>
      </c>
      <c r="AN83">
        <v>0.37553399999999998</v>
      </c>
      <c r="AO83">
        <v>0.50316499999999997</v>
      </c>
      <c r="AP83">
        <v>0.410327</v>
      </c>
      <c r="AQ83">
        <v>0.61687000000000003</v>
      </c>
      <c r="AR83">
        <v>0.43710100000000002</v>
      </c>
      <c r="AS83">
        <v>0.39311400000000002</v>
      </c>
      <c r="AT83" t="s">
        <v>114</v>
      </c>
      <c r="AU83">
        <v>0.55142599999999997</v>
      </c>
      <c r="AV83" t="s">
        <v>114</v>
      </c>
      <c r="AW83">
        <v>0.33304</v>
      </c>
      <c r="AX83">
        <v>0.37526399999999999</v>
      </c>
      <c r="AY83">
        <v>0.63502199999999998</v>
      </c>
      <c r="AZ83">
        <v>0.39319399999999999</v>
      </c>
      <c r="BA83">
        <v>0.37760500000000002</v>
      </c>
      <c r="BB83" t="s">
        <v>114</v>
      </c>
      <c r="BC83" t="s">
        <v>114</v>
      </c>
      <c r="BD83">
        <v>0.49188100000000001</v>
      </c>
      <c r="BE83">
        <v>0.55827400000000005</v>
      </c>
      <c r="BF83">
        <v>0.45665899999999998</v>
      </c>
      <c r="BG83">
        <v>0.35077399999999997</v>
      </c>
      <c r="BH83">
        <v>0.26513900000000001</v>
      </c>
      <c r="BI83">
        <v>0.37652000000000002</v>
      </c>
      <c r="BJ83">
        <v>0.44002999999999998</v>
      </c>
      <c r="BK83">
        <v>0.53153099999999998</v>
      </c>
      <c r="BL83" t="s">
        <v>114</v>
      </c>
      <c r="BM83">
        <v>0.450878</v>
      </c>
      <c r="BN83" t="s">
        <v>114</v>
      </c>
      <c r="BO83" t="s">
        <v>114</v>
      </c>
      <c r="BP83">
        <v>0.80745400000000001</v>
      </c>
      <c r="BQ83">
        <v>0.76391799999999999</v>
      </c>
      <c r="BR83" t="s">
        <v>114</v>
      </c>
      <c r="BS83">
        <v>0.68214699999999995</v>
      </c>
      <c r="BT83">
        <v>0.82347000000000004</v>
      </c>
      <c r="BU83" t="s">
        <v>114</v>
      </c>
      <c r="BV83" t="s">
        <v>114</v>
      </c>
      <c r="BW83">
        <v>0.808666</v>
      </c>
      <c r="BX83" t="s">
        <v>114</v>
      </c>
      <c r="BY83" t="s">
        <v>114</v>
      </c>
      <c r="BZ83">
        <v>0.72587199999999996</v>
      </c>
      <c r="CA83" t="s">
        <v>114</v>
      </c>
      <c r="CB83">
        <v>0.87598500000000001</v>
      </c>
      <c r="CC83">
        <v>0.81149400000000005</v>
      </c>
      <c r="CD83">
        <v>0.743479</v>
      </c>
      <c r="CE83">
        <v>0.66530299999999998</v>
      </c>
      <c r="CF83" t="s">
        <v>114</v>
      </c>
      <c r="CG83">
        <v>0.599827</v>
      </c>
      <c r="CH83" t="s">
        <v>114</v>
      </c>
      <c r="CI83">
        <v>0.63407400000000003</v>
      </c>
      <c r="CJ83">
        <v>0.56312399999999996</v>
      </c>
      <c r="CK83">
        <v>0.87931000000000004</v>
      </c>
      <c r="CL83">
        <v>0.52503200000000005</v>
      </c>
      <c r="CM83">
        <v>0.53704799999999997</v>
      </c>
      <c r="CN83">
        <v>1.0068490000000001</v>
      </c>
      <c r="CO83">
        <v>0.47470499999999999</v>
      </c>
      <c r="CP83">
        <v>0.53951400000000005</v>
      </c>
      <c r="CQ83">
        <v>0.58160400000000001</v>
      </c>
      <c r="CR83">
        <v>0.60435000000000005</v>
      </c>
      <c r="CS83">
        <v>0.58179199999999998</v>
      </c>
      <c r="CT83" t="s">
        <v>114</v>
      </c>
      <c r="CU83">
        <v>0.61397299999999999</v>
      </c>
      <c r="CV83">
        <v>0.56320199999999998</v>
      </c>
      <c r="CW83">
        <v>0.74562300000000004</v>
      </c>
      <c r="CX83">
        <v>0.74216700000000002</v>
      </c>
      <c r="CY83">
        <v>0.81405300000000003</v>
      </c>
      <c r="CZ83">
        <v>0.78595800000000005</v>
      </c>
      <c r="DA83" t="s">
        <v>114</v>
      </c>
      <c r="DB83">
        <v>0.65026099999999998</v>
      </c>
      <c r="DC83">
        <v>0.75907899999999995</v>
      </c>
      <c r="DD83">
        <v>0.76241099999999995</v>
      </c>
      <c r="DE83">
        <v>0.58159400000000006</v>
      </c>
      <c r="DF83">
        <v>0.68518400000000002</v>
      </c>
      <c r="DG83">
        <v>0.83727600000000002</v>
      </c>
      <c r="DH83">
        <v>0.76161000000000001</v>
      </c>
      <c r="DI83">
        <v>0.585615</v>
      </c>
      <c r="DJ83">
        <v>0.93559199999999998</v>
      </c>
      <c r="DK83">
        <v>0.81423500000000004</v>
      </c>
      <c r="DL83">
        <v>0.50363999999999998</v>
      </c>
      <c r="DM83">
        <v>0.62170199999999998</v>
      </c>
      <c r="DN83" t="s">
        <v>114</v>
      </c>
      <c r="DO83">
        <v>0.49798999999999999</v>
      </c>
      <c r="DP83">
        <v>0.58224399999999998</v>
      </c>
      <c r="DQ83">
        <v>0.55675600000000003</v>
      </c>
      <c r="DR83">
        <v>0.49501400000000001</v>
      </c>
      <c r="DS83">
        <v>0.52361800000000003</v>
      </c>
      <c r="DT83" t="s">
        <v>114</v>
      </c>
      <c r="DU83">
        <v>0.374444</v>
      </c>
      <c r="DV83" t="s">
        <v>114</v>
      </c>
      <c r="DW83" t="s">
        <v>114</v>
      </c>
      <c r="DX83">
        <v>0.51398100000000002</v>
      </c>
      <c r="DY83">
        <v>0.49691000000000002</v>
      </c>
      <c r="DZ83">
        <v>0.76116799999999996</v>
      </c>
      <c r="EA83">
        <v>0.76455099999999998</v>
      </c>
      <c r="EB83" t="s">
        <v>114</v>
      </c>
      <c r="EC83">
        <v>0.28590199999999999</v>
      </c>
      <c r="ED83" t="s">
        <v>114</v>
      </c>
      <c r="EE83">
        <v>0.83081199999999999</v>
      </c>
      <c r="EF83">
        <v>0.82727200000000001</v>
      </c>
      <c r="EG83">
        <v>0.77509700000000004</v>
      </c>
      <c r="EH83">
        <v>0.95038500000000004</v>
      </c>
      <c r="EI83">
        <v>0.75319100000000005</v>
      </c>
      <c r="EJ83">
        <v>0.89304399999999995</v>
      </c>
      <c r="EK83">
        <v>0.93477299999999997</v>
      </c>
      <c r="EL83">
        <v>0.84519100000000003</v>
      </c>
      <c r="EM83">
        <v>0.81720999999999999</v>
      </c>
      <c r="EN83">
        <v>0.90066999999999997</v>
      </c>
      <c r="EO83" t="s">
        <v>114</v>
      </c>
      <c r="EP83">
        <v>0.72800100000000001</v>
      </c>
      <c r="EQ83">
        <v>0.77408500000000002</v>
      </c>
      <c r="ER83">
        <v>0.83152499999999996</v>
      </c>
      <c r="ES83">
        <v>0.83541600000000005</v>
      </c>
      <c r="ET83">
        <v>0.95024500000000001</v>
      </c>
      <c r="EU83">
        <v>0.75507500000000005</v>
      </c>
      <c r="EV83" t="s">
        <v>114</v>
      </c>
      <c r="EW83">
        <v>0.75213099999999999</v>
      </c>
      <c r="EX83">
        <v>0.74477400000000005</v>
      </c>
      <c r="EY83">
        <v>0.69656099999999999</v>
      </c>
      <c r="EZ83">
        <v>0.84314</v>
      </c>
      <c r="FA83">
        <v>0.78324800000000006</v>
      </c>
      <c r="FB83" t="s">
        <v>114</v>
      </c>
      <c r="FC83">
        <v>0.770563</v>
      </c>
      <c r="FD83" t="s">
        <v>114</v>
      </c>
      <c r="FE83" t="s">
        <v>114</v>
      </c>
      <c r="FF83">
        <v>0.76664500000000002</v>
      </c>
      <c r="FG83">
        <v>0.80961099999999997</v>
      </c>
      <c r="FH83">
        <v>0.76844900000000005</v>
      </c>
      <c r="FI83">
        <v>0.59499100000000005</v>
      </c>
      <c r="FJ83">
        <v>0.70550100000000004</v>
      </c>
      <c r="FK83">
        <v>0.79527999999999999</v>
      </c>
      <c r="FL83">
        <v>0.80197099999999999</v>
      </c>
      <c r="FM83">
        <v>0.901945</v>
      </c>
      <c r="FN83" t="s">
        <v>114</v>
      </c>
      <c r="FO83" t="s">
        <v>114</v>
      </c>
      <c r="FP83">
        <v>0.78365600000000002</v>
      </c>
      <c r="FQ83">
        <v>0.53088900000000006</v>
      </c>
      <c r="FR83">
        <v>0.81062699999999999</v>
      </c>
      <c r="FS83">
        <v>0.74094899999999997</v>
      </c>
      <c r="FT83">
        <v>0.81451099999999999</v>
      </c>
      <c r="FU83">
        <v>0.89734000000000003</v>
      </c>
      <c r="FV83">
        <v>0.83095300000000005</v>
      </c>
      <c r="FW83">
        <v>0.76191900000000001</v>
      </c>
      <c r="FX83">
        <v>0.78211900000000001</v>
      </c>
      <c r="FY83">
        <v>0.806118</v>
      </c>
      <c r="FZ83">
        <v>0.76825500000000002</v>
      </c>
      <c r="GA83">
        <v>0.927593</v>
      </c>
      <c r="GB83">
        <v>0.84139600000000003</v>
      </c>
      <c r="GC83">
        <v>0.78873599999999999</v>
      </c>
      <c r="GD83">
        <v>0.76423099999999999</v>
      </c>
      <c r="GE83">
        <v>0.672234</v>
      </c>
      <c r="GF83">
        <v>0.917354</v>
      </c>
      <c r="GG83">
        <v>0.63027200000000005</v>
      </c>
      <c r="GH83">
        <v>0.78738799999999998</v>
      </c>
      <c r="GI83" t="s">
        <v>114</v>
      </c>
      <c r="GJ83">
        <v>0.85249799999999998</v>
      </c>
      <c r="GK83">
        <v>0.78183499999999995</v>
      </c>
      <c r="GL83">
        <v>0.69855500000000004</v>
      </c>
      <c r="GM83" t="s">
        <v>114</v>
      </c>
      <c r="GN83">
        <v>0.83235000000000003</v>
      </c>
      <c r="GO83" t="s">
        <v>114</v>
      </c>
      <c r="GP83">
        <v>0.76584799999999997</v>
      </c>
      <c r="GQ83">
        <v>0.79723699999999997</v>
      </c>
      <c r="GR83">
        <v>0.82608000000000004</v>
      </c>
      <c r="GS83">
        <v>0.80110999999999999</v>
      </c>
      <c r="GT83">
        <v>0.706542</v>
      </c>
      <c r="GU83" t="s">
        <v>114</v>
      </c>
      <c r="GV83">
        <v>0.78425</v>
      </c>
      <c r="GW83">
        <v>1.1441859999999999</v>
      </c>
      <c r="GX83">
        <v>0.79510599999999998</v>
      </c>
      <c r="GY83">
        <v>0.87571900000000003</v>
      </c>
      <c r="GZ83">
        <v>0.80274400000000001</v>
      </c>
      <c r="HA83">
        <v>0.88952699999999996</v>
      </c>
      <c r="HB83">
        <v>0.746062</v>
      </c>
      <c r="HC83">
        <v>0.87560499999999997</v>
      </c>
      <c r="HD83">
        <v>0.86396600000000001</v>
      </c>
      <c r="HE83">
        <v>0.90769299999999997</v>
      </c>
      <c r="HF83" t="s">
        <v>114</v>
      </c>
      <c r="HG83">
        <v>0.70199699999999998</v>
      </c>
      <c r="HH83">
        <v>0.73667400000000005</v>
      </c>
      <c r="HI83">
        <v>0.81158399999999997</v>
      </c>
      <c r="HJ83">
        <v>0.77635100000000001</v>
      </c>
      <c r="HK83">
        <v>0.74282800000000004</v>
      </c>
      <c r="HL83">
        <v>0.82640000000000002</v>
      </c>
      <c r="HM83">
        <v>0.97575900000000004</v>
      </c>
      <c r="HN83">
        <v>0.88397999999999999</v>
      </c>
      <c r="HO83">
        <v>0.762046</v>
      </c>
      <c r="HP83">
        <v>0.89247299999999996</v>
      </c>
      <c r="HQ83">
        <v>0.74770999999999999</v>
      </c>
      <c r="HR83">
        <v>0.91209099999999999</v>
      </c>
      <c r="HS83">
        <v>0.76834000000000002</v>
      </c>
      <c r="HT83">
        <v>0.78472299999999995</v>
      </c>
      <c r="HU83">
        <v>0.81689900000000004</v>
      </c>
      <c r="HV83" t="s">
        <v>114</v>
      </c>
      <c r="HW83" t="s">
        <v>114</v>
      </c>
      <c r="HX83">
        <v>0.80022599999999999</v>
      </c>
      <c r="HY83">
        <v>0.77810299999999999</v>
      </c>
      <c r="HZ83">
        <v>0.80233399999999999</v>
      </c>
      <c r="IA83">
        <v>0.88280499999999995</v>
      </c>
      <c r="IB83" t="s">
        <v>114</v>
      </c>
      <c r="IC83" t="s">
        <v>114</v>
      </c>
      <c r="ID83" t="s">
        <v>114</v>
      </c>
      <c r="IE83">
        <v>0.77188199999999996</v>
      </c>
      <c r="IF83">
        <v>0.78116399999999997</v>
      </c>
      <c r="IG83" t="s">
        <v>114</v>
      </c>
      <c r="IH83">
        <v>0.78385899999999997</v>
      </c>
      <c r="II83" t="s">
        <v>114</v>
      </c>
      <c r="IJ83">
        <v>0.76492400000000005</v>
      </c>
      <c r="IK83" t="s">
        <v>114</v>
      </c>
      <c r="IL83" t="s">
        <v>114</v>
      </c>
      <c r="IM83" t="s">
        <v>114</v>
      </c>
      <c r="IN83">
        <v>0.74670499999999995</v>
      </c>
      <c r="IO83">
        <v>0.79950500000000002</v>
      </c>
      <c r="IP83">
        <v>0.75521300000000002</v>
      </c>
      <c r="IQ83" t="s">
        <v>114</v>
      </c>
      <c r="IR83">
        <v>0.68608599999999997</v>
      </c>
      <c r="IS83">
        <v>0.72956900000000002</v>
      </c>
      <c r="IT83">
        <v>0.83456399999999997</v>
      </c>
      <c r="IU83">
        <v>0.87007000000000001</v>
      </c>
      <c r="IV83">
        <v>0.92200199999999999</v>
      </c>
      <c r="IW83">
        <v>0.92443900000000001</v>
      </c>
      <c r="IX83">
        <v>0.54969800000000002</v>
      </c>
      <c r="IY83">
        <v>0.68215999999999999</v>
      </c>
      <c r="IZ83">
        <v>0.64083100000000004</v>
      </c>
      <c r="JA83">
        <v>0.457285</v>
      </c>
      <c r="JB83">
        <v>1.030343</v>
      </c>
      <c r="JC83">
        <v>0.54653499999999999</v>
      </c>
      <c r="JD83">
        <v>0.72222799999999998</v>
      </c>
      <c r="JE83">
        <v>0.80404799999999998</v>
      </c>
      <c r="JF83">
        <v>0.86269899999999999</v>
      </c>
      <c r="JG83">
        <v>0.77942199999999995</v>
      </c>
      <c r="JH83">
        <v>0.56103099999999995</v>
      </c>
      <c r="JI83" t="s">
        <v>114</v>
      </c>
      <c r="JJ83" t="s">
        <v>114</v>
      </c>
      <c r="JK83">
        <v>0.56343900000000002</v>
      </c>
      <c r="JL83">
        <v>0.853684</v>
      </c>
      <c r="JM83">
        <v>0.68478799999999995</v>
      </c>
      <c r="JN83">
        <v>0.59590500000000002</v>
      </c>
      <c r="JO83" t="s">
        <v>114</v>
      </c>
      <c r="JP83">
        <v>0.86945799999999995</v>
      </c>
      <c r="JQ83">
        <v>0.62422</v>
      </c>
      <c r="JR83">
        <v>0.54493199999999997</v>
      </c>
      <c r="JS83" t="s">
        <v>114</v>
      </c>
      <c r="JT83" t="s">
        <v>114</v>
      </c>
      <c r="JU83">
        <v>0.71303499999999997</v>
      </c>
      <c r="JV83" t="s">
        <v>114</v>
      </c>
      <c r="JW83">
        <v>0.68836299999999995</v>
      </c>
      <c r="JX83" t="s">
        <v>114</v>
      </c>
      <c r="JY83">
        <v>0.764652</v>
      </c>
      <c r="JZ83" t="s">
        <v>114</v>
      </c>
      <c r="KA83" t="s">
        <v>114</v>
      </c>
      <c r="KB83" t="s">
        <v>114</v>
      </c>
      <c r="KC83" t="s">
        <v>114</v>
      </c>
      <c r="KD83">
        <v>0.60094800000000004</v>
      </c>
      <c r="KE83">
        <v>0.48653999999999997</v>
      </c>
      <c r="KF83">
        <v>0.50975000000000004</v>
      </c>
      <c r="KG83">
        <v>0.58532099999999998</v>
      </c>
      <c r="KH83" t="s">
        <v>114</v>
      </c>
      <c r="KI83">
        <v>0.60617799999999999</v>
      </c>
      <c r="KJ83">
        <v>0.67088800000000004</v>
      </c>
      <c r="KK83">
        <v>0.42282799999999998</v>
      </c>
      <c r="KL83" t="s">
        <v>114</v>
      </c>
      <c r="KM83">
        <v>0.39751700000000001</v>
      </c>
      <c r="KN83">
        <v>0.50611899999999999</v>
      </c>
      <c r="KO83" t="s">
        <v>114</v>
      </c>
      <c r="KP83">
        <v>0.43264000000000002</v>
      </c>
      <c r="KQ83">
        <v>0.51793999999999996</v>
      </c>
      <c r="KR83">
        <v>0.48780000000000001</v>
      </c>
      <c r="KS83">
        <v>0.427651</v>
      </c>
      <c r="KT83">
        <v>0.64215299999999997</v>
      </c>
      <c r="KU83" t="s">
        <v>114</v>
      </c>
      <c r="KV83">
        <v>0.79047100000000003</v>
      </c>
      <c r="KW83">
        <v>0.74639299999999997</v>
      </c>
      <c r="KX83">
        <v>0.78047</v>
      </c>
      <c r="KY83">
        <v>0.66997200000000001</v>
      </c>
      <c r="KZ83">
        <v>0.46101399999999998</v>
      </c>
      <c r="LA83">
        <v>0.48580000000000001</v>
      </c>
      <c r="LB83">
        <v>0.75642500000000001</v>
      </c>
      <c r="LC83">
        <v>0.63628399999999996</v>
      </c>
      <c r="LD83" t="s">
        <v>114</v>
      </c>
      <c r="LE83">
        <v>0.60052000000000005</v>
      </c>
      <c r="LF83">
        <v>0.702152</v>
      </c>
      <c r="LG83">
        <v>0.61476699999999995</v>
      </c>
      <c r="LH83">
        <v>0.53246199999999999</v>
      </c>
      <c r="LI83">
        <v>0.61290199999999995</v>
      </c>
      <c r="LJ83">
        <v>0.80785300000000004</v>
      </c>
      <c r="LK83">
        <v>0.635768</v>
      </c>
      <c r="LL83">
        <v>0.680508</v>
      </c>
      <c r="LM83">
        <v>0.81090899999999999</v>
      </c>
      <c r="LN83">
        <v>0.72585</v>
      </c>
      <c r="LO83">
        <v>0.73393799999999998</v>
      </c>
      <c r="LP83">
        <v>0.77681699999999998</v>
      </c>
      <c r="LQ83">
        <v>0.63513699999999995</v>
      </c>
      <c r="LR83" t="s">
        <v>114</v>
      </c>
      <c r="LS83">
        <v>0.80164599999999997</v>
      </c>
      <c r="LT83">
        <v>0.82727099999999998</v>
      </c>
      <c r="LU83">
        <v>0.72506400000000004</v>
      </c>
      <c r="LV83">
        <v>0.73838099999999995</v>
      </c>
      <c r="LW83">
        <v>0.303483</v>
      </c>
      <c r="LX83">
        <v>0.59885299999999997</v>
      </c>
      <c r="LY83">
        <v>0.66321799999999997</v>
      </c>
      <c r="LZ83">
        <v>0.69310000000000005</v>
      </c>
      <c r="MA83">
        <v>0.85450599999999999</v>
      </c>
      <c r="MB83">
        <v>0.68578799999999995</v>
      </c>
      <c r="MC83">
        <v>0.64047100000000001</v>
      </c>
      <c r="MD83">
        <v>0.72962199999999999</v>
      </c>
      <c r="ME83">
        <v>0.85703700000000005</v>
      </c>
      <c r="MF83">
        <v>0.79360900000000001</v>
      </c>
      <c r="MG83">
        <v>0.87426999999999999</v>
      </c>
      <c r="MH83">
        <v>1.0274719999999999</v>
      </c>
      <c r="MI83">
        <v>0.78915800000000003</v>
      </c>
      <c r="MJ83">
        <v>0.64310900000000004</v>
      </c>
      <c r="MK83">
        <v>0.81268499999999999</v>
      </c>
      <c r="ML83" t="s">
        <v>114</v>
      </c>
      <c r="MM83">
        <v>0.85931900000000006</v>
      </c>
      <c r="MN83">
        <v>0.71527399999999997</v>
      </c>
      <c r="MO83">
        <v>0.75255799999999995</v>
      </c>
      <c r="MP83">
        <v>0.78492700000000004</v>
      </c>
      <c r="MQ83">
        <v>0.58876700000000004</v>
      </c>
      <c r="MR83">
        <v>0.61777300000000002</v>
      </c>
      <c r="MS83" t="s">
        <v>114</v>
      </c>
      <c r="MT83">
        <v>0.77398800000000001</v>
      </c>
      <c r="MU83">
        <v>0.485545</v>
      </c>
      <c r="MV83">
        <v>0.75172499999999998</v>
      </c>
      <c r="MW83">
        <v>0.62686799999999998</v>
      </c>
      <c r="MX83" t="s">
        <v>114</v>
      </c>
      <c r="MY83" t="s">
        <v>114</v>
      </c>
      <c r="MZ83">
        <v>0.613761</v>
      </c>
      <c r="NA83">
        <v>0.74699199999999999</v>
      </c>
      <c r="NB83">
        <v>0.58937700000000004</v>
      </c>
      <c r="NC83">
        <v>0.77308399999999999</v>
      </c>
      <c r="ND83">
        <v>0.65525100000000003</v>
      </c>
      <c r="NE83">
        <v>0.49054300000000001</v>
      </c>
      <c r="NF83">
        <v>0.783802</v>
      </c>
      <c r="NG83">
        <v>0.65680400000000005</v>
      </c>
      <c r="NH83">
        <v>0.59744299999999995</v>
      </c>
      <c r="NI83">
        <v>0.69726399999999999</v>
      </c>
      <c r="NJ83">
        <v>0.81970200000000004</v>
      </c>
      <c r="NK83">
        <v>0.58395799999999998</v>
      </c>
      <c r="NL83">
        <v>0.85176399999999997</v>
      </c>
      <c r="NM83">
        <v>0.60824900000000004</v>
      </c>
      <c r="NN83">
        <v>0.68210499999999996</v>
      </c>
      <c r="NO83">
        <v>0.77706399999999998</v>
      </c>
      <c r="NP83">
        <v>0.83787900000000004</v>
      </c>
      <c r="NQ83">
        <v>0.30438700000000002</v>
      </c>
      <c r="NR83">
        <v>0.66280499999999998</v>
      </c>
      <c r="NS83">
        <v>0.57836699999999996</v>
      </c>
      <c r="NT83">
        <v>0.56986499999999995</v>
      </c>
      <c r="NU83">
        <v>0.55126699999999995</v>
      </c>
      <c r="NV83">
        <v>0.81560999999999995</v>
      </c>
      <c r="NW83">
        <v>0.79423200000000005</v>
      </c>
      <c r="NX83">
        <v>0.87945799999999996</v>
      </c>
      <c r="NY83" t="s">
        <v>114</v>
      </c>
      <c r="NZ83" t="s">
        <v>114</v>
      </c>
      <c r="OA83">
        <v>0.83109100000000002</v>
      </c>
      <c r="OB83">
        <v>0.84159099999999998</v>
      </c>
      <c r="OC83">
        <v>0.78266899999999995</v>
      </c>
      <c r="OD83">
        <v>0.89819099999999996</v>
      </c>
      <c r="OE83">
        <v>0.77485899999999996</v>
      </c>
      <c r="OF83">
        <v>0.646617</v>
      </c>
      <c r="OG83">
        <v>0.82134499999999999</v>
      </c>
      <c r="OH83">
        <v>0.87079600000000001</v>
      </c>
      <c r="OI83" t="s">
        <v>114</v>
      </c>
      <c r="OJ83">
        <v>0.84084400000000004</v>
      </c>
      <c r="OK83">
        <v>0.80729300000000004</v>
      </c>
      <c r="OL83">
        <v>0.78809799999999997</v>
      </c>
      <c r="OM83">
        <v>0.85871600000000003</v>
      </c>
      <c r="ON83">
        <v>0.83594800000000002</v>
      </c>
      <c r="OO83" t="s">
        <v>114</v>
      </c>
      <c r="OP83">
        <v>0.77477600000000002</v>
      </c>
      <c r="OQ83" t="s">
        <v>114</v>
      </c>
      <c r="OR83" t="s">
        <v>114</v>
      </c>
      <c r="OS83">
        <v>1.0043550000000001</v>
      </c>
      <c r="OT83" t="s">
        <v>114</v>
      </c>
      <c r="OU83" t="s">
        <v>114</v>
      </c>
      <c r="OV83" t="s">
        <v>114</v>
      </c>
      <c r="OW83" t="s">
        <v>114</v>
      </c>
      <c r="OX83" t="s">
        <v>114</v>
      </c>
      <c r="OY83" t="s">
        <v>114</v>
      </c>
      <c r="OZ83" t="s">
        <v>114</v>
      </c>
      <c r="PA83" t="s">
        <v>114</v>
      </c>
      <c r="PB83">
        <v>0.84399599999999997</v>
      </c>
      <c r="PC83">
        <v>0.78595800000000005</v>
      </c>
      <c r="PD83" t="s">
        <v>114</v>
      </c>
      <c r="PE83">
        <v>0.81407300000000005</v>
      </c>
      <c r="PF83">
        <v>0.87388999999999994</v>
      </c>
      <c r="PG83">
        <v>0.81938900000000003</v>
      </c>
      <c r="PH83">
        <v>0.82133299999999998</v>
      </c>
      <c r="PI83">
        <v>0.74600699999999998</v>
      </c>
      <c r="PJ83">
        <v>0.87839699999999998</v>
      </c>
      <c r="PK83">
        <v>0.80708400000000002</v>
      </c>
      <c r="PL83">
        <v>1.013514</v>
      </c>
      <c r="PM83">
        <v>0.76869200000000004</v>
      </c>
      <c r="PN83" t="s">
        <v>114</v>
      </c>
      <c r="PO83" t="s">
        <v>114</v>
      </c>
      <c r="PP83">
        <v>0.74547799999999997</v>
      </c>
      <c r="PQ83">
        <v>0.70261200000000001</v>
      </c>
      <c r="PR83">
        <v>0.80906100000000003</v>
      </c>
      <c r="PS83">
        <v>0.80240299999999998</v>
      </c>
      <c r="PT83">
        <v>0.86736500000000005</v>
      </c>
      <c r="PU83">
        <v>0.69447400000000004</v>
      </c>
      <c r="PV83">
        <v>0.80758099999999999</v>
      </c>
      <c r="PW83">
        <v>0.76162600000000003</v>
      </c>
      <c r="PX83">
        <v>0.778227</v>
      </c>
      <c r="PY83">
        <v>0.78041199999999999</v>
      </c>
      <c r="PZ83">
        <v>0.81615199999999999</v>
      </c>
      <c r="QA83">
        <v>0.82536799999999999</v>
      </c>
      <c r="QB83">
        <v>0.86772400000000005</v>
      </c>
      <c r="QC83">
        <v>0.771312</v>
      </c>
      <c r="QD83">
        <v>0.84177400000000002</v>
      </c>
      <c r="QE83">
        <v>0.85647499999999999</v>
      </c>
      <c r="QF83">
        <v>0.82665100000000002</v>
      </c>
      <c r="QG83">
        <v>0.71509500000000004</v>
      </c>
      <c r="QH83" t="s">
        <v>114</v>
      </c>
      <c r="QI83" t="s">
        <v>114</v>
      </c>
      <c r="QJ83">
        <v>0.80138600000000004</v>
      </c>
      <c r="QK83">
        <v>0.82037000000000004</v>
      </c>
      <c r="QL83" t="s">
        <v>114</v>
      </c>
      <c r="QM83">
        <v>0.83114600000000005</v>
      </c>
      <c r="QN83" t="s">
        <v>114</v>
      </c>
      <c r="QO83">
        <v>0.80508100000000005</v>
      </c>
      <c r="QP83">
        <v>0.73884799999999995</v>
      </c>
      <c r="QQ83" t="s">
        <v>114</v>
      </c>
      <c r="QR83" t="s">
        <v>114</v>
      </c>
      <c r="QS83">
        <v>0.68595799999999996</v>
      </c>
      <c r="QT83" t="s">
        <v>114</v>
      </c>
      <c r="QU83" t="s">
        <v>114</v>
      </c>
      <c r="QV83">
        <v>0.75263400000000003</v>
      </c>
      <c r="QW83">
        <v>0.75507400000000002</v>
      </c>
      <c r="QX83">
        <v>0.85475800000000002</v>
      </c>
      <c r="QY83">
        <v>0.86460499999999996</v>
      </c>
      <c r="QZ83">
        <v>0.74409899999999995</v>
      </c>
      <c r="RA83">
        <v>0.78755799999999998</v>
      </c>
      <c r="RB83">
        <v>0.80461000000000005</v>
      </c>
      <c r="RC83">
        <v>0.92147500000000004</v>
      </c>
      <c r="RD83">
        <v>0.90989399999999998</v>
      </c>
      <c r="RE83">
        <v>0.78047599999999995</v>
      </c>
      <c r="RF83">
        <v>0.82743</v>
      </c>
      <c r="RG83">
        <v>0.76720999999999995</v>
      </c>
      <c r="RH83">
        <v>0.88030299999999995</v>
      </c>
      <c r="RI83">
        <v>0.81013299999999999</v>
      </c>
      <c r="RJ83">
        <v>0.81800700000000004</v>
      </c>
      <c r="RK83">
        <v>0.86771900000000002</v>
      </c>
      <c r="RL83">
        <v>0.92278199999999999</v>
      </c>
      <c r="RM83">
        <v>0.78515800000000002</v>
      </c>
      <c r="RN83" t="s">
        <v>114</v>
      </c>
      <c r="RO83">
        <v>0.79364900000000005</v>
      </c>
      <c r="RP83">
        <v>0.71984800000000004</v>
      </c>
      <c r="RQ83">
        <v>0.86962700000000004</v>
      </c>
      <c r="RR83">
        <v>0.82821400000000001</v>
      </c>
      <c r="RS83">
        <v>0.87934500000000004</v>
      </c>
      <c r="RT83">
        <v>0.76633200000000001</v>
      </c>
      <c r="RU83">
        <v>0.89827100000000004</v>
      </c>
      <c r="RV83">
        <v>0.78335200000000005</v>
      </c>
      <c r="RW83">
        <v>0.69162500000000005</v>
      </c>
      <c r="RX83">
        <v>1.000013</v>
      </c>
      <c r="RY83">
        <v>0.802338</v>
      </c>
      <c r="RZ83">
        <v>0.81955500000000003</v>
      </c>
      <c r="SA83">
        <v>0.76813299999999995</v>
      </c>
      <c r="SB83">
        <v>0.80828199999999994</v>
      </c>
      <c r="SC83">
        <v>0.82595499999999999</v>
      </c>
      <c r="SD83">
        <v>0.82501999999999998</v>
      </c>
      <c r="SE83">
        <v>0.82384500000000005</v>
      </c>
      <c r="SF83">
        <v>0.81918500000000005</v>
      </c>
      <c r="SG83">
        <v>0.82761799999999996</v>
      </c>
      <c r="SH83" t="s">
        <v>114</v>
      </c>
      <c r="SI83">
        <v>0.80289999999999995</v>
      </c>
      <c r="SJ83">
        <v>0.69301100000000004</v>
      </c>
      <c r="SK83" t="s">
        <v>114</v>
      </c>
      <c r="SL83" t="s">
        <v>114</v>
      </c>
      <c r="SM83">
        <v>0.91891999999999996</v>
      </c>
      <c r="SN83">
        <v>0.81634099999999998</v>
      </c>
      <c r="SO83" t="s">
        <v>114</v>
      </c>
      <c r="SP83">
        <v>0.79906999999999995</v>
      </c>
      <c r="SQ83">
        <v>0.82397799999999999</v>
      </c>
      <c r="SR83">
        <v>0.79590300000000003</v>
      </c>
      <c r="SS83">
        <v>0.81786199999999998</v>
      </c>
      <c r="ST83">
        <v>0.85228000000000004</v>
      </c>
      <c r="SU83">
        <v>0.804809</v>
      </c>
      <c r="SV83">
        <v>0.78725000000000001</v>
      </c>
      <c r="SW83">
        <v>0.81581899999999996</v>
      </c>
      <c r="SX83">
        <v>0.87544500000000003</v>
      </c>
      <c r="SY83">
        <v>0.85015399999999997</v>
      </c>
      <c r="SZ83">
        <v>0.832256</v>
      </c>
      <c r="TA83">
        <v>0.83346900000000002</v>
      </c>
      <c r="TB83">
        <v>0.81563399999999997</v>
      </c>
      <c r="TC83">
        <v>0.780165</v>
      </c>
      <c r="TD83">
        <v>0.77852200000000005</v>
      </c>
      <c r="TE83">
        <v>0.83030700000000002</v>
      </c>
      <c r="TF83">
        <v>0.82818000000000003</v>
      </c>
      <c r="TG83">
        <v>0.798655</v>
      </c>
      <c r="TH83">
        <v>0.82104200000000005</v>
      </c>
      <c r="TI83">
        <v>0.81698199999999999</v>
      </c>
      <c r="TJ83" t="s">
        <v>114</v>
      </c>
      <c r="TK83">
        <v>0.86404099999999995</v>
      </c>
      <c r="TL83" t="s">
        <v>114</v>
      </c>
      <c r="TM83" t="s">
        <v>114</v>
      </c>
      <c r="TN83">
        <v>0.77561999999999998</v>
      </c>
      <c r="TO83" t="s">
        <v>114</v>
      </c>
      <c r="TP83">
        <v>0.77387499999999998</v>
      </c>
      <c r="TQ83">
        <v>0.82813599999999998</v>
      </c>
      <c r="TR83">
        <v>0.79628900000000002</v>
      </c>
      <c r="TS83">
        <v>0.692778</v>
      </c>
      <c r="TT83">
        <v>0.81278499999999998</v>
      </c>
      <c r="TU83" t="s">
        <v>114</v>
      </c>
      <c r="TV83">
        <v>0.80468899999999999</v>
      </c>
      <c r="TW83">
        <v>0.86598799999999998</v>
      </c>
      <c r="TX83">
        <v>0.768702</v>
      </c>
      <c r="TY83" t="s">
        <v>114</v>
      </c>
      <c r="TZ83">
        <v>0.76192400000000005</v>
      </c>
      <c r="UA83">
        <v>0.78733399999999998</v>
      </c>
      <c r="UB83">
        <v>0.80821399999999999</v>
      </c>
      <c r="UC83" t="s">
        <v>114</v>
      </c>
      <c r="UD83">
        <v>0.762073</v>
      </c>
      <c r="UE83">
        <v>0.74770000000000003</v>
      </c>
      <c r="UF83">
        <v>0.75451800000000002</v>
      </c>
      <c r="UG83">
        <v>0.69461700000000004</v>
      </c>
      <c r="UH83" t="s">
        <v>114</v>
      </c>
      <c r="UI83">
        <v>0.73846999999999996</v>
      </c>
      <c r="UJ83">
        <v>0.77317899999999995</v>
      </c>
      <c r="UK83">
        <v>0.80899900000000002</v>
      </c>
      <c r="UL83">
        <v>0.78242999999999996</v>
      </c>
      <c r="UM83" t="s">
        <v>114</v>
      </c>
      <c r="UN83" t="s">
        <v>114</v>
      </c>
      <c r="UO83" t="s">
        <v>114</v>
      </c>
      <c r="UP83">
        <v>0.77113100000000001</v>
      </c>
      <c r="UQ83" t="s">
        <v>114</v>
      </c>
      <c r="UR83">
        <v>0.762324</v>
      </c>
      <c r="US83">
        <v>0.70941600000000005</v>
      </c>
      <c r="UT83">
        <v>0.88853899999999997</v>
      </c>
      <c r="UU83">
        <v>0.78678499999999996</v>
      </c>
      <c r="UV83">
        <v>0.76698699999999997</v>
      </c>
      <c r="UW83" t="s">
        <v>114</v>
      </c>
      <c r="UX83">
        <v>0.76707000000000003</v>
      </c>
      <c r="UY83">
        <v>0.80152400000000001</v>
      </c>
      <c r="UZ83" t="s">
        <v>114</v>
      </c>
      <c r="VA83">
        <v>0.74043300000000001</v>
      </c>
      <c r="VB83">
        <v>0.63375000000000004</v>
      </c>
      <c r="VC83" t="s">
        <v>114</v>
      </c>
      <c r="VD83">
        <v>0.87764299999999995</v>
      </c>
      <c r="VE83">
        <v>0.73006599999999999</v>
      </c>
      <c r="VF83">
        <v>0.69789699999999999</v>
      </c>
      <c r="VG83">
        <v>0.88610699999999998</v>
      </c>
      <c r="VH83">
        <v>0.82977299999999998</v>
      </c>
      <c r="VI83" t="s">
        <v>114</v>
      </c>
      <c r="VJ83" t="s">
        <v>114</v>
      </c>
      <c r="VK83" t="s">
        <v>114</v>
      </c>
      <c r="VL83" t="s">
        <v>114</v>
      </c>
      <c r="VM83" t="s">
        <v>114</v>
      </c>
      <c r="VN83">
        <v>0.83639699999999995</v>
      </c>
      <c r="VO83">
        <v>0.70035499999999995</v>
      </c>
      <c r="VP83">
        <v>0.76922299999999999</v>
      </c>
      <c r="VQ83">
        <v>0.78829499999999997</v>
      </c>
      <c r="VR83">
        <v>0.60975999999999997</v>
      </c>
      <c r="VS83">
        <v>0.841418</v>
      </c>
      <c r="VT83" t="s">
        <v>114</v>
      </c>
      <c r="VU83">
        <v>0.85092500000000004</v>
      </c>
      <c r="VV83" t="s">
        <v>114</v>
      </c>
      <c r="VW83">
        <v>0.88953499999999996</v>
      </c>
      <c r="VX83" t="s">
        <v>114</v>
      </c>
      <c r="VY83">
        <v>0.77598999999999996</v>
      </c>
      <c r="VZ83">
        <v>0.76414099999999996</v>
      </c>
      <c r="WA83" t="s">
        <v>114</v>
      </c>
      <c r="WB83" t="s">
        <v>114</v>
      </c>
      <c r="WC83" t="s">
        <v>114</v>
      </c>
      <c r="WD83">
        <v>0.84503099999999998</v>
      </c>
      <c r="WE83">
        <v>0.89670899999999998</v>
      </c>
      <c r="WF83">
        <v>0.72427699999999995</v>
      </c>
      <c r="WG83">
        <v>0.80177900000000002</v>
      </c>
      <c r="WH83" t="s">
        <v>114</v>
      </c>
      <c r="WI83">
        <v>0.81629200000000002</v>
      </c>
      <c r="WJ83">
        <v>0.85018700000000003</v>
      </c>
      <c r="WK83">
        <v>0.72901800000000005</v>
      </c>
      <c r="WL83" t="s">
        <v>114</v>
      </c>
      <c r="WM83">
        <v>0.88180499999999995</v>
      </c>
      <c r="WN83">
        <v>0.76157200000000003</v>
      </c>
      <c r="WO83">
        <v>0.68992100000000001</v>
      </c>
      <c r="WP83">
        <v>0.83226699999999998</v>
      </c>
      <c r="WQ83">
        <v>0.83009699999999997</v>
      </c>
      <c r="WR83" t="s">
        <v>114</v>
      </c>
      <c r="WS83">
        <v>0.80176899999999995</v>
      </c>
      <c r="WT83" t="s">
        <v>114</v>
      </c>
      <c r="WU83">
        <v>1.0880909999999999</v>
      </c>
      <c r="WV83" t="s">
        <v>114</v>
      </c>
      <c r="WW83">
        <v>0.76219300000000001</v>
      </c>
      <c r="WX83">
        <v>1.0712269999999999</v>
      </c>
      <c r="WY83">
        <v>0.79228500000000002</v>
      </c>
      <c r="WZ83" t="s">
        <v>114</v>
      </c>
      <c r="XA83">
        <v>0.819102</v>
      </c>
      <c r="XB83" t="s">
        <v>114</v>
      </c>
      <c r="XC83">
        <v>0.85084400000000004</v>
      </c>
      <c r="XD83">
        <v>0.84688600000000003</v>
      </c>
      <c r="XE83">
        <v>0.78438399999999997</v>
      </c>
      <c r="XF83" t="s">
        <v>114</v>
      </c>
      <c r="XG83">
        <v>0.79922199999999999</v>
      </c>
      <c r="XH83">
        <v>0.80390300000000003</v>
      </c>
      <c r="XI83">
        <v>1.0106379999999999</v>
      </c>
      <c r="XJ83">
        <v>0.933114</v>
      </c>
      <c r="XK83">
        <v>0.77120100000000003</v>
      </c>
      <c r="XL83">
        <v>0.90261400000000003</v>
      </c>
      <c r="XM83">
        <v>0.732823</v>
      </c>
      <c r="XN83">
        <v>0.78163800000000005</v>
      </c>
      <c r="XO83">
        <v>0.81309399999999998</v>
      </c>
      <c r="XP83" t="s">
        <v>114</v>
      </c>
      <c r="XQ83" t="s">
        <v>114</v>
      </c>
      <c r="XR83">
        <v>0.79184600000000005</v>
      </c>
      <c r="XS83">
        <v>0.77819799999999995</v>
      </c>
      <c r="XT83">
        <v>0.73957600000000001</v>
      </c>
      <c r="XU83" t="s">
        <v>114</v>
      </c>
      <c r="XV83" t="s">
        <v>114</v>
      </c>
      <c r="XW83" t="s">
        <v>114</v>
      </c>
      <c r="XX83">
        <v>0.82652300000000001</v>
      </c>
      <c r="XY83">
        <v>0.80313000000000001</v>
      </c>
      <c r="XZ83">
        <v>0.82091999999999998</v>
      </c>
      <c r="YA83">
        <v>0.944801</v>
      </c>
      <c r="YB83">
        <v>0.83224699999999996</v>
      </c>
      <c r="YC83">
        <v>0.77570300000000003</v>
      </c>
      <c r="YD83" t="s">
        <v>114</v>
      </c>
      <c r="YE83">
        <v>0.77522100000000005</v>
      </c>
      <c r="YF83" t="s">
        <v>114</v>
      </c>
      <c r="YG83">
        <v>0.78068099999999996</v>
      </c>
      <c r="YH83" t="s">
        <v>114</v>
      </c>
      <c r="YI83" t="s">
        <v>114</v>
      </c>
      <c r="YJ83">
        <v>0.798207</v>
      </c>
      <c r="YK83">
        <v>0.76557200000000003</v>
      </c>
      <c r="YL83">
        <v>0.80193199999999998</v>
      </c>
      <c r="YM83">
        <v>0.73169899999999999</v>
      </c>
      <c r="YN83" t="s">
        <v>114</v>
      </c>
      <c r="YO83" t="s">
        <v>114</v>
      </c>
      <c r="YP83" t="s">
        <v>114</v>
      </c>
      <c r="YQ83">
        <v>0.75240799999999997</v>
      </c>
      <c r="YR83">
        <v>0.79880700000000004</v>
      </c>
      <c r="YS83">
        <v>0.81069500000000005</v>
      </c>
      <c r="YT83" t="s">
        <v>114</v>
      </c>
      <c r="YU83">
        <v>0.78012000000000004</v>
      </c>
      <c r="YV83">
        <v>0.69870699999999997</v>
      </c>
      <c r="YW83" t="s">
        <v>114</v>
      </c>
      <c r="YX83" t="s">
        <v>114</v>
      </c>
      <c r="YY83">
        <v>0.84010799999999997</v>
      </c>
      <c r="YZ83">
        <v>0.76367200000000002</v>
      </c>
      <c r="ZA83">
        <v>0.69537700000000002</v>
      </c>
      <c r="ZB83" t="s">
        <v>114</v>
      </c>
      <c r="ZC83">
        <v>0.727464</v>
      </c>
      <c r="ZD83">
        <v>0.78861899999999996</v>
      </c>
      <c r="ZE83">
        <v>0.75505500000000003</v>
      </c>
      <c r="ZF83">
        <v>0.52416399999999996</v>
      </c>
      <c r="ZG83">
        <v>0.84699199999999997</v>
      </c>
      <c r="ZH83">
        <v>0.79902099999999998</v>
      </c>
      <c r="ZI83">
        <v>0.80780099999999999</v>
      </c>
      <c r="ZJ83">
        <v>0.90791200000000005</v>
      </c>
      <c r="ZK83" t="s">
        <v>114</v>
      </c>
      <c r="ZL83">
        <v>0.90121499999999999</v>
      </c>
      <c r="ZM83">
        <v>0.91429400000000005</v>
      </c>
      <c r="ZN83">
        <v>0.868143</v>
      </c>
      <c r="ZO83">
        <v>0.91140100000000002</v>
      </c>
      <c r="ZP83" t="s">
        <v>114</v>
      </c>
      <c r="ZQ83" t="s">
        <v>114</v>
      </c>
      <c r="ZR83" t="s">
        <v>114</v>
      </c>
      <c r="ZS83" t="s">
        <v>114</v>
      </c>
      <c r="ZT83" t="s">
        <v>114</v>
      </c>
      <c r="ZU83" t="s">
        <v>114</v>
      </c>
      <c r="ZV83">
        <v>0.77018699999999995</v>
      </c>
      <c r="ZW83" t="s">
        <v>114</v>
      </c>
      <c r="ZX83">
        <v>0.82345699999999999</v>
      </c>
      <c r="ZY83">
        <v>0.80003400000000002</v>
      </c>
      <c r="ZZ83">
        <v>0.88575899999999996</v>
      </c>
      <c r="AAA83">
        <v>0.628077</v>
      </c>
      <c r="AAB83">
        <v>0.82528000000000001</v>
      </c>
      <c r="AAC83">
        <v>0.89826600000000001</v>
      </c>
      <c r="AAD83">
        <v>0.80433299999999996</v>
      </c>
      <c r="AAE83">
        <v>0.76085599999999998</v>
      </c>
      <c r="AAF83">
        <v>0.86375500000000005</v>
      </c>
      <c r="AAG83">
        <v>0.85314000000000001</v>
      </c>
      <c r="AAH83" t="s">
        <v>114</v>
      </c>
      <c r="AAI83">
        <v>0.79321600000000003</v>
      </c>
      <c r="AAJ83">
        <v>0.93407300000000004</v>
      </c>
      <c r="AAK83" t="s">
        <v>114</v>
      </c>
      <c r="AAL83" t="s">
        <v>114</v>
      </c>
      <c r="AAM83">
        <v>0.80262999999999995</v>
      </c>
      <c r="AAN83">
        <v>0.76041300000000001</v>
      </c>
      <c r="AAO83">
        <v>0.87772099999999997</v>
      </c>
      <c r="AAP83" t="s">
        <v>114</v>
      </c>
      <c r="AAQ83">
        <v>0.81897900000000001</v>
      </c>
      <c r="AAR83">
        <v>0.85875800000000002</v>
      </c>
      <c r="AAS83" t="s">
        <v>114</v>
      </c>
      <c r="AAT83">
        <v>0.51490000000000002</v>
      </c>
      <c r="AAU83">
        <v>0.96127399999999996</v>
      </c>
      <c r="AAV83">
        <v>0.96142399999999995</v>
      </c>
      <c r="AAW83">
        <v>0.85151699999999997</v>
      </c>
      <c r="AAX83" t="s">
        <v>114</v>
      </c>
      <c r="AAY83">
        <v>0.76049100000000003</v>
      </c>
      <c r="AAZ83" t="s">
        <v>114</v>
      </c>
      <c r="ABA83">
        <v>0.78964800000000002</v>
      </c>
      <c r="ABB83">
        <v>0.86187400000000003</v>
      </c>
      <c r="ABC83">
        <v>0.78403</v>
      </c>
      <c r="ABD83" t="s">
        <v>114</v>
      </c>
      <c r="ABE83">
        <v>0.83253200000000005</v>
      </c>
      <c r="ABF83" t="s">
        <v>114</v>
      </c>
      <c r="ABG83">
        <v>0.75773900000000005</v>
      </c>
      <c r="ABH83">
        <v>0.79394200000000004</v>
      </c>
      <c r="ABI83" t="s">
        <v>114</v>
      </c>
      <c r="ABJ83">
        <v>0.81794199999999995</v>
      </c>
      <c r="ABK83">
        <v>0.77344000000000002</v>
      </c>
      <c r="ABL83">
        <v>0.81297699999999995</v>
      </c>
      <c r="ABM83">
        <v>0.75601099999999999</v>
      </c>
      <c r="ABN83" t="s">
        <v>114</v>
      </c>
      <c r="ABO83" t="s">
        <v>114</v>
      </c>
      <c r="ABP83">
        <v>0.990228</v>
      </c>
      <c r="ABQ83" t="s">
        <v>114</v>
      </c>
      <c r="ABR83">
        <v>0.71986099999999997</v>
      </c>
      <c r="ABS83">
        <v>0.77454800000000001</v>
      </c>
      <c r="ABT83" t="s">
        <v>114</v>
      </c>
      <c r="ABU83" t="s">
        <v>114</v>
      </c>
      <c r="ABV83" t="s">
        <v>114</v>
      </c>
      <c r="ABW83" t="s">
        <v>114</v>
      </c>
      <c r="ABX83">
        <v>0.85519999999999996</v>
      </c>
      <c r="ABY83" t="s">
        <v>114</v>
      </c>
      <c r="ABZ83">
        <v>0.79250100000000001</v>
      </c>
      <c r="ACA83">
        <v>0.72733300000000001</v>
      </c>
      <c r="ACB83" t="s">
        <v>114</v>
      </c>
      <c r="ACC83">
        <v>0.77676699999999999</v>
      </c>
      <c r="ACD83" t="s">
        <v>114</v>
      </c>
      <c r="ACE83" t="s">
        <v>114</v>
      </c>
      <c r="ACF83" t="s">
        <v>114</v>
      </c>
      <c r="ACG83" t="s">
        <v>114</v>
      </c>
      <c r="ACH83" t="s">
        <v>114</v>
      </c>
      <c r="ACI83" t="s">
        <v>114</v>
      </c>
      <c r="ACJ83" t="s">
        <v>114</v>
      </c>
      <c r="ACK83">
        <v>0.740703</v>
      </c>
      <c r="ACL83">
        <v>0.73082499999999995</v>
      </c>
      <c r="ACM83" t="s">
        <v>114</v>
      </c>
      <c r="ACN83">
        <v>0.79111900000000002</v>
      </c>
      <c r="ACO83">
        <v>0.71281099999999997</v>
      </c>
    </row>
    <row r="84" spans="1:769" x14ac:dyDescent="0.25">
      <c r="A84" t="s">
        <v>91</v>
      </c>
      <c r="B84" t="s">
        <v>114</v>
      </c>
      <c r="C84" t="s">
        <v>114</v>
      </c>
      <c r="D84">
        <v>3.9114469999999999</v>
      </c>
      <c r="E84" t="s">
        <v>114</v>
      </c>
      <c r="F84">
        <v>3.9897239999999998</v>
      </c>
      <c r="G84">
        <v>3.9114620000000002</v>
      </c>
      <c r="H84">
        <v>9.3184679999999993</v>
      </c>
      <c r="I84">
        <v>20.453073</v>
      </c>
      <c r="J84" t="s">
        <v>114</v>
      </c>
      <c r="K84">
        <v>37.973354</v>
      </c>
      <c r="L84" t="s">
        <v>114</v>
      </c>
      <c r="M84">
        <v>3.937119</v>
      </c>
      <c r="N84" t="s">
        <v>114</v>
      </c>
      <c r="O84">
        <v>3.9114179999999998</v>
      </c>
      <c r="P84">
        <v>14.335305</v>
      </c>
      <c r="Q84">
        <v>42.365937000000002</v>
      </c>
      <c r="R84" t="s">
        <v>114</v>
      </c>
      <c r="S84" t="s">
        <v>114</v>
      </c>
      <c r="T84" t="s">
        <v>114</v>
      </c>
      <c r="U84">
        <v>4.7613630000000002</v>
      </c>
      <c r="V84">
        <v>5.0033799999999999</v>
      </c>
      <c r="W84" t="s">
        <v>114</v>
      </c>
      <c r="X84">
        <v>5.4165190000000001</v>
      </c>
      <c r="Y84" t="s">
        <v>114</v>
      </c>
      <c r="Z84" t="s">
        <v>114</v>
      </c>
      <c r="AA84">
        <v>4.7610210000000004</v>
      </c>
      <c r="AB84">
        <v>4.9501540000000004</v>
      </c>
      <c r="AC84">
        <v>5.8093070000000004</v>
      </c>
      <c r="AD84" t="s">
        <v>114</v>
      </c>
      <c r="AE84">
        <v>5.3671430000000004</v>
      </c>
      <c r="AF84">
        <v>66.863493000000005</v>
      </c>
      <c r="AG84">
        <v>18.731836999999999</v>
      </c>
      <c r="AH84">
        <v>124.19810699999999</v>
      </c>
      <c r="AI84" t="s">
        <v>114</v>
      </c>
      <c r="AJ84">
        <v>4.2723079999999998</v>
      </c>
      <c r="AK84">
        <v>6.6882510000000002</v>
      </c>
      <c r="AL84">
        <v>8.2176209999999994</v>
      </c>
      <c r="AM84">
        <v>68.157679999999999</v>
      </c>
      <c r="AN84">
        <v>4.334676</v>
      </c>
      <c r="AO84">
        <v>4.2722990000000003</v>
      </c>
      <c r="AP84">
        <v>13.99784</v>
      </c>
      <c r="AQ84">
        <v>65.983671000000001</v>
      </c>
      <c r="AR84">
        <v>4.2723259999999996</v>
      </c>
      <c r="AS84">
        <v>31.939247000000002</v>
      </c>
      <c r="AT84" t="s">
        <v>114</v>
      </c>
      <c r="AU84">
        <v>5.209371</v>
      </c>
      <c r="AV84" t="s">
        <v>114</v>
      </c>
      <c r="AW84">
        <v>4.9878549999999997</v>
      </c>
      <c r="AX84">
        <v>5.4969070000000002</v>
      </c>
      <c r="AY84">
        <v>28.479279999999999</v>
      </c>
      <c r="AZ84">
        <v>5.8254760000000001</v>
      </c>
      <c r="BA84">
        <v>5.3969589999999998</v>
      </c>
      <c r="BB84" t="s">
        <v>114</v>
      </c>
      <c r="BC84" t="s">
        <v>114</v>
      </c>
      <c r="BD84">
        <v>5.6006130000000001</v>
      </c>
      <c r="BE84">
        <v>5.3969769999999997</v>
      </c>
      <c r="BF84">
        <v>5.3969500000000004</v>
      </c>
      <c r="BG84">
        <v>20.381952999999999</v>
      </c>
      <c r="BH84">
        <v>148.077067</v>
      </c>
      <c r="BI84">
        <v>6.2491320000000004</v>
      </c>
      <c r="BJ84">
        <v>5.3969610000000001</v>
      </c>
      <c r="BK84">
        <v>5.4969099999999997</v>
      </c>
      <c r="BL84" t="s">
        <v>114</v>
      </c>
      <c r="BM84">
        <v>5.4464889999999997</v>
      </c>
      <c r="BN84" t="s">
        <v>114</v>
      </c>
      <c r="BO84" t="s">
        <v>114</v>
      </c>
      <c r="BP84">
        <v>3.2061579999999998</v>
      </c>
      <c r="BQ84">
        <v>3.967136</v>
      </c>
      <c r="BR84" t="s">
        <v>114</v>
      </c>
      <c r="BS84">
        <v>2.7229610000000002</v>
      </c>
      <c r="BT84">
        <v>4.3457759999999999</v>
      </c>
      <c r="BU84" t="s">
        <v>114</v>
      </c>
      <c r="BV84" t="s">
        <v>114</v>
      </c>
      <c r="BW84">
        <v>2.6623790000000001</v>
      </c>
      <c r="BX84" t="s">
        <v>114</v>
      </c>
      <c r="BY84" t="s">
        <v>114</v>
      </c>
      <c r="BZ84">
        <v>3.4471509999999999</v>
      </c>
      <c r="CA84" t="s">
        <v>114</v>
      </c>
      <c r="CB84">
        <v>51.420591999999999</v>
      </c>
      <c r="CC84">
        <v>19.166283</v>
      </c>
      <c r="CD84">
        <v>7.325564</v>
      </c>
      <c r="CE84">
        <v>76.784440000000004</v>
      </c>
      <c r="CF84" t="s">
        <v>114</v>
      </c>
      <c r="CG84">
        <v>4.0847530000000001</v>
      </c>
      <c r="CH84" t="s">
        <v>114</v>
      </c>
      <c r="CI84">
        <v>3.5711849999999998</v>
      </c>
      <c r="CJ84">
        <v>3.8462139999999998</v>
      </c>
      <c r="CK84" t="s">
        <v>114</v>
      </c>
      <c r="CL84">
        <v>3.9495849999999999</v>
      </c>
      <c r="CM84">
        <v>22.900974999999999</v>
      </c>
      <c r="CN84" t="s">
        <v>114</v>
      </c>
      <c r="CO84">
        <v>4.9679270000000004</v>
      </c>
      <c r="CP84">
        <v>3.9758900000000001</v>
      </c>
      <c r="CQ84">
        <v>4.4506050000000004</v>
      </c>
      <c r="CR84">
        <v>58.744337999999999</v>
      </c>
      <c r="CS84">
        <v>10.096719</v>
      </c>
      <c r="CT84" t="s">
        <v>114</v>
      </c>
      <c r="CU84">
        <v>3.9098989999999998</v>
      </c>
      <c r="CV84">
        <v>3.909891</v>
      </c>
      <c r="CW84">
        <v>5.0795260000000004</v>
      </c>
      <c r="CX84">
        <v>5.4026709999999998</v>
      </c>
      <c r="CY84">
        <v>4.3730859999999998</v>
      </c>
      <c r="CZ84">
        <v>3.909894</v>
      </c>
      <c r="DA84" t="s">
        <v>114</v>
      </c>
      <c r="DB84">
        <v>4.5399099999999999</v>
      </c>
      <c r="DC84">
        <v>4.8713090000000001</v>
      </c>
      <c r="DD84">
        <v>3.9098350000000002</v>
      </c>
      <c r="DE84">
        <v>23.401457000000001</v>
      </c>
      <c r="DF84">
        <v>3.9098480000000002</v>
      </c>
      <c r="DG84">
        <v>25.033200000000001</v>
      </c>
      <c r="DH84">
        <v>42.655458000000003</v>
      </c>
      <c r="DI84">
        <v>3.8843779999999999</v>
      </c>
      <c r="DJ84">
        <v>39.8003</v>
      </c>
      <c r="DK84">
        <v>37.298214999999999</v>
      </c>
      <c r="DL84">
        <v>3.4927570000000001</v>
      </c>
      <c r="DM84">
        <v>3.7334870000000002</v>
      </c>
      <c r="DN84" t="s">
        <v>114</v>
      </c>
      <c r="DO84">
        <v>3.555555</v>
      </c>
      <c r="DP84">
        <v>12.600313999999999</v>
      </c>
      <c r="DQ84">
        <v>3.432277</v>
      </c>
      <c r="DR84">
        <v>3.5555490000000001</v>
      </c>
      <c r="DS84">
        <v>3.4322349999999999</v>
      </c>
      <c r="DT84" t="s">
        <v>114</v>
      </c>
      <c r="DU84">
        <v>4.3924130000000003</v>
      </c>
      <c r="DV84" t="s">
        <v>114</v>
      </c>
      <c r="DW84" t="s">
        <v>114</v>
      </c>
      <c r="DX84">
        <v>3.7111710000000002</v>
      </c>
      <c r="DY84">
        <v>41.46208</v>
      </c>
      <c r="DZ84">
        <v>8.1161019999999997</v>
      </c>
      <c r="EA84">
        <v>2.9055369999999998</v>
      </c>
      <c r="EB84" t="s">
        <v>114</v>
      </c>
      <c r="EC84" t="s">
        <v>114</v>
      </c>
      <c r="ED84" t="s">
        <v>114</v>
      </c>
      <c r="EE84">
        <v>13.634936</v>
      </c>
      <c r="EF84">
        <v>9.9947130000000008</v>
      </c>
      <c r="EG84">
        <v>3.773962</v>
      </c>
      <c r="EH84">
        <v>7.8457600000000003</v>
      </c>
      <c r="EI84">
        <v>3.5479210000000001</v>
      </c>
      <c r="EJ84">
        <v>20.039234</v>
      </c>
      <c r="EK84">
        <v>82.712114</v>
      </c>
      <c r="EL84">
        <v>10.330333</v>
      </c>
      <c r="EM84">
        <v>4.8967640000000001</v>
      </c>
      <c r="EN84">
        <v>31.918935999999999</v>
      </c>
      <c r="EO84" t="s">
        <v>114</v>
      </c>
      <c r="EP84">
        <v>12.000692000000001</v>
      </c>
      <c r="EQ84">
        <v>11.436652</v>
      </c>
      <c r="ER84">
        <v>10.829789999999999</v>
      </c>
      <c r="ES84">
        <v>24.488962999999998</v>
      </c>
      <c r="ET84">
        <v>129.79300000000001</v>
      </c>
      <c r="EU84">
        <v>9.2922639999999994</v>
      </c>
      <c r="EV84" t="s">
        <v>114</v>
      </c>
      <c r="EW84">
        <v>48.004153000000002</v>
      </c>
      <c r="EX84">
        <v>16.45795</v>
      </c>
      <c r="EY84">
        <v>50.601936000000002</v>
      </c>
      <c r="EZ84">
        <v>30.039076999999999</v>
      </c>
      <c r="FA84">
        <v>8.8604719999999997</v>
      </c>
      <c r="FB84" t="s">
        <v>114</v>
      </c>
      <c r="FC84">
        <v>18.001239999999999</v>
      </c>
      <c r="FD84" t="s">
        <v>114</v>
      </c>
      <c r="FE84" t="s">
        <v>114</v>
      </c>
      <c r="FF84">
        <v>11.996323</v>
      </c>
      <c r="FG84">
        <v>9.3311189999999993</v>
      </c>
      <c r="FH84">
        <v>8.1648420000000002</v>
      </c>
      <c r="FI84">
        <v>72.898820000000001</v>
      </c>
      <c r="FJ84">
        <v>14.695512000000001</v>
      </c>
      <c r="FK84">
        <v>12.247317000000001</v>
      </c>
      <c r="FL84">
        <v>10.313065</v>
      </c>
      <c r="FM84">
        <v>13.651120000000001</v>
      </c>
      <c r="FN84" t="s">
        <v>114</v>
      </c>
      <c r="FO84" t="s">
        <v>114</v>
      </c>
      <c r="FP84">
        <v>10.135149</v>
      </c>
      <c r="FQ84">
        <v>91.582227000000003</v>
      </c>
      <c r="FR84">
        <v>13.672199000000001</v>
      </c>
      <c r="FS84">
        <v>8.6461039999999993</v>
      </c>
      <c r="FT84">
        <v>37.353375999999997</v>
      </c>
      <c r="FU84">
        <v>9.798057</v>
      </c>
      <c r="FV84">
        <v>7.7915929999999998</v>
      </c>
      <c r="FW84">
        <v>12.547727</v>
      </c>
      <c r="FX84">
        <v>11.843438000000001</v>
      </c>
      <c r="FY84">
        <v>10.965852</v>
      </c>
      <c r="FZ84">
        <v>6.1046699999999996</v>
      </c>
      <c r="GA84">
        <v>11.779494</v>
      </c>
      <c r="GB84">
        <v>25.745588999999999</v>
      </c>
      <c r="GC84">
        <v>10.307854000000001</v>
      </c>
      <c r="GD84">
        <v>5.1942490000000001</v>
      </c>
      <c r="GE84">
        <v>5.4325729999999997</v>
      </c>
      <c r="GF84">
        <v>40.28248</v>
      </c>
      <c r="GG84">
        <v>65.455439999999996</v>
      </c>
      <c r="GH84">
        <v>7.7913379999999997</v>
      </c>
      <c r="GI84" t="s">
        <v>114</v>
      </c>
      <c r="GJ84">
        <v>13.743674</v>
      </c>
      <c r="GK84">
        <v>13.118713</v>
      </c>
      <c r="GL84">
        <v>182.80368000000001</v>
      </c>
      <c r="GM84" t="s">
        <v>114</v>
      </c>
      <c r="GN84">
        <v>21.899536000000001</v>
      </c>
      <c r="GO84" t="s">
        <v>114</v>
      </c>
      <c r="GP84">
        <v>7.6146570000000002</v>
      </c>
      <c r="GQ84">
        <v>7.815048</v>
      </c>
      <c r="GR84">
        <v>10.734654000000001</v>
      </c>
      <c r="GS84">
        <v>147.91048000000001</v>
      </c>
      <c r="GT84">
        <v>8.4662930000000003</v>
      </c>
      <c r="GU84" t="s">
        <v>114</v>
      </c>
      <c r="GV84">
        <v>15.206996</v>
      </c>
      <c r="GW84" t="s">
        <v>114</v>
      </c>
      <c r="GX84">
        <v>10.333034</v>
      </c>
      <c r="GY84">
        <v>12.338421</v>
      </c>
      <c r="GZ84">
        <v>7.8149579999999998</v>
      </c>
      <c r="HA84">
        <v>15.283348999999999</v>
      </c>
      <c r="HB84">
        <v>11.671068</v>
      </c>
      <c r="HC84">
        <v>14.663836</v>
      </c>
      <c r="HD84">
        <v>11.696073999999999</v>
      </c>
      <c r="HE84">
        <v>58.890979999999999</v>
      </c>
      <c r="HF84" t="s">
        <v>114</v>
      </c>
      <c r="HG84">
        <v>6.7559250000000004</v>
      </c>
      <c r="HH84">
        <v>7.0779059999999996</v>
      </c>
      <c r="HI84">
        <v>17.870799999999999</v>
      </c>
      <c r="HJ84">
        <v>6.784897</v>
      </c>
      <c r="HK84">
        <v>15.455892</v>
      </c>
      <c r="HL84">
        <v>12.708204</v>
      </c>
      <c r="HM84">
        <v>239.70583999999999</v>
      </c>
      <c r="HN84">
        <v>15.038900999999999</v>
      </c>
      <c r="HO84">
        <v>6.258184</v>
      </c>
      <c r="HP84" t="s">
        <v>114</v>
      </c>
      <c r="HQ84">
        <v>15.456189999999999</v>
      </c>
      <c r="HR84">
        <v>37.860368000000001</v>
      </c>
      <c r="HS84" t="s">
        <v>114</v>
      </c>
      <c r="HT84">
        <v>5.431521</v>
      </c>
      <c r="HU84">
        <v>7.4942229999999999</v>
      </c>
      <c r="HV84" t="s">
        <v>114</v>
      </c>
      <c r="HW84" t="s">
        <v>114</v>
      </c>
      <c r="HX84">
        <v>5.8042350000000003</v>
      </c>
      <c r="HY84">
        <v>4.813415</v>
      </c>
      <c r="HZ84">
        <v>8.8361339999999995</v>
      </c>
      <c r="IA84">
        <v>47.005585000000004</v>
      </c>
      <c r="IB84" t="s">
        <v>114</v>
      </c>
      <c r="IC84" t="s">
        <v>114</v>
      </c>
      <c r="ID84" t="s">
        <v>114</v>
      </c>
      <c r="IE84">
        <v>4.6253440000000001</v>
      </c>
      <c r="IF84">
        <v>12.795864999999999</v>
      </c>
      <c r="IG84" t="s">
        <v>114</v>
      </c>
      <c r="IH84">
        <v>11.717810999999999</v>
      </c>
      <c r="II84" t="s">
        <v>114</v>
      </c>
      <c r="IJ84">
        <v>4.875108</v>
      </c>
      <c r="IK84" t="s">
        <v>114</v>
      </c>
      <c r="IL84" t="s">
        <v>114</v>
      </c>
      <c r="IM84" t="s">
        <v>114</v>
      </c>
      <c r="IN84">
        <v>5.4633760000000002</v>
      </c>
      <c r="IO84">
        <v>5.3213030000000003</v>
      </c>
      <c r="IP84">
        <v>4.9984859999999998</v>
      </c>
      <c r="IQ84" t="s">
        <v>114</v>
      </c>
      <c r="IR84">
        <v>4.2227170000000003</v>
      </c>
      <c r="IS84">
        <v>5.850041</v>
      </c>
      <c r="IT84">
        <v>30.252244999999998</v>
      </c>
      <c r="IU84">
        <v>182.75847999999999</v>
      </c>
      <c r="IV84">
        <v>38.987851999999997</v>
      </c>
      <c r="IW84">
        <v>58.437736999999998</v>
      </c>
      <c r="IX84">
        <v>8.6310040000000008</v>
      </c>
      <c r="IY84">
        <v>4.726477</v>
      </c>
      <c r="IZ84">
        <v>5.0899749999999999</v>
      </c>
      <c r="JA84">
        <v>5.954752</v>
      </c>
      <c r="JB84">
        <v>118.09052</v>
      </c>
      <c r="JC84">
        <v>9.9146300000000007</v>
      </c>
      <c r="JD84">
        <v>4.6891499999999997</v>
      </c>
      <c r="JE84">
        <v>5.4137250000000003</v>
      </c>
      <c r="JF84">
        <v>295.1728</v>
      </c>
      <c r="JG84">
        <v>4.6891670000000003</v>
      </c>
      <c r="JH84">
        <v>10.415269</v>
      </c>
      <c r="JI84" t="s">
        <v>114</v>
      </c>
      <c r="JJ84" t="s">
        <v>114</v>
      </c>
      <c r="JK84">
        <v>8.3875080000000004</v>
      </c>
      <c r="JL84">
        <v>4.7262909999999998</v>
      </c>
      <c r="JM84">
        <v>4.7262769999999996</v>
      </c>
      <c r="JN84">
        <v>4.37608</v>
      </c>
      <c r="JO84" t="s">
        <v>114</v>
      </c>
      <c r="JP84">
        <v>4.6497039999999998</v>
      </c>
      <c r="JQ84">
        <v>164.80423999999999</v>
      </c>
      <c r="JR84">
        <v>5.4097819999999999</v>
      </c>
      <c r="JS84" t="s">
        <v>114</v>
      </c>
      <c r="JT84" t="s">
        <v>114</v>
      </c>
      <c r="JU84">
        <v>4.4086540000000003</v>
      </c>
      <c r="JV84" t="s">
        <v>114</v>
      </c>
      <c r="JW84">
        <v>43.600560000000002</v>
      </c>
      <c r="JX84" t="s">
        <v>114</v>
      </c>
      <c r="JY84">
        <v>91.011259999999993</v>
      </c>
      <c r="JZ84" t="s">
        <v>114</v>
      </c>
      <c r="KA84" t="s">
        <v>114</v>
      </c>
      <c r="KB84" t="s">
        <v>114</v>
      </c>
      <c r="KC84" t="s">
        <v>114</v>
      </c>
      <c r="KD84">
        <v>7.0095109999999998</v>
      </c>
      <c r="KE84">
        <v>17.270500999999999</v>
      </c>
      <c r="KF84">
        <v>7.0928699999999996</v>
      </c>
      <c r="KG84">
        <v>6.9279250000000001</v>
      </c>
      <c r="KH84" t="s">
        <v>114</v>
      </c>
      <c r="KI84">
        <v>8.6352589999999996</v>
      </c>
      <c r="KJ84">
        <v>67.659189999999995</v>
      </c>
      <c r="KK84">
        <v>7.0093880000000004</v>
      </c>
      <c r="KL84" t="s">
        <v>114</v>
      </c>
      <c r="KM84">
        <v>7.2658800000000001</v>
      </c>
      <c r="KN84">
        <v>7.1783109999999999</v>
      </c>
      <c r="KO84" t="s">
        <v>114</v>
      </c>
      <c r="KP84">
        <v>7.5417630000000004</v>
      </c>
      <c r="KQ84">
        <v>9.9300560000000004</v>
      </c>
      <c r="KR84">
        <v>7.5417820000000004</v>
      </c>
      <c r="KS84">
        <v>7.2657550000000004</v>
      </c>
      <c r="KT84">
        <v>6.851369</v>
      </c>
      <c r="KU84" t="s">
        <v>114</v>
      </c>
      <c r="KV84">
        <v>42.052788999999997</v>
      </c>
      <c r="KW84">
        <v>6.478955</v>
      </c>
      <c r="KX84">
        <v>23.587664</v>
      </c>
      <c r="KY84">
        <v>6.8513419999999998</v>
      </c>
      <c r="KZ84">
        <v>66.75197</v>
      </c>
      <c r="LA84">
        <v>6.8513130000000002</v>
      </c>
      <c r="LB84">
        <v>7.545229</v>
      </c>
      <c r="LC84">
        <v>6.8513789999999997</v>
      </c>
      <c r="LD84" t="s">
        <v>114</v>
      </c>
      <c r="LE84">
        <v>9.1268700000000003</v>
      </c>
      <c r="LF84">
        <v>14.928210999999999</v>
      </c>
      <c r="LG84">
        <v>6.8513840000000004</v>
      </c>
      <c r="LH84">
        <v>8.6387250000000009</v>
      </c>
      <c r="LI84">
        <v>7.0960749999999999</v>
      </c>
      <c r="LJ84">
        <v>6.3826090000000004</v>
      </c>
      <c r="LK84">
        <v>6.3826099999999997</v>
      </c>
      <c r="LL84">
        <v>6.3826049999999999</v>
      </c>
      <c r="LM84">
        <v>6.3826179999999999</v>
      </c>
      <c r="LN84">
        <v>13.490456</v>
      </c>
      <c r="LO84">
        <v>6.3825820000000002</v>
      </c>
      <c r="LP84">
        <v>6.3825719999999997</v>
      </c>
      <c r="LQ84">
        <v>6.3826090000000004</v>
      </c>
      <c r="LR84" t="s">
        <v>114</v>
      </c>
      <c r="LS84">
        <v>13.495088000000001</v>
      </c>
      <c r="LT84">
        <v>6.3826130000000001</v>
      </c>
      <c r="LU84">
        <v>6.4519780000000004</v>
      </c>
      <c r="LV84">
        <v>6.3825820000000002</v>
      </c>
      <c r="LW84" t="s">
        <v>114</v>
      </c>
      <c r="LX84">
        <v>6.3826150000000004</v>
      </c>
      <c r="LY84">
        <v>6.2482249999999997</v>
      </c>
      <c r="LZ84">
        <v>72.803146999999996</v>
      </c>
      <c r="MA84">
        <v>7.3237120000000004</v>
      </c>
      <c r="MB84">
        <v>7.3333219999999999</v>
      </c>
      <c r="MC84">
        <v>32.771338999999998</v>
      </c>
      <c r="MD84">
        <v>7.2432730000000003</v>
      </c>
      <c r="ME84">
        <v>7.2434770000000004</v>
      </c>
      <c r="MF84">
        <v>7.24376</v>
      </c>
      <c r="MG84">
        <v>37.076900000000002</v>
      </c>
      <c r="MH84">
        <v>15.835526</v>
      </c>
      <c r="MI84">
        <v>7.2436400000000001</v>
      </c>
      <c r="MJ84">
        <v>7.3238890000000003</v>
      </c>
      <c r="MK84">
        <v>7.2344989999999996</v>
      </c>
      <c r="ML84" t="s">
        <v>114</v>
      </c>
      <c r="MM84">
        <v>7.243652</v>
      </c>
      <c r="MN84">
        <v>7.3237930000000002</v>
      </c>
      <c r="MO84">
        <v>7.2344480000000004</v>
      </c>
      <c r="MP84">
        <v>5.8539599999999998</v>
      </c>
      <c r="MQ84">
        <v>36.842233999999998</v>
      </c>
      <c r="MR84">
        <v>6.0952869999999999</v>
      </c>
      <c r="MS84" t="s">
        <v>114</v>
      </c>
      <c r="MT84">
        <v>5.8539000000000003</v>
      </c>
      <c r="MU84">
        <v>6.3574640000000002</v>
      </c>
      <c r="MV84">
        <v>5.8539050000000001</v>
      </c>
      <c r="MW84">
        <v>5.8539240000000001</v>
      </c>
      <c r="MX84" t="s">
        <v>114</v>
      </c>
      <c r="MY84" t="s">
        <v>114</v>
      </c>
      <c r="MZ84">
        <v>5.8538819999999996</v>
      </c>
      <c r="NA84">
        <v>5.8539019999999997</v>
      </c>
      <c r="NB84">
        <v>87.635819999999995</v>
      </c>
      <c r="NC84">
        <v>5.8537920000000003</v>
      </c>
      <c r="ND84">
        <v>5.853745</v>
      </c>
      <c r="NE84">
        <v>8.82789</v>
      </c>
      <c r="NF84">
        <v>5.1565919999999998</v>
      </c>
      <c r="NG84">
        <v>10.796182999999999</v>
      </c>
      <c r="NH84">
        <v>4.3416600000000001</v>
      </c>
      <c r="NI84">
        <v>4.3345940000000001</v>
      </c>
      <c r="NJ84">
        <v>4.3033590000000004</v>
      </c>
      <c r="NK84">
        <v>23.43045</v>
      </c>
      <c r="NL84">
        <v>4.3346080000000002</v>
      </c>
      <c r="NM84">
        <v>4.3346289999999996</v>
      </c>
      <c r="NN84">
        <v>4.4309079999999996</v>
      </c>
      <c r="NO84">
        <v>4.3033929999999998</v>
      </c>
      <c r="NP84">
        <v>4.3034160000000004</v>
      </c>
      <c r="NQ84" t="s">
        <v>114</v>
      </c>
      <c r="NR84">
        <v>4.3662179999999999</v>
      </c>
      <c r="NS84">
        <v>4.5059889999999996</v>
      </c>
      <c r="NT84">
        <v>4.3662289999999997</v>
      </c>
      <c r="NU84">
        <v>4.3983660000000002</v>
      </c>
      <c r="NV84">
        <v>4.1746740000000004</v>
      </c>
      <c r="NW84">
        <v>4.5571080000000004</v>
      </c>
      <c r="NX84">
        <v>4.4222250000000001</v>
      </c>
      <c r="NY84" t="s">
        <v>114</v>
      </c>
      <c r="NZ84" t="s">
        <v>114</v>
      </c>
      <c r="OA84">
        <v>30.833787000000001</v>
      </c>
      <c r="OB84">
        <v>4.033811</v>
      </c>
      <c r="OC84">
        <v>4.0613200000000003</v>
      </c>
      <c r="OD84">
        <v>8.5568310000000007</v>
      </c>
      <c r="OE84">
        <v>14.933407000000001</v>
      </c>
      <c r="OF84">
        <v>109.95544</v>
      </c>
      <c r="OG84">
        <v>3.9801259999999998</v>
      </c>
      <c r="OH84">
        <v>4.0338409999999998</v>
      </c>
      <c r="OI84" t="s">
        <v>114</v>
      </c>
      <c r="OJ84">
        <v>3.9537629999999999</v>
      </c>
      <c r="OK84">
        <v>3.9801229999999999</v>
      </c>
      <c r="OL84">
        <v>4.6409320000000003</v>
      </c>
      <c r="OM84">
        <v>6.4190620000000003</v>
      </c>
      <c r="ON84">
        <v>3.876077</v>
      </c>
      <c r="OO84" t="s">
        <v>114</v>
      </c>
      <c r="OP84">
        <v>3.6845819999999998</v>
      </c>
      <c r="OQ84" t="s">
        <v>114</v>
      </c>
      <c r="OR84" t="s">
        <v>114</v>
      </c>
      <c r="OS84">
        <v>114.39239999999999</v>
      </c>
      <c r="OT84" t="s">
        <v>114</v>
      </c>
      <c r="OU84" t="s">
        <v>114</v>
      </c>
      <c r="OV84" t="s">
        <v>114</v>
      </c>
      <c r="OW84" t="s">
        <v>114</v>
      </c>
      <c r="OX84" t="s">
        <v>114</v>
      </c>
      <c r="OY84" t="s">
        <v>114</v>
      </c>
      <c r="OZ84" t="s">
        <v>114</v>
      </c>
      <c r="PA84" t="s">
        <v>114</v>
      </c>
      <c r="PB84">
        <v>5.0240429999999998</v>
      </c>
      <c r="PC84">
        <v>4.9410270000000001</v>
      </c>
      <c r="PD84" t="s">
        <v>114</v>
      </c>
      <c r="PE84">
        <v>5.6954919999999998</v>
      </c>
      <c r="PF84">
        <v>13.061234000000001</v>
      </c>
      <c r="PG84">
        <v>6.1005710000000004</v>
      </c>
      <c r="PH84">
        <v>6.0389749999999998</v>
      </c>
      <c r="PI84">
        <v>50.672916000000001</v>
      </c>
      <c r="PJ84">
        <v>12.25672</v>
      </c>
      <c r="PK84">
        <v>5.9785760000000003</v>
      </c>
      <c r="PL84" t="s">
        <v>114</v>
      </c>
      <c r="PM84">
        <v>6.498399</v>
      </c>
      <c r="PN84" t="s">
        <v>114</v>
      </c>
      <c r="PO84" t="s">
        <v>114</v>
      </c>
      <c r="PP84">
        <v>21.212399999999999</v>
      </c>
      <c r="PQ84">
        <v>9.2546990000000005</v>
      </c>
      <c r="PR84">
        <v>7.4673629999999998</v>
      </c>
      <c r="PS84">
        <v>5.345993</v>
      </c>
      <c r="PT84">
        <v>71.349703000000005</v>
      </c>
      <c r="PU84">
        <v>5.3953509999999998</v>
      </c>
      <c r="PV84">
        <v>5.2985689999999996</v>
      </c>
      <c r="PW84">
        <v>5.2520629999999997</v>
      </c>
      <c r="PX84">
        <v>5.2514089999999998</v>
      </c>
      <c r="PY84">
        <v>7.0224950000000002</v>
      </c>
      <c r="PZ84">
        <v>5.2516740000000004</v>
      </c>
      <c r="QA84">
        <v>14.133290000000001</v>
      </c>
      <c r="QB84">
        <v>7.222944</v>
      </c>
      <c r="QC84">
        <v>41.905934999999999</v>
      </c>
      <c r="QD84">
        <v>5.9581920000000004</v>
      </c>
      <c r="QE84">
        <v>6.6484800000000002</v>
      </c>
      <c r="QF84">
        <v>25.727636</v>
      </c>
      <c r="QG84">
        <v>5.3948650000000002</v>
      </c>
      <c r="QH84" t="s">
        <v>114</v>
      </c>
      <c r="QI84" t="s">
        <v>114</v>
      </c>
      <c r="QJ84">
        <v>4.398549</v>
      </c>
      <c r="QK84">
        <v>5.3410289999999998</v>
      </c>
      <c r="QL84" t="s">
        <v>114</v>
      </c>
      <c r="QM84">
        <v>6.6649900000000004</v>
      </c>
      <c r="QN84" t="s">
        <v>114</v>
      </c>
      <c r="QO84">
        <v>49.331989999999998</v>
      </c>
      <c r="QP84">
        <v>14.237571000000001</v>
      </c>
      <c r="QQ84" t="s">
        <v>114</v>
      </c>
      <c r="QR84" t="s">
        <v>114</v>
      </c>
      <c r="QS84">
        <v>9.6356920000000006</v>
      </c>
      <c r="QT84" t="s">
        <v>114</v>
      </c>
      <c r="QU84" t="s">
        <v>114</v>
      </c>
      <c r="QV84">
        <v>4.6017320000000002</v>
      </c>
      <c r="QW84">
        <v>4.464296</v>
      </c>
      <c r="QX84">
        <v>56.469909999999999</v>
      </c>
      <c r="QY84">
        <v>20.680002999999999</v>
      </c>
      <c r="QZ84">
        <v>5.0980860000000003</v>
      </c>
      <c r="RA84">
        <v>5.2333309999999997</v>
      </c>
      <c r="RB84">
        <v>5.1376400000000002</v>
      </c>
      <c r="RC84">
        <v>12.309229999999999</v>
      </c>
      <c r="RD84">
        <v>9.3785450000000008</v>
      </c>
      <c r="RE84">
        <v>5.2754390000000004</v>
      </c>
      <c r="RF84">
        <v>6.7140959999999996</v>
      </c>
      <c r="RG84">
        <v>5.3228949999999999</v>
      </c>
      <c r="RH84">
        <v>14.797707000000001</v>
      </c>
      <c r="RI84">
        <v>11.315666</v>
      </c>
      <c r="RJ84">
        <v>5.1376549999999996</v>
      </c>
      <c r="RK84">
        <v>7.6731670000000003</v>
      </c>
      <c r="RL84">
        <v>6.7140199999999997</v>
      </c>
      <c r="RM84">
        <v>5.0499749999999999</v>
      </c>
      <c r="RN84" t="s">
        <v>114</v>
      </c>
      <c r="RO84">
        <v>5.0223079999999998</v>
      </c>
      <c r="RP84">
        <v>266.27319999999997</v>
      </c>
      <c r="RQ84">
        <v>5.3849400000000003</v>
      </c>
      <c r="RR84">
        <v>5.5853890000000002</v>
      </c>
      <c r="RS84">
        <v>14.741368</v>
      </c>
      <c r="RT84">
        <v>5.108784</v>
      </c>
      <c r="RU84">
        <v>21.493141000000001</v>
      </c>
      <c r="RV84">
        <v>5.0222550000000004</v>
      </c>
      <c r="RW84">
        <v>5.580031</v>
      </c>
      <c r="RX84">
        <v>105.230987</v>
      </c>
      <c r="RY84">
        <v>5.023002</v>
      </c>
      <c r="RZ84">
        <v>5.2425319999999997</v>
      </c>
      <c r="SA84">
        <v>42.354892999999997</v>
      </c>
      <c r="SB84">
        <v>96.462800000000001</v>
      </c>
      <c r="SC84">
        <v>6.2400130000000003</v>
      </c>
      <c r="SD84">
        <v>4.1277109999999997</v>
      </c>
      <c r="SE84">
        <v>3.646547</v>
      </c>
      <c r="SF84">
        <v>4.0992009999999999</v>
      </c>
      <c r="SG84">
        <v>4.0434150000000004</v>
      </c>
      <c r="SH84" t="s">
        <v>114</v>
      </c>
      <c r="SI84">
        <v>3.6243780000000001</v>
      </c>
      <c r="SJ84">
        <v>42.068213</v>
      </c>
      <c r="SK84" t="s">
        <v>114</v>
      </c>
      <c r="SL84" t="s">
        <v>114</v>
      </c>
      <c r="SM84">
        <v>25.981389</v>
      </c>
      <c r="SN84">
        <v>3.7147999999999999</v>
      </c>
      <c r="SO84" t="s">
        <v>114</v>
      </c>
      <c r="SP84">
        <v>6.6018460000000001</v>
      </c>
      <c r="SQ84">
        <v>25.199622999999999</v>
      </c>
      <c r="SR84">
        <v>4.1921730000000004</v>
      </c>
      <c r="SS84">
        <v>4.0709780000000002</v>
      </c>
      <c r="ST84">
        <v>17.672936</v>
      </c>
      <c r="SU84">
        <v>8.0017420000000001</v>
      </c>
      <c r="SV84">
        <v>229.12280000000001</v>
      </c>
      <c r="SW84">
        <v>8.7100150000000003</v>
      </c>
      <c r="SX84" t="s">
        <v>114</v>
      </c>
      <c r="SY84">
        <v>12.087128</v>
      </c>
      <c r="SZ84">
        <v>12.392327</v>
      </c>
      <c r="TA84">
        <v>8.3419969999999992</v>
      </c>
      <c r="TB84">
        <v>12.087213</v>
      </c>
      <c r="TC84">
        <v>8.8385529999999992</v>
      </c>
      <c r="TD84">
        <v>8.8384</v>
      </c>
      <c r="TE84">
        <v>9.4013000000000009</v>
      </c>
      <c r="TF84">
        <v>11.845368000000001</v>
      </c>
      <c r="TG84">
        <v>20.109583000000001</v>
      </c>
      <c r="TH84">
        <v>10.211397</v>
      </c>
      <c r="TI84">
        <v>12.875348000000001</v>
      </c>
      <c r="TJ84" t="s">
        <v>114</v>
      </c>
      <c r="TK84">
        <v>10.312383000000001</v>
      </c>
      <c r="TL84" t="s">
        <v>114</v>
      </c>
      <c r="TM84" t="s">
        <v>114</v>
      </c>
      <c r="TN84">
        <v>5.2401439999999999</v>
      </c>
      <c r="TO84" t="s">
        <v>114</v>
      </c>
      <c r="TP84">
        <v>7.8565550000000002</v>
      </c>
      <c r="TQ84">
        <v>5.862552</v>
      </c>
      <c r="TR84">
        <v>39.823816999999998</v>
      </c>
      <c r="TS84">
        <v>28.342079999999999</v>
      </c>
      <c r="TT84" t="s">
        <v>114</v>
      </c>
      <c r="TU84" t="s">
        <v>114</v>
      </c>
      <c r="TV84">
        <v>11.626814</v>
      </c>
      <c r="TW84">
        <v>62.879060000000003</v>
      </c>
      <c r="TX84">
        <v>3.8674780000000002</v>
      </c>
      <c r="TY84" t="s">
        <v>114</v>
      </c>
      <c r="TZ84">
        <v>5.4790580000000002</v>
      </c>
      <c r="UA84">
        <v>5.5269320000000004</v>
      </c>
      <c r="UB84">
        <v>8.7813009999999991</v>
      </c>
      <c r="UC84" t="s">
        <v>114</v>
      </c>
      <c r="UD84">
        <v>8.8266469999999995</v>
      </c>
      <c r="UE84">
        <v>7.9628199999999998</v>
      </c>
      <c r="UF84">
        <v>10.65714</v>
      </c>
      <c r="UG84">
        <v>15.028903</v>
      </c>
      <c r="UH84" t="s">
        <v>114</v>
      </c>
      <c r="UI84">
        <v>8.7485429999999997</v>
      </c>
      <c r="UJ84">
        <v>7.6801170000000001</v>
      </c>
      <c r="UK84">
        <v>13.321260000000001</v>
      </c>
      <c r="UL84">
        <v>6.8645110000000003</v>
      </c>
      <c r="UM84" t="s">
        <v>114</v>
      </c>
      <c r="UN84" t="s">
        <v>114</v>
      </c>
      <c r="UO84" t="s">
        <v>114</v>
      </c>
      <c r="UP84">
        <v>8.1494160000000004</v>
      </c>
      <c r="UQ84" t="s">
        <v>114</v>
      </c>
      <c r="UR84">
        <v>4.8307029999999997</v>
      </c>
      <c r="US84">
        <v>5.0784609999999999</v>
      </c>
      <c r="UT84">
        <v>11.071111999999999</v>
      </c>
      <c r="UU84">
        <v>6.446898</v>
      </c>
      <c r="UV84">
        <v>10.117000000000001</v>
      </c>
      <c r="UW84" t="s">
        <v>114</v>
      </c>
      <c r="UX84">
        <v>4.6572370000000003</v>
      </c>
      <c r="UY84">
        <v>6.7209139999999996</v>
      </c>
      <c r="UZ84" t="s">
        <v>114</v>
      </c>
      <c r="VA84">
        <v>4.7917870000000002</v>
      </c>
      <c r="VB84">
        <v>64.938948999999994</v>
      </c>
      <c r="VC84" t="s">
        <v>114</v>
      </c>
      <c r="VD84">
        <v>63.192703999999999</v>
      </c>
      <c r="VE84">
        <v>6.4483389999999998</v>
      </c>
      <c r="VF84">
        <v>4.6979009999999999</v>
      </c>
      <c r="VG84">
        <v>16.783232000000002</v>
      </c>
      <c r="VH84">
        <v>13.194921000000001</v>
      </c>
      <c r="VI84" t="s">
        <v>114</v>
      </c>
      <c r="VJ84" t="s">
        <v>114</v>
      </c>
      <c r="VK84" t="s">
        <v>114</v>
      </c>
      <c r="VL84" t="s">
        <v>114</v>
      </c>
      <c r="VM84" t="s">
        <v>114</v>
      </c>
      <c r="VN84" t="s">
        <v>114</v>
      </c>
      <c r="VO84">
        <v>5.3412980000000001</v>
      </c>
      <c r="VP84">
        <v>9.8359880000000004</v>
      </c>
      <c r="VQ84">
        <v>16.925560000000001</v>
      </c>
      <c r="VR84">
        <v>43.901831000000001</v>
      </c>
      <c r="VS84">
        <v>21.486708</v>
      </c>
      <c r="VT84" t="s">
        <v>114</v>
      </c>
      <c r="VU84">
        <v>18.718183</v>
      </c>
      <c r="VV84" t="s">
        <v>114</v>
      </c>
      <c r="VW84" t="s">
        <v>114</v>
      </c>
      <c r="VX84" t="s">
        <v>114</v>
      </c>
      <c r="VY84">
        <v>6.4570780000000001</v>
      </c>
      <c r="VZ84">
        <v>5.3517590000000004</v>
      </c>
      <c r="WA84" t="s">
        <v>114</v>
      </c>
      <c r="WB84" t="s">
        <v>114</v>
      </c>
      <c r="WC84" t="s">
        <v>114</v>
      </c>
      <c r="WD84">
        <v>65.638650999999996</v>
      </c>
      <c r="WE84">
        <v>24.848521999999999</v>
      </c>
      <c r="WF84">
        <v>11.424742</v>
      </c>
      <c r="WG84">
        <v>16.811899</v>
      </c>
      <c r="WH84" t="s">
        <v>114</v>
      </c>
      <c r="WI84">
        <v>12.508858</v>
      </c>
      <c r="WJ84">
        <v>67.637389999999996</v>
      </c>
      <c r="WK84">
        <v>6.3873850000000001</v>
      </c>
      <c r="WL84" t="s">
        <v>114</v>
      </c>
      <c r="WM84">
        <v>14.777168</v>
      </c>
      <c r="WN84">
        <v>6.8873319999999998</v>
      </c>
      <c r="WO84">
        <v>7.6946709999999996</v>
      </c>
      <c r="WP84">
        <v>8.8698449999999998</v>
      </c>
      <c r="WQ84">
        <v>7.2273759999999996</v>
      </c>
      <c r="WR84" t="s">
        <v>114</v>
      </c>
      <c r="WS84">
        <v>5.586131</v>
      </c>
      <c r="WT84" t="s">
        <v>114</v>
      </c>
      <c r="WU84">
        <v>142.27874700000001</v>
      </c>
      <c r="WV84" t="s">
        <v>114</v>
      </c>
      <c r="WW84">
        <v>26.538312000000001</v>
      </c>
      <c r="WX84">
        <v>547.45216000000005</v>
      </c>
      <c r="WY84" t="s">
        <v>114</v>
      </c>
      <c r="WZ84" t="s">
        <v>114</v>
      </c>
      <c r="XA84">
        <v>39.459617999999999</v>
      </c>
      <c r="XB84" t="s">
        <v>114</v>
      </c>
      <c r="XC84">
        <v>45.177332999999997</v>
      </c>
      <c r="XD84">
        <v>51.001399999999997</v>
      </c>
      <c r="XE84">
        <v>7.0730620000000002</v>
      </c>
      <c r="XF84" t="s">
        <v>114</v>
      </c>
      <c r="XG84">
        <v>7.3121140000000002</v>
      </c>
      <c r="XH84">
        <v>4.6689299999999996</v>
      </c>
      <c r="XI84" t="s">
        <v>114</v>
      </c>
      <c r="XJ84">
        <v>51.844360000000002</v>
      </c>
      <c r="XK84">
        <v>7.1509369999999999</v>
      </c>
      <c r="XL84">
        <v>14.215036</v>
      </c>
      <c r="XM84">
        <v>3.7827289999999998</v>
      </c>
      <c r="XN84">
        <v>6.0427840000000002</v>
      </c>
      <c r="XO84">
        <v>115.59344</v>
      </c>
      <c r="XP84" t="s">
        <v>114</v>
      </c>
      <c r="XQ84" t="s">
        <v>114</v>
      </c>
      <c r="XR84">
        <v>65.318583000000004</v>
      </c>
      <c r="XS84">
        <v>15.486777</v>
      </c>
      <c r="XT84">
        <v>4.0839590000000001</v>
      </c>
      <c r="XU84" t="s">
        <v>114</v>
      </c>
      <c r="XV84" t="s">
        <v>114</v>
      </c>
      <c r="XW84" t="s">
        <v>114</v>
      </c>
      <c r="XX84">
        <v>8.6907549999999993</v>
      </c>
      <c r="XY84">
        <v>12.658296</v>
      </c>
      <c r="XZ84">
        <v>37.289391999999999</v>
      </c>
      <c r="YA84">
        <v>59.2712</v>
      </c>
      <c r="YB84">
        <v>48.803852999999997</v>
      </c>
      <c r="YC84">
        <v>8.1257190000000001</v>
      </c>
      <c r="YD84" t="s">
        <v>114</v>
      </c>
      <c r="YE84">
        <v>26.412309</v>
      </c>
      <c r="YF84" t="s">
        <v>114</v>
      </c>
      <c r="YG84">
        <v>6.1471169999999997</v>
      </c>
      <c r="YH84" t="s">
        <v>114</v>
      </c>
      <c r="YI84" t="s">
        <v>114</v>
      </c>
      <c r="YJ84">
        <v>5.9055070000000001</v>
      </c>
      <c r="YK84">
        <v>4.8101409999999998</v>
      </c>
      <c r="YL84">
        <v>5.7348660000000002</v>
      </c>
      <c r="YM84">
        <v>5.3732550000000003</v>
      </c>
      <c r="YN84" t="s">
        <v>114</v>
      </c>
      <c r="YO84" t="s">
        <v>114</v>
      </c>
      <c r="YP84" t="s">
        <v>114</v>
      </c>
      <c r="YQ84">
        <v>4.0850350000000004</v>
      </c>
      <c r="YR84">
        <v>7.9388519999999998</v>
      </c>
      <c r="YS84">
        <v>25.848171000000001</v>
      </c>
      <c r="YT84" t="s">
        <v>114</v>
      </c>
      <c r="YU84">
        <v>4.8945400000000001</v>
      </c>
      <c r="YV84">
        <v>4.5878079999999999</v>
      </c>
      <c r="YW84" t="s">
        <v>114</v>
      </c>
      <c r="YX84" t="s">
        <v>114</v>
      </c>
      <c r="YY84" t="s">
        <v>114</v>
      </c>
      <c r="YZ84">
        <v>13.496997</v>
      </c>
      <c r="ZA84">
        <v>6.3189970000000004</v>
      </c>
      <c r="ZB84" t="s">
        <v>114</v>
      </c>
      <c r="ZC84">
        <v>9.7372379999999996</v>
      </c>
      <c r="ZD84">
        <v>7.9198740000000001</v>
      </c>
      <c r="ZE84">
        <v>5.9401760000000001</v>
      </c>
      <c r="ZF84" t="s">
        <v>114</v>
      </c>
      <c r="ZG84">
        <v>22.943913999999999</v>
      </c>
      <c r="ZH84">
        <v>19.406845000000001</v>
      </c>
      <c r="ZI84">
        <v>66.225531000000004</v>
      </c>
      <c r="ZJ84">
        <v>22.946013000000001</v>
      </c>
      <c r="ZK84" t="s">
        <v>114</v>
      </c>
      <c r="ZL84">
        <v>29.264351999999999</v>
      </c>
      <c r="ZM84">
        <v>58.924840000000003</v>
      </c>
      <c r="ZN84">
        <v>107.17491200000001</v>
      </c>
      <c r="ZO84">
        <v>62.486373</v>
      </c>
      <c r="ZP84" t="s">
        <v>114</v>
      </c>
      <c r="ZQ84" t="s">
        <v>114</v>
      </c>
      <c r="ZR84" t="s">
        <v>114</v>
      </c>
      <c r="ZS84" t="s">
        <v>114</v>
      </c>
      <c r="ZT84" t="s">
        <v>114</v>
      </c>
      <c r="ZU84" t="s">
        <v>114</v>
      </c>
      <c r="ZV84">
        <v>11.051195</v>
      </c>
      <c r="ZW84" t="s">
        <v>114</v>
      </c>
      <c r="ZX84">
        <v>192.13684000000001</v>
      </c>
      <c r="ZY84">
        <v>23.560984000000001</v>
      </c>
      <c r="ZZ84">
        <v>24.354313000000001</v>
      </c>
      <c r="AAA84">
        <v>6.0554030000000001</v>
      </c>
      <c r="AAB84">
        <v>52.971879999999999</v>
      </c>
      <c r="AAC84">
        <v>38.756788</v>
      </c>
      <c r="AAD84">
        <v>5.3632169999999997</v>
      </c>
      <c r="AAE84">
        <v>17.054227999999998</v>
      </c>
      <c r="AAF84">
        <v>70.981129999999993</v>
      </c>
      <c r="AAG84">
        <v>27.112573000000001</v>
      </c>
      <c r="AAH84" t="s">
        <v>114</v>
      </c>
      <c r="AAI84">
        <v>101.56959999999999</v>
      </c>
      <c r="AAJ84" t="s">
        <v>114</v>
      </c>
      <c r="AAK84" t="s">
        <v>114</v>
      </c>
      <c r="AAL84" t="s">
        <v>114</v>
      </c>
      <c r="AAM84">
        <v>21.157862000000002</v>
      </c>
      <c r="AAN84">
        <v>5.5713470000000003</v>
      </c>
      <c r="AAO84">
        <v>37.784754</v>
      </c>
      <c r="AAP84" t="s">
        <v>114</v>
      </c>
      <c r="AAQ84">
        <v>27.686537000000001</v>
      </c>
      <c r="AAR84">
        <v>18.236270000000001</v>
      </c>
      <c r="AAS84" t="s">
        <v>114</v>
      </c>
      <c r="AAT84">
        <v>83.2316</v>
      </c>
      <c r="AAU84">
        <v>36.839440000000003</v>
      </c>
      <c r="AAV84" t="s">
        <v>114</v>
      </c>
      <c r="AAW84">
        <v>8.724952</v>
      </c>
      <c r="AAX84" t="s">
        <v>114</v>
      </c>
      <c r="AAY84">
        <v>7.2350820000000002</v>
      </c>
      <c r="AAZ84" t="s">
        <v>114</v>
      </c>
      <c r="ABA84">
        <v>5.4935330000000002</v>
      </c>
      <c r="ABB84">
        <v>19.775556999999999</v>
      </c>
      <c r="ABC84">
        <v>5.54467</v>
      </c>
      <c r="ABD84" t="s">
        <v>114</v>
      </c>
      <c r="ABE84">
        <v>10.408073999999999</v>
      </c>
      <c r="ABF84" t="s">
        <v>114</v>
      </c>
      <c r="ABG84">
        <v>5.8740990000000002</v>
      </c>
      <c r="ABH84">
        <v>6.8193099999999998</v>
      </c>
      <c r="ABI84" t="s">
        <v>114</v>
      </c>
      <c r="ABJ84">
        <v>30.169284000000001</v>
      </c>
      <c r="ABK84">
        <v>6.2307300000000003</v>
      </c>
      <c r="ABL84" t="s">
        <v>114</v>
      </c>
      <c r="ABM84">
        <v>6.3119870000000002</v>
      </c>
      <c r="ABN84" t="s">
        <v>114</v>
      </c>
      <c r="ABO84" t="s">
        <v>114</v>
      </c>
      <c r="ABP84">
        <v>58.795299999999997</v>
      </c>
      <c r="ABQ84" t="s">
        <v>114</v>
      </c>
      <c r="ABR84">
        <v>13.465304</v>
      </c>
      <c r="ABS84">
        <v>5.4305899999999996</v>
      </c>
      <c r="ABT84" t="s">
        <v>114</v>
      </c>
      <c r="ABU84" t="s">
        <v>114</v>
      </c>
      <c r="ABV84" t="s">
        <v>114</v>
      </c>
      <c r="ABW84" t="s">
        <v>114</v>
      </c>
      <c r="ABX84">
        <v>170.3716</v>
      </c>
      <c r="ABY84" t="s">
        <v>114</v>
      </c>
      <c r="ABZ84">
        <v>3.9847079999999999</v>
      </c>
      <c r="ACA84">
        <v>5.7927860000000004</v>
      </c>
      <c r="ACB84" t="s">
        <v>114</v>
      </c>
      <c r="ACC84">
        <v>7.5750320000000002</v>
      </c>
      <c r="ACD84" t="s">
        <v>114</v>
      </c>
      <c r="ACE84" t="s">
        <v>114</v>
      </c>
      <c r="ACF84" t="s">
        <v>114</v>
      </c>
      <c r="ACG84" t="s">
        <v>114</v>
      </c>
      <c r="ACH84" t="s">
        <v>114</v>
      </c>
      <c r="ACI84" t="s">
        <v>114</v>
      </c>
      <c r="ACJ84" t="s">
        <v>114</v>
      </c>
      <c r="ACK84">
        <v>5.8039009999999998</v>
      </c>
      <c r="ACL84">
        <v>4.6611979999999997</v>
      </c>
      <c r="ACM84" t="s">
        <v>114</v>
      </c>
      <c r="ACN84">
        <v>135.5153</v>
      </c>
      <c r="ACO84">
        <v>7.6635749999999998</v>
      </c>
    </row>
    <row r="85" spans="1:769" x14ac:dyDescent="0.25">
      <c r="A85" t="s">
        <v>892</v>
      </c>
      <c r="B85" t="s">
        <v>114</v>
      </c>
      <c r="C85" t="s">
        <v>114</v>
      </c>
      <c r="D85">
        <v>0.25666699999999998</v>
      </c>
      <c r="E85" t="s">
        <v>114</v>
      </c>
      <c r="F85">
        <v>0.25166699999999997</v>
      </c>
      <c r="G85">
        <v>0.25666699999999998</v>
      </c>
      <c r="H85">
        <v>0.10333299999999999</v>
      </c>
      <c r="I85">
        <v>0.05</v>
      </c>
      <c r="J85" t="s">
        <v>114</v>
      </c>
      <c r="K85">
        <v>2.5000000000000001E-2</v>
      </c>
      <c r="L85" t="s">
        <v>114</v>
      </c>
      <c r="M85">
        <v>0.255</v>
      </c>
      <c r="N85" t="s">
        <v>114</v>
      </c>
      <c r="O85">
        <v>0.25666699999999998</v>
      </c>
      <c r="P85">
        <v>6.5000000000000002E-2</v>
      </c>
      <c r="Q85">
        <v>2.5000000000000001E-2</v>
      </c>
      <c r="R85" t="s">
        <v>114</v>
      </c>
      <c r="S85" t="s">
        <v>114</v>
      </c>
      <c r="T85">
        <v>1.6670000000000001E-3</v>
      </c>
      <c r="U85">
        <v>0.20833299999999999</v>
      </c>
      <c r="V85">
        <v>0.19833300000000001</v>
      </c>
      <c r="W85" t="s">
        <v>114</v>
      </c>
      <c r="X85">
        <v>0.183333</v>
      </c>
      <c r="Y85" t="s">
        <v>114</v>
      </c>
      <c r="Z85" t="s">
        <v>114</v>
      </c>
      <c r="AA85">
        <v>0.20833299999999999</v>
      </c>
      <c r="AB85">
        <v>0.19833300000000001</v>
      </c>
      <c r="AC85">
        <v>0.16833300000000001</v>
      </c>
      <c r="AD85" t="s">
        <v>114</v>
      </c>
      <c r="AE85">
        <v>0.185</v>
      </c>
      <c r="AF85">
        <v>6.6670000000000002E-3</v>
      </c>
      <c r="AG85">
        <v>5.1666999999999998E-2</v>
      </c>
      <c r="AH85">
        <v>6.6670000000000002E-3</v>
      </c>
      <c r="AI85">
        <v>1.6670000000000001E-3</v>
      </c>
      <c r="AJ85">
        <v>0.23333300000000001</v>
      </c>
      <c r="AK85">
        <v>0.14833299999999999</v>
      </c>
      <c r="AL85">
        <v>0.12</v>
      </c>
      <c r="AM85">
        <v>0.01</v>
      </c>
      <c r="AN85">
        <v>0.23</v>
      </c>
      <c r="AO85">
        <v>0.23333300000000001</v>
      </c>
      <c r="AP85">
        <v>7.0000000000000007E-2</v>
      </c>
      <c r="AQ85">
        <v>1.6667000000000001E-2</v>
      </c>
      <c r="AR85">
        <v>0.23333300000000001</v>
      </c>
      <c r="AS85">
        <v>0.03</v>
      </c>
      <c r="AT85" t="s">
        <v>114</v>
      </c>
      <c r="AU85">
        <v>0.188333</v>
      </c>
      <c r="AV85" t="s">
        <v>114</v>
      </c>
      <c r="AW85">
        <v>0.19833300000000001</v>
      </c>
      <c r="AX85">
        <v>0.181667</v>
      </c>
      <c r="AY85">
        <v>3.333E-3</v>
      </c>
      <c r="AZ85">
        <v>0.17</v>
      </c>
      <c r="BA85">
        <v>0.185</v>
      </c>
      <c r="BB85" t="s">
        <v>114</v>
      </c>
      <c r="BC85" t="s">
        <v>114</v>
      </c>
      <c r="BD85">
        <v>0.17833299999999999</v>
      </c>
      <c r="BE85">
        <v>0.185</v>
      </c>
      <c r="BF85">
        <v>0.185</v>
      </c>
      <c r="BG85">
        <v>4.6667E-2</v>
      </c>
      <c r="BH85">
        <v>6.6670000000000002E-3</v>
      </c>
      <c r="BI85">
        <v>0.16</v>
      </c>
      <c r="BJ85">
        <v>0.185</v>
      </c>
      <c r="BK85">
        <v>0.181667</v>
      </c>
      <c r="BL85" t="s">
        <v>114</v>
      </c>
      <c r="BM85">
        <v>0.183333</v>
      </c>
      <c r="BN85" t="s">
        <v>114</v>
      </c>
      <c r="BO85" t="s">
        <v>114</v>
      </c>
      <c r="BP85">
        <v>0.31166700000000003</v>
      </c>
      <c r="BQ85">
        <v>0.25333299999999997</v>
      </c>
      <c r="BR85" t="s">
        <v>114</v>
      </c>
      <c r="BS85">
        <v>0.36833300000000002</v>
      </c>
      <c r="BT85">
        <v>0.22666700000000001</v>
      </c>
      <c r="BU85" t="s">
        <v>114</v>
      </c>
      <c r="BV85" t="s">
        <v>114</v>
      </c>
      <c r="BW85">
        <v>0.37666699999999997</v>
      </c>
      <c r="BX85" t="s">
        <v>114</v>
      </c>
      <c r="BY85" t="s">
        <v>114</v>
      </c>
      <c r="BZ85">
        <v>0.28999999999999998</v>
      </c>
      <c r="CA85" t="s">
        <v>114</v>
      </c>
      <c r="CB85">
        <v>1.8332999999999999E-2</v>
      </c>
      <c r="CC85">
        <v>4.8333000000000001E-2</v>
      </c>
      <c r="CD85">
        <v>0.13333300000000001</v>
      </c>
      <c r="CE85">
        <v>1.1667E-2</v>
      </c>
      <c r="CF85" t="s">
        <v>114</v>
      </c>
      <c r="CG85">
        <v>0.245</v>
      </c>
      <c r="CH85" t="s">
        <v>114</v>
      </c>
      <c r="CI85">
        <v>0.28000000000000003</v>
      </c>
      <c r="CJ85">
        <v>0.26</v>
      </c>
      <c r="CK85">
        <v>1.6670000000000001E-3</v>
      </c>
      <c r="CL85">
        <v>0.25333299999999997</v>
      </c>
      <c r="CM85">
        <v>3.6666999999999998E-2</v>
      </c>
      <c r="CN85">
        <v>1.6670000000000001E-3</v>
      </c>
      <c r="CO85">
        <v>0.20166700000000001</v>
      </c>
      <c r="CP85">
        <v>0.25166699999999997</v>
      </c>
      <c r="CQ85">
        <v>0.22500000000000001</v>
      </c>
      <c r="CR85">
        <v>1.6667000000000001E-2</v>
      </c>
      <c r="CS85">
        <v>9.6667000000000003E-2</v>
      </c>
      <c r="CT85" t="s">
        <v>114</v>
      </c>
      <c r="CU85">
        <v>0.255</v>
      </c>
      <c r="CV85">
        <v>0.255</v>
      </c>
      <c r="CW85">
        <v>0.19666700000000001</v>
      </c>
      <c r="CX85">
        <v>0.185</v>
      </c>
      <c r="CY85">
        <v>0.22666700000000001</v>
      </c>
      <c r="CZ85">
        <v>0.255</v>
      </c>
      <c r="DA85" t="s">
        <v>114</v>
      </c>
      <c r="DB85">
        <v>0.218333</v>
      </c>
      <c r="DC85">
        <v>0.20499999999999999</v>
      </c>
      <c r="DD85">
        <v>0.255</v>
      </c>
      <c r="DE85">
        <v>4.1667000000000003E-2</v>
      </c>
      <c r="DF85">
        <v>0.255</v>
      </c>
      <c r="DG85">
        <v>0.04</v>
      </c>
      <c r="DH85">
        <v>2.3333E-2</v>
      </c>
      <c r="DI85">
        <v>0.25666699999999998</v>
      </c>
      <c r="DJ85">
        <v>2.1666999999999999E-2</v>
      </c>
      <c r="DK85">
        <v>2.3333E-2</v>
      </c>
      <c r="DL85">
        <v>0.28499999999999998</v>
      </c>
      <c r="DM85">
        <v>0.26666699999999999</v>
      </c>
      <c r="DN85" t="s">
        <v>114</v>
      </c>
      <c r="DO85">
        <v>0.28000000000000003</v>
      </c>
      <c r="DP85">
        <v>7.1666999999999995E-2</v>
      </c>
      <c r="DQ85">
        <v>0.28999999999999998</v>
      </c>
      <c r="DR85">
        <v>0.28000000000000003</v>
      </c>
      <c r="DS85">
        <v>0.28999999999999998</v>
      </c>
      <c r="DT85" t="s">
        <v>114</v>
      </c>
      <c r="DU85">
        <v>0.22500000000000001</v>
      </c>
      <c r="DV85" t="s">
        <v>114</v>
      </c>
      <c r="DW85" t="s">
        <v>114</v>
      </c>
      <c r="DX85">
        <v>0.26833299999999999</v>
      </c>
      <c r="DY85">
        <v>2.1666999999999999E-2</v>
      </c>
      <c r="DZ85">
        <v>0.123333</v>
      </c>
      <c r="EA85">
        <v>0.343333</v>
      </c>
      <c r="EB85" t="s">
        <v>114</v>
      </c>
      <c r="EC85">
        <v>1.6670000000000001E-3</v>
      </c>
      <c r="ED85" t="s">
        <v>114</v>
      </c>
      <c r="EE85">
        <v>7.3332999999999995E-2</v>
      </c>
      <c r="EF85">
        <v>9.8333000000000004E-2</v>
      </c>
      <c r="EG85">
        <v>0.26333299999999998</v>
      </c>
      <c r="EH85">
        <v>3.333E-3</v>
      </c>
      <c r="EI85">
        <v>0.28000000000000003</v>
      </c>
      <c r="EJ85">
        <v>4.8333000000000001E-2</v>
      </c>
      <c r="EK85">
        <v>1.3332999999999999E-2</v>
      </c>
      <c r="EL85">
        <v>9.6667000000000003E-2</v>
      </c>
      <c r="EM85">
        <v>0.20333300000000001</v>
      </c>
      <c r="EN85">
        <v>0.03</v>
      </c>
      <c r="EO85" t="s">
        <v>114</v>
      </c>
      <c r="EP85">
        <v>8.1667000000000003E-2</v>
      </c>
      <c r="EQ85">
        <v>8.8332999999999995E-2</v>
      </c>
      <c r="ER85">
        <v>9.1666999999999998E-2</v>
      </c>
      <c r="ES85">
        <v>0.04</v>
      </c>
      <c r="ET85">
        <v>8.3330000000000001E-3</v>
      </c>
      <c r="EU85">
        <v>0.108333</v>
      </c>
      <c r="EV85" t="s">
        <v>114</v>
      </c>
      <c r="EW85">
        <v>2.1666999999999999E-2</v>
      </c>
      <c r="EX85">
        <v>0.06</v>
      </c>
      <c r="EY85">
        <v>1.8332999999999999E-2</v>
      </c>
      <c r="EZ85">
        <v>2.6667E-2</v>
      </c>
      <c r="FA85">
        <v>0.111667</v>
      </c>
      <c r="FB85" t="s">
        <v>114</v>
      </c>
      <c r="FC85">
        <v>5.5E-2</v>
      </c>
      <c r="FD85" t="s">
        <v>114</v>
      </c>
      <c r="FE85" t="s">
        <v>114</v>
      </c>
      <c r="FF85">
        <v>8.3333000000000004E-2</v>
      </c>
      <c r="FG85">
        <v>0.106667</v>
      </c>
      <c r="FH85">
        <v>0.121667</v>
      </c>
      <c r="FI85">
        <v>8.3330000000000001E-3</v>
      </c>
      <c r="FJ85">
        <v>6.8333000000000005E-2</v>
      </c>
      <c r="FK85">
        <v>8.1667000000000003E-2</v>
      </c>
      <c r="FL85">
        <v>9.6667000000000003E-2</v>
      </c>
      <c r="FM85">
        <v>7.1666999999999995E-2</v>
      </c>
      <c r="FN85" t="s">
        <v>114</v>
      </c>
      <c r="FO85" t="s">
        <v>114</v>
      </c>
      <c r="FP85">
        <v>9.8333000000000004E-2</v>
      </c>
      <c r="FQ85">
        <v>1.1667E-2</v>
      </c>
      <c r="FR85">
        <v>7.3332999999999995E-2</v>
      </c>
      <c r="FS85">
        <v>0.115</v>
      </c>
      <c r="FT85">
        <v>2.6667E-2</v>
      </c>
      <c r="FU85">
        <v>0.10166699999999999</v>
      </c>
      <c r="FV85">
        <v>0.128333</v>
      </c>
      <c r="FW85">
        <v>7.8333E-2</v>
      </c>
      <c r="FX85">
        <v>8.5000000000000006E-2</v>
      </c>
      <c r="FY85">
        <v>9.1666999999999998E-2</v>
      </c>
      <c r="FZ85">
        <v>0.16333300000000001</v>
      </c>
      <c r="GA85">
        <v>8.3333000000000004E-2</v>
      </c>
      <c r="GB85">
        <v>3.8332999999999999E-2</v>
      </c>
      <c r="GC85">
        <v>9.5000000000000001E-2</v>
      </c>
      <c r="GD85">
        <v>0.191667</v>
      </c>
      <c r="GE85">
        <v>0.183333</v>
      </c>
      <c r="GF85">
        <v>2.3333E-2</v>
      </c>
      <c r="GG85">
        <v>8.3330000000000001E-3</v>
      </c>
      <c r="GH85">
        <v>0.128333</v>
      </c>
      <c r="GI85" t="s">
        <v>114</v>
      </c>
      <c r="GJ85">
        <v>7.1666999999999995E-2</v>
      </c>
      <c r="GK85">
        <v>7.4999999999999997E-2</v>
      </c>
      <c r="GL85">
        <v>3.333E-3</v>
      </c>
      <c r="GM85" t="s">
        <v>114</v>
      </c>
      <c r="GN85">
        <v>4.3333000000000003E-2</v>
      </c>
      <c r="GO85" t="s">
        <v>114</v>
      </c>
      <c r="GP85">
        <v>0.13166700000000001</v>
      </c>
      <c r="GQ85">
        <v>0.128333</v>
      </c>
      <c r="GR85">
        <v>8.6666999999999994E-2</v>
      </c>
      <c r="GS85">
        <v>6.6670000000000002E-3</v>
      </c>
      <c r="GT85">
        <v>0.115</v>
      </c>
      <c r="GU85" t="s">
        <v>114</v>
      </c>
      <c r="GV85">
        <v>6.1667E-2</v>
      </c>
      <c r="GW85">
        <v>1.6670000000000001E-3</v>
      </c>
      <c r="GX85">
        <v>9.3332999999999999E-2</v>
      </c>
      <c r="GY85">
        <v>7.6666999999999999E-2</v>
      </c>
      <c r="GZ85">
        <v>0.128333</v>
      </c>
      <c r="HA85">
        <v>6.3333E-2</v>
      </c>
      <c r="HB85">
        <v>8.3333000000000004E-2</v>
      </c>
      <c r="HC85">
        <v>6.6667000000000004E-2</v>
      </c>
      <c r="HD85">
        <v>8.5000000000000006E-2</v>
      </c>
      <c r="HE85">
        <v>8.3330000000000001E-3</v>
      </c>
      <c r="HF85" t="s">
        <v>114</v>
      </c>
      <c r="HG85">
        <v>0.14833299999999999</v>
      </c>
      <c r="HH85">
        <v>0.14166699999999999</v>
      </c>
      <c r="HI85">
        <v>5.5E-2</v>
      </c>
      <c r="HJ85">
        <v>0.14666699999999999</v>
      </c>
      <c r="HK85">
        <v>6.3333E-2</v>
      </c>
      <c r="HL85">
        <v>7.6666999999999999E-2</v>
      </c>
      <c r="HM85">
        <v>3.333E-3</v>
      </c>
      <c r="HN85">
        <v>6.6667000000000004E-2</v>
      </c>
      <c r="HO85">
        <v>0.16</v>
      </c>
      <c r="HP85">
        <v>1.6670000000000001E-3</v>
      </c>
      <c r="HQ85">
        <v>6.3333E-2</v>
      </c>
      <c r="HR85">
        <v>2.6667E-2</v>
      </c>
      <c r="HS85">
        <v>1.6670000000000001E-3</v>
      </c>
      <c r="HT85">
        <v>0.183333</v>
      </c>
      <c r="HU85">
        <v>0.13333300000000001</v>
      </c>
      <c r="HV85" t="s">
        <v>114</v>
      </c>
      <c r="HW85" t="s">
        <v>114</v>
      </c>
      <c r="HX85">
        <v>0.17166699999999999</v>
      </c>
      <c r="HY85">
        <v>0.20666699999999999</v>
      </c>
      <c r="HZ85">
        <v>0.113333</v>
      </c>
      <c r="IA85">
        <v>0.02</v>
      </c>
      <c r="IB85" t="s">
        <v>114</v>
      </c>
      <c r="IC85" t="s">
        <v>114</v>
      </c>
      <c r="ID85" t="s">
        <v>114</v>
      </c>
      <c r="IE85">
        <v>0.215</v>
      </c>
      <c r="IF85">
        <v>7.6666999999999999E-2</v>
      </c>
      <c r="IG85" t="s">
        <v>114</v>
      </c>
      <c r="IH85">
        <v>8.3333000000000004E-2</v>
      </c>
      <c r="II85" t="s">
        <v>114</v>
      </c>
      <c r="IJ85">
        <v>0.20166700000000001</v>
      </c>
      <c r="IK85" t="s">
        <v>114</v>
      </c>
      <c r="IL85" t="s">
        <v>114</v>
      </c>
      <c r="IM85" t="s">
        <v>114</v>
      </c>
      <c r="IN85">
        <v>0.17833299999999999</v>
      </c>
      <c r="IO85">
        <v>0.183333</v>
      </c>
      <c r="IP85">
        <v>0.19666700000000001</v>
      </c>
      <c r="IQ85" t="s">
        <v>114</v>
      </c>
      <c r="IR85">
        <v>0.23499999999999999</v>
      </c>
      <c r="IS85">
        <v>0.16833300000000001</v>
      </c>
      <c r="IT85">
        <v>2.6667E-2</v>
      </c>
      <c r="IU85">
        <v>3.333E-3</v>
      </c>
      <c r="IV85">
        <v>2.3333E-2</v>
      </c>
      <c r="IW85">
        <v>1.3332999999999999E-2</v>
      </c>
      <c r="IX85">
        <v>0.11666700000000001</v>
      </c>
      <c r="IY85">
        <v>0.21166699999999999</v>
      </c>
      <c r="IZ85">
        <v>0.19666700000000001</v>
      </c>
      <c r="JA85">
        <v>0.16666700000000001</v>
      </c>
      <c r="JB85">
        <v>5.0000000000000001E-3</v>
      </c>
      <c r="JC85">
        <v>9.3332999999999999E-2</v>
      </c>
      <c r="JD85">
        <v>0.21333299999999999</v>
      </c>
      <c r="JE85">
        <v>0.185</v>
      </c>
      <c r="JF85">
        <v>3.333E-3</v>
      </c>
      <c r="JG85">
        <v>0.21333299999999999</v>
      </c>
      <c r="JH85">
        <v>9.5000000000000001E-2</v>
      </c>
      <c r="JI85" t="s">
        <v>114</v>
      </c>
      <c r="JJ85" t="s">
        <v>114</v>
      </c>
      <c r="JK85">
        <v>0.12</v>
      </c>
      <c r="JL85">
        <v>0.21166699999999999</v>
      </c>
      <c r="JM85">
        <v>0.21166699999999999</v>
      </c>
      <c r="JN85">
        <v>0.22833300000000001</v>
      </c>
      <c r="JO85" t="s">
        <v>114</v>
      </c>
      <c r="JP85">
        <v>0.215</v>
      </c>
      <c r="JQ85">
        <v>3.333E-3</v>
      </c>
      <c r="JR85">
        <v>0.185</v>
      </c>
      <c r="JS85" t="s">
        <v>114</v>
      </c>
      <c r="JT85" t="s">
        <v>114</v>
      </c>
      <c r="JU85">
        <v>0.22666700000000001</v>
      </c>
      <c r="JV85" t="s">
        <v>114</v>
      </c>
      <c r="JW85">
        <v>2.1666999999999999E-2</v>
      </c>
      <c r="JX85" t="s">
        <v>114</v>
      </c>
      <c r="JY85">
        <v>8.3330000000000001E-3</v>
      </c>
      <c r="JZ85" t="s">
        <v>114</v>
      </c>
      <c r="KA85" t="s">
        <v>114</v>
      </c>
      <c r="KB85" t="s">
        <v>114</v>
      </c>
      <c r="KC85" t="s">
        <v>114</v>
      </c>
      <c r="KD85">
        <v>0.14333299999999999</v>
      </c>
      <c r="KE85">
        <v>5.8333000000000003E-2</v>
      </c>
      <c r="KF85">
        <v>0.14166699999999999</v>
      </c>
      <c r="KG85">
        <v>0.14499999999999999</v>
      </c>
      <c r="KH85" t="s">
        <v>114</v>
      </c>
      <c r="KI85">
        <v>0.115</v>
      </c>
      <c r="KJ85">
        <v>1.4999999999999999E-2</v>
      </c>
      <c r="KK85">
        <v>0.14333299999999999</v>
      </c>
      <c r="KL85" t="s">
        <v>114</v>
      </c>
      <c r="KM85">
        <v>0.13833300000000001</v>
      </c>
      <c r="KN85">
        <v>0.14000000000000001</v>
      </c>
      <c r="KO85" t="s">
        <v>114</v>
      </c>
      <c r="KP85">
        <v>0.13333300000000001</v>
      </c>
      <c r="KQ85">
        <v>0.10166699999999999</v>
      </c>
      <c r="KR85">
        <v>0.13333300000000001</v>
      </c>
      <c r="KS85">
        <v>0.13833300000000001</v>
      </c>
      <c r="KT85">
        <v>0.14666699999999999</v>
      </c>
      <c r="KU85" t="s">
        <v>114</v>
      </c>
      <c r="KV85">
        <v>1.3332999999999999E-2</v>
      </c>
      <c r="KW85">
        <v>0.155</v>
      </c>
      <c r="KX85">
        <v>4.3333000000000003E-2</v>
      </c>
      <c r="KY85">
        <v>0.14666699999999999</v>
      </c>
      <c r="KZ85">
        <v>1.4999999999999999E-2</v>
      </c>
      <c r="LA85">
        <v>0.14666699999999999</v>
      </c>
      <c r="LB85">
        <v>0.13333300000000001</v>
      </c>
      <c r="LC85">
        <v>0.14666699999999999</v>
      </c>
      <c r="LD85" t="s">
        <v>114</v>
      </c>
      <c r="LE85">
        <v>0.106667</v>
      </c>
      <c r="LF85">
        <v>6.6667000000000004E-2</v>
      </c>
      <c r="LG85">
        <v>0.14666699999999999</v>
      </c>
      <c r="LH85">
        <v>0.11666700000000001</v>
      </c>
      <c r="LI85">
        <v>0.14166699999999999</v>
      </c>
      <c r="LJ85">
        <v>0.156667</v>
      </c>
      <c r="LK85">
        <v>0.156667</v>
      </c>
      <c r="LL85">
        <v>0.156667</v>
      </c>
      <c r="LM85">
        <v>0.156667</v>
      </c>
      <c r="LN85">
        <v>7.4999999999999997E-2</v>
      </c>
      <c r="LO85">
        <v>0.156667</v>
      </c>
      <c r="LP85">
        <v>0.156667</v>
      </c>
      <c r="LQ85">
        <v>0.156667</v>
      </c>
      <c r="LR85" t="s">
        <v>114</v>
      </c>
      <c r="LS85">
        <v>7.3332999999999995E-2</v>
      </c>
      <c r="LT85">
        <v>0.156667</v>
      </c>
      <c r="LU85">
        <v>0.155</v>
      </c>
      <c r="LV85">
        <v>0.156667</v>
      </c>
      <c r="LW85">
        <v>1.6670000000000001E-3</v>
      </c>
      <c r="LX85">
        <v>0.156667</v>
      </c>
      <c r="LY85">
        <v>0.16</v>
      </c>
      <c r="LZ85">
        <v>6.6670000000000002E-3</v>
      </c>
      <c r="MA85">
        <v>0.13666700000000001</v>
      </c>
      <c r="MB85">
        <v>0.13666700000000001</v>
      </c>
      <c r="MC85">
        <v>2.6667E-2</v>
      </c>
      <c r="MD85">
        <v>0.13833300000000001</v>
      </c>
      <c r="ME85">
        <v>0.13833300000000001</v>
      </c>
      <c r="MF85">
        <v>0.13833300000000001</v>
      </c>
      <c r="MG85">
        <v>2.8333000000000001E-2</v>
      </c>
      <c r="MH85">
        <v>0.05</v>
      </c>
      <c r="MI85">
        <v>0.13833300000000001</v>
      </c>
      <c r="MJ85">
        <v>0.13666700000000001</v>
      </c>
      <c r="MK85">
        <v>0.13833300000000001</v>
      </c>
      <c r="ML85" t="s">
        <v>114</v>
      </c>
      <c r="MM85">
        <v>0.13833300000000001</v>
      </c>
      <c r="MN85">
        <v>0.13666700000000001</v>
      </c>
      <c r="MO85">
        <v>0.13833300000000001</v>
      </c>
      <c r="MP85">
        <v>0.17</v>
      </c>
      <c r="MQ85">
        <v>2.3333E-2</v>
      </c>
      <c r="MR85">
        <v>0.16333300000000001</v>
      </c>
      <c r="MS85" t="s">
        <v>114</v>
      </c>
      <c r="MT85">
        <v>0.17</v>
      </c>
      <c r="MU85">
        <v>0.156667</v>
      </c>
      <c r="MV85">
        <v>0.17</v>
      </c>
      <c r="MW85">
        <v>0.17</v>
      </c>
      <c r="MX85" t="s">
        <v>114</v>
      </c>
      <c r="MY85" t="s">
        <v>114</v>
      </c>
      <c r="MZ85">
        <v>0.17</v>
      </c>
      <c r="NA85">
        <v>0.17</v>
      </c>
      <c r="NB85">
        <v>8.3330000000000001E-3</v>
      </c>
      <c r="NC85">
        <v>0.17</v>
      </c>
      <c r="ND85">
        <v>0.17</v>
      </c>
      <c r="NE85">
        <v>0.111667</v>
      </c>
      <c r="NF85">
        <v>0.19500000000000001</v>
      </c>
      <c r="NG85">
        <v>9.3332999999999999E-2</v>
      </c>
      <c r="NH85">
        <v>0.23</v>
      </c>
      <c r="NI85">
        <v>0.23166700000000001</v>
      </c>
      <c r="NJ85">
        <v>0.23333300000000001</v>
      </c>
      <c r="NK85">
        <v>4.1667000000000003E-2</v>
      </c>
      <c r="NL85">
        <v>0.23166700000000001</v>
      </c>
      <c r="NM85">
        <v>0.23166700000000001</v>
      </c>
      <c r="NN85">
        <v>0.22666700000000001</v>
      </c>
      <c r="NO85">
        <v>0.23333300000000001</v>
      </c>
      <c r="NP85">
        <v>0.23333300000000001</v>
      </c>
      <c r="NQ85">
        <v>1.6670000000000001E-3</v>
      </c>
      <c r="NR85">
        <v>0.23</v>
      </c>
      <c r="NS85">
        <v>0.221667</v>
      </c>
      <c r="NT85">
        <v>0.23</v>
      </c>
      <c r="NU85">
        <v>0.22833300000000001</v>
      </c>
      <c r="NV85">
        <v>0.24</v>
      </c>
      <c r="NW85">
        <v>0.22</v>
      </c>
      <c r="NX85">
        <v>0.22666700000000001</v>
      </c>
      <c r="NY85" t="s">
        <v>114</v>
      </c>
      <c r="NZ85" t="s">
        <v>114</v>
      </c>
      <c r="OA85">
        <v>2.6667E-2</v>
      </c>
      <c r="OB85">
        <v>0.248333</v>
      </c>
      <c r="OC85">
        <v>0.246667</v>
      </c>
      <c r="OD85">
        <v>0.11666700000000001</v>
      </c>
      <c r="OE85">
        <v>6.6667000000000004E-2</v>
      </c>
      <c r="OF85">
        <v>3.333E-3</v>
      </c>
      <c r="OG85">
        <v>0.25166699999999997</v>
      </c>
      <c r="OH85">
        <v>0.248333</v>
      </c>
      <c r="OI85" t="s">
        <v>114</v>
      </c>
      <c r="OJ85">
        <v>0.25333299999999997</v>
      </c>
      <c r="OK85">
        <v>0.25166699999999997</v>
      </c>
      <c r="OL85">
        <v>0.215</v>
      </c>
      <c r="OM85">
        <v>0.156667</v>
      </c>
      <c r="ON85">
        <v>0.25833299999999998</v>
      </c>
      <c r="OO85" t="s">
        <v>114</v>
      </c>
      <c r="OP85">
        <v>0.27166699999999999</v>
      </c>
      <c r="OQ85" t="s">
        <v>114</v>
      </c>
      <c r="OR85" t="s">
        <v>114</v>
      </c>
      <c r="OS85">
        <v>5.0000000000000001E-3</v>
      </c>
      <c r="OT85" t="s">
        <v>114</v>
      </c>
      <c r="OU85" t="s">
        <v>114</v>
      </c>
      <c r="OV85" t="s">
        <v>114</v>
      </c>
      <c r="OW85" t="s">
        <v>114</v>
      </c>
      <c r="OX85" t="s">
        <v>114</v>
      </c>
      <c r="OY85" t="s">
        <v>114</v>
      </c>
      <c r="OZ85" t="s">
        <v>114</v>
      </c>
      <c r="PA85" t="s">
        <v>114</v>
      </c>
      <c r="PB85">
        <v>0.2</v>
      </c>
      <c r="PC85">
        <v>0.20333300000000001</v>
      </c>
      <c r="PD85" t="s">
        <v>114</v>
      </c>
      <c r="PE85">
        <v>0.17499999999999999</v>
      </c>
      <c r="PF85">
        <v>7.1666999999999995E-2</v>
      </c>
      <c r="PG85">
        <v>0.16500000000000001</v>
      </c>
      <c r="PH85">
        <v>0.16666700000000001</v>
      </c>
      <c r="PI85">
        <v>1.6667000000000001E-2</v>
      </c>
      <c r="PJ85">
        <v>8.1667000000000003E-2</v>
      </c>
      <c r="PK85">
        <v>0.16833300000000001</v>
      </c>
      <c r="PL85">
        <v>1.6670000000000001E-3</v>
      </c>
      <c r="PM85">
        <v>0.155</v>
      </c>
      <c r="PN85" t="s">
        <v>114</v>
      </c>
      <c r="PO85" t="s">
        <v>114</v>
      </c>
      <c r="PP85">
        <v>0.04</v>
      </c>
      <c r="PQ85">
        <v>0.108333</v>
      </c>
      <c r="PR85">
        <v>0.13333300000000001</v>
      </c>
      <c r="PS85">
        <v>0.186667</v>
      </c>
      <c r="PT85">
        <v>1.3332999999999999E-2</v>
      </c>
      <c r="PU85">
        <v>0.185</v>
      </c>
      <c r="PV85">
        <v>0.188333</v>
      </c>
      <c r="PW85">
        <v>0.19</v>
      </c>
      <c r="PX85">
        <v>0.19</v>
      </c>
      <c r="PY85">
        <v>0.14166699999999999</v>
      </c>
      <c r="PZ85">
        <v>0.19</v>
      </c>
      <c r="QA85">
        <v>7.0000000000000007E-2</v>
      </c>
      <c r="QB85">
        <v>0.13666700000000001</v>
      </c>
      <c r="QC85">
        <v>0.02</v>
      </c>
      <c r="QD85">
        <v>0.16666700000000001</v>
      </c>
      <c r="QE85">
        <v>0.14833299999999999</v>
      </c>
      <c r="QF85">
        <v>3.8332999999999999E-2</v>
      </c>
      <c r="QG85">
        <v>0.185</v>
      </c>
      <c r="QH85" t="s">
        <v>114</v>
      </c>
      <c r="QI85" t="s">
        <v>114</v>
      </c>
      <c r="QJ85">
        <v>0.22833300000000001</v>
      </c>
      <c r="QK85">
        <v>0.188333</v>
      </c>
      <c r="QL85" t="s">
        <v>114</v>
      </c>
      <c r="QM85">
        <v>0.15</v>
      </c>
      <c r="QN85" t="s">
        <v>114</v>
      </c>
      <c r="QO85">
        <v>1.4999999999999999E-2</v>
      </c>
      <c r="QP85">
        <v>7.0000000000000007E-2</v>
      </c>
      <c r="QQ85" t="s">
        <v>114</v>
      </c>
      <c r="QR85" t="s">
        <v>114</v>
      </c>
      <c r="QS85">
        <v>0.10333299999999999</v>
      </c>
      <c r="QT85" t="s">
        <v>114</v>
      </c>
      <c r="QU85" t="s">
        <v>114</v>
      </c>
      <c r="QV85">
        <v>0.218333</v>
      </c>
      <c r="QW85">
        <v>0.22500000000000001</v>
      </c>
      <c r="QX85">
        <v>1.4999999999999999E-2</v>
      </c>
      <c r="QY85">
        <v>4.6667E-2</v>
      </c>
      <c r="QZ85">
        <v>0.19500000000000001</v>
      </c>
      <c r="RA85">
        <v>0.19</v>
      </c>
      <c r="RB85">
        <v>0.193333</v>
      </c>
      <c r="RC85">
        <v>8.1667000000000003E-2</v>
      </c>
      <c r="RD85">
        <v>0.106667</v>
      </c>
      <c r="RE85">
        <v>0.188333</v>
      </c>
      <c r="RF85">
        <v>0.14833299999999999</v>
      </c>
      <c r="RG85">
        <v>0.186667</v>
      </c>
      <c r="RH85">
        <v>6.6667000000000004E-2</v>
      </c>
      <c r="RI85">
        <v>8.6666999999999994E-2</v>
      </c>
      <c r="RJ85">
        <v>0.193333</v>
      </c>
      <c r="RK85">
        <v>0.13</v>
      </c>
      <c r="RL85">
        <v>0.14833299999999999</v>
      </c>
      <c r="RM85">
        <v>0.19666700000000001</v>
      </c>
      <c r="RN85" t="s">
        <v>114</v>
      </c>
      <c r="RO85">
        <v>0.2</v>
      </c>
      <c r="RP85">
        <v>5.0000000000000001E-3</v>
      </c>
      <c r="RQ85">
        <v>0.186667</v>
      </c>
      <c r="RR85">
        <v>0.18</v>
      </c>
      <c r="RS85">
        <v>6.5000000000000002E-2</v>
      </c>
      <c r="RT85">
        <v>0.19666700000000001</v>
      </c>
      <c r="RU85">
        <v>4.6667E-2</v>
      </c>
      <c r="RV85">
        <v>0.2</v>
      </c>
      <c r="RW85">
        <v>0.17499999999999999</v>
      </c>
      <c r="RX85">
        <v>6.6670000000000002E-3</v>
      </c>
      <c r="RY85">
        <v>0.2</v>
      </c>
      <c r="RZ85">
        <v>0.191667</v>
      </c>
      <c r="SA85">
        <v>2.1666999999999999E-2</v>
      </c>
      <c r="SB85">
        <v>8.3330000000000001E-3</v>
      </c>
      <c r="SC85">
        <v>0.156667</v>
      </c>
      <c r="SD85">
        <v>0.24166699999999999</v>
      </c>
      <c r="SE85">
        <v>0.27333299999999999</v>
      </c>
      <c r="SF85">
        <v>0.24333299999999999</v>
      </c>
      <c r="SG85">
        <v>0.246667</v>
      </c>
      <c r="SH85" t="s">
        <v>114</v>
      </c>
      <c r="SI85">
        <v>0.27500000000000002</v>
      </c>
      <c r="SJ85">
        <v>2.1666999999999999E-2</v>
      </c>
      <c r="SK85" t="s">
        <v>114</v>
      </c>
      <c r="SL85" t="s">
        <v>114</v>
      </c>
      <c r="SM85">
        <v>3.3333000000000002E-2</v>
      </c>
      <c r="SN85">
        <v>0.26833299999999999</v>
      </c>
      <c r="SO85" t="s">
        <v>114</v>
      </c>
      <c r="SP85">
        <v>0.14666699999999999</v>
      </c>
      <c r="SQ85">
        <v>3.6666999999999998E-2</v>
      </c>
      <c r="SR85">
        <v>0.23666699999999999</v>
      </c>
      <c r="SS85">
        <v>0.245</v>
      </c>
      <c r="ST85">
        <v>5.6667000000000002E-2</v>
      </c>
      <c r="SU85">
        <v>0.125</v>
      </c>
      <c r="SV85">
        <v>5.0000000000000001E-3</v>
      </c>
      <c r="SW85">
        <v>0.115</v>
      </c>
      <c r="SX85">
        <v>1.6670000000000001E-3</v>
      </c>
      <c r="SY85">
        <v>8.3333000000000004E-2</v>
      </c>
      <c r="SZ85">
        <v>7.8333E-2</v>
      </c>
      <c r="TA85">
        <v>0.12</v>
      </c>
      <c r="TB85">
        <v>8.3333000000000004E-2</v>
      </c>
      <c r="TC85">
        <v>0.113333</v>
      </c>
      <c r="TD85">
        <v>0.113333</v>
      </c>
      <c r="TE85">
        <v>0.106667</v>
      </c>
      <c r="TF85">
        <v>8.5000000000000006E-2</v>
      </c>
      <c r="TG85">
        <v>0.05</v>
      </c>
      <c r="TH85">
        <v>9.8333000000000004E-2</v>
      </c>
      <c r="TI85">
        <v>7.8333E-2</v>
      </c>
      <c r="TJ85" t="s">
        <v>114</v>
      </c>
      <c r="TK85">
        <v>9.6667000000000003E-2</v>
      </c>
      <c r="TL85" t="s">
        <v>114</v>
      </c>
      <c r="TM85" t="s">
        <v>114</v>
      </c>
      <c r="TN85">
        <v>0.19</v>
      </c>
      <c r="TO85" t="s">
        <v>114</v>
      </c>
      <c r="TP85">
        <v>0.125</v>
      </c>
      <c r="TQ85">
        <v>0.17</v>
      </c>
      <c r="TR85">
        <v>2.5000000000000001E-2</v>
      </c>
      <c r="TS85">
        <v>3.5000000000000003E-2</v>
      </c>
      <c r="TT85">
        <v>1.6670000000000001E-3</v>
      </c>
      <c r="TU85" t="s">
        <v>114</v>
      </c>
      <c r="TV85">
        <v>8.5000000000000006E-2</v>
      </c>
      <c r="TW85">
        <v>8.3330000000000001E-3</v>
      </c>
      <c r="TX85">
        <v>0.25833299999999998</v>
      </c>
      <c r="TY85" t="s">
        <v>114</v>
      </c>
      <c r="TZ85">
        <v>0.183333</v>
      </c>
      <c r="UA85">
        <v>0.18</v>
      </c>
      <c r="UB85">
        <v>0.115</v>
      </c>
      <c r="UC85" t="s">
        <v>114</v>
      </c>
      <c r="UD85">
        <v>0.113333</v>
      </c>
      <c r="UE85">
        <v>0.126667</v>
      </c>
      <c r="UF85">
        <v>9.3332999999999999E-2</v>
      </c>
      <c r="UG85">
        <v>6.6667000000000004E-2</v>
      </c>
      <c r="UH85" t="s">
        <v>114</v>
      </c>
      <c r="UI85">
        <v>0.113333</v>
      </c>
      <c r="UJ85">
        <v>0.13</v>
      </c>
      <c r="UK85">
        <v>7.4999999999999997E-2</v>
      </c>
      <c r="UL85">
        <v>0.14666699999999999</v>
      </c>
      <c r="UM85" t="s">
        <v>114</v>
      </c>
      <c r="UN85" t="s">
        <v>114</v>
      </c>
      <c r="UO85" t="s">
        <v>114</v>
      </c>
      <c r="UP85">
        <v>0.121667</v>
      </c>
      <c r="UQ85" t="s">
        <v>114</v>
      </c>
      <c r="UR85">
        <v>0.20666699999999999</v>
      </c>
      <c r="US85">
        <v>0.19666700000000001</v>
      </c>
      <c r="UT85">
        <v>0.09</v>
      </c>
      <c r="UU85">
        <v>0.153333</v>
      </c>
      <c r="UV85">
        <v>9.8333000000000004E-2</v>
      </c>
      <c r="UW85" t="s">
        <v>114</v>
      </c>
      <c r="UX85">
        <v>0.21333299999999999</v>
      </c>
      <c r="UY85">
        <v>0.14833299999999999</v>
      </c>
      <c r="UZ85" t="s">
        <v>114</v>
      </c>
      <c r="VA85">
        <v>0.20833299999999999</v>
      </c>
      <c r="VB85">
        <v>1.3332999999999999E-2</v>
      </c>
      <c r="VC85" t="s">
        <v>114</v>
      </c>
      <c r="VD85">
        <v>0.01</v>
      </c>
      <c r="VE85">
        <v>0.153333</v>
      </c>
      <c r="VF85">
        <v>0.21</v>
      </c>
      <c r="VG85">
        <v>0.06</v>
      </c>
      <c r="VH85">
        <v>7.3332999999999995E-2</v>
      </c>
      <c r="VI85" t="s">
        <v>114</v>
      </c>
      <c r="VJ85" t="s">
        <v>114</v>
      </c>
      <c r="VK85" t="s">
        <v>114</v>
      </c>
      <c r="VL85" t="s">
        <v>114</v>
      </c>
      <c r="VM85" t="s">
        <v>114</v>
      </c>
      <c r="VN85">
        <v>1.6670000000000001E-3</v>
      </c>
      <c r="VO85">
        <v>0.185</v>
      </c>
      <c r="VP85">
        <v>0.1</v>
      </c>
      <c r="VQ85">
        <v>5.8333000000000003E-2</v>
      </c>
      <c r="VR85">
        <v>1.6667000000000001E-2</v>
      </c>
      <c r="VS85">
        <v>4.6667E-2</v>
      </c>
      <c r="VT85" t="s">
        <v>114</v>
      </c>
      <c r="VU85">
        <v>5.3332999999999998E-2</v>
      </c>
      <c r="VV85" t="s">
        <v>114</v>
      </c>
      <c r="VW85">
        <v>1.6670000000000001E-3</v>
      </c>
      <c r="VX85" t="s">
        <v>114</v>
      </c>
      <c r="VY85">
        <v>0.155</v>
      </c>
      <c r="VZ85">
        <v>0.186667</v>
      </c>
      <c r="WA85" t="s">
        <v>114</v>
      </c>
      <c r="WB85" t="s">
        <v>114</v>
      </c>
      <c r="WC85" t="s">
        <v>114</v>
      </c>
      <c r="WD85">
        <v>1.3332999999999999E-2</v>
      </c>
      <c r="WE85">
        <v>0.04</v>
      </c>
      <c r="WF85">
        <v>8.5000000000000006E-2</v>
      </c>
      <c r="WG85">
        <v>5.8333000000000003E-2</v>
      </c>
      <c r="WH85" t="s">
        <v>114</v>
      </c>
      <c r="WI85">
        <v>0.08</v>
      </c>
      <c r="WJ85">
        <v>1.4999999999999999E-2</v>
      </c>
      <c r="WK85">
        <v>0.156667</v>
      </c>
      <c r="WL85" t="s">
        <v>114</v>
      </c>
      <c r="WM85">
        <v>6.5000000000000002E-2</v>
      </c>
      <c r="WN85">
        <v>0.14333299999999999</v>
      </c>
      <c r="WO85">
        <v>0.125</v>
      </c>
      <c r="WP85">
        <v>0.111667</v>
      </c>
      <c r="WQ85">
        <v>0.13666700000000001</v>
      </c>
      <c r="WR85" t="s">
        <v>114</v>
      </c>
      <c r="WS85">
        <v>0.17833299999999999</v>
      </c>
      <c r="WT85" t="s">
        <v>114</v>
      </c>
      <c r="WU85">
        <v>6.6670000000000002E-3</v>
      </c>
      <c r="WV85" t="s">
        <v>114</v>
      </c>
      <c r="WW85">
        <v>3.6666999999999998E-2</v>
      </c>
      <c r="WX85">
        <v>3.333E-3</v>
      </c>
      <c r="WY85">
        <v>1.6670000000000001E-3</v>
      </c>
      <c r="WZ85" t="s">
        <v>114</v>
      </c>
      <c r="XA85">
        <v>2.3333E-2</v>
      </c>
      <c r="XB85" t="s">
        <v>114</v>
      </c>
      <c r="XC85">
        <v>2.1666999999999999E-2</v>
      </c>
      <c r="XD85">
        <v>8.3330000000000001E-3</v>
      </c>
      <c r="XE85">
        <v>0.14166699999999999</v>
      </c>
      <c r="XF85" t="s">
        <v>114</v>
      </c>
      <c r="XG85">
        <v>0.13166700000000001</v>
      </c>
      <c r="XH85">
        <v>0.215</v>
      </c>
      <c r="XI85">
        <v>1.6670000000000001E-3</v>
      </c>
      <c r="XJ85">
        <v>1.8332999999999999E-2</v>
      </c>
      <c r="XK85">
        <v>0.13833300000000001</v>
      </c>
      <c r="XL85">
        <v>6.6667000000000004E-2</v>
      </c>
      <c r="XM85">
        <v>0.26500000000000001</v>
      </c>
      <c r="XN85">
        <v>0.16500000000000001</v>
      </c>
      <c r="XO85">
        <v>5.0000000000000001E-3</v>
      </c>
      <c r="XP85" t="s">
        <v>114</v>
      </c>
      <c r="XQ85" t="s">
        <v>114</v>
      </c>
      <c r="XR85">
        <v>1.3332999999999999E-2</v>
      </c>
      <c r="XS85">
        <v>6.5000000000000002E-2</v>
      </c>
      <c r="XT85">
        <v>0.245</v>
      </c>
      <c r="XU85" t="s">
        <v>114</v>
      </c>
      <c r="XV85" t="s">
        <v>114</v>
      </c>
      <c r="XW85" t="s">
        <v>114</v>
      </c>
      <c r="XX85">
        <v>0.113333</v>
      </c>
      <c r="XY85">
        <v>7.8333E-2</v>
      </c>
      <c r="XZ85">
        <v>2.6667E-2</v>
      </c>
      <c r="YA85">
        <v>1.4999999999999999E-2</v>
      </c>
      <c r="YB85">
        <v>2.1666999999999999E-2</v>
      </c>
      <c r="YC85">
        <v>0.123333</v>
      </c>
      <c r="YD85" t="s">
        <v>114</v>
      </c>
      <c r="YE85">
        <v>3.6666999999999998E-2</v>
      </c>
      <c r="YF85" t="s">
        <v>114</v>
      </c>
      <c r="YG85">
        <v>0.16333300000000001</v>
      </c>
      <c r="YH85" t="s">
        <v>114</v>
      </c>
      <c r="YI85" t="s">
        <v>114</v>
      </c>
      <c r="YJ85">
        <v>0.17</v>
      </c>
      <c r="YK85">
        <v>0.20833299999999999</v>
      </c>
      <c r="YL85">
        <v>0.17499999999999999</v>
      </c>
      <c r="YM85">
        <v>0.186667</v>
      </c>
      <c r="YN85" t="s">
        <v>114</v>
      </c>
      <c r="YO85" t="s">
        <v>114</v>
      </c>
      <c r="YP85" t="s">
        <v>114</v>
      </c>
      <c r="YQ85">
        <v>0.245</v>
      </c>
      <c r="YR85">
        <v>0.123333</v>
      </c>
      <c r="YS85">
        <v>3.6666999999999998E-2</v>
      </c>
      <c r="YT85" t="s">
        <v>114</v>
      </c>
      <c r="YU85">
        <v>0.2</v>
      </c>
      <c r="YV85">
        <v>0.218333</v>
      </c>
      <c r="YW85" t="s">
        <v>114</v>
      </c>
      <c r="YX85" t="s">
        <v>114</v>
      </c>
      <c r="YY85">
        <v>1.6670000000000001E-3</v>
      </c>
      <c r="YZ85">
        <v>7.0000000000000007E-2</v>
      </c>
      <c r="ZA85">
        <v>0.158333</v>
      </c>
      <c r="ZB85" t="s">
        <v>114</v>
      </c>
      <c r="ZC85">
        <v>0.10333299999999999</v>
      </c>
      <c r="ZD85">
        <v>0.126667</v>
      </c>
      <c r="ZE85">
        <v>0.16833300000000001</v>
      </c>
      <c r="ZF85">
        <v>1.6670000000000001E-3</v>
      </c>
      <c r="ZG85">
        <v>4.3333000000000003E-2</v>
      </c>
      <c r="ZH85">
        <v>5.1666999999999998E-2</v>
      </c>
      <c r="ZI85">
        <v>1.3332999999999999E-2</v>
      </c>
      <c r="ZJ85">
        <v>4.3333000000000003E-2</v>
      </c>
      <c r="ZK85" t="s">
        <v>114</v>
      </c>
      <c r="ZL85">
        <v>3.5000000000000003E-2</v>
      </c>
      <c r="ZM85">
        <v>1.4999999999999999E-2</v>
      </c>
      <c r="ZN85">
        <v>0.01</v>
      </c>
      <c r="ZO85">
        <v>1.6667000000000001E-2</v>
      </c>
      <c r="ZP85" t="s">
        <v>114</v>
      </c>
      <c r="ZQ85" t="s">
        <v>114</v>
      </c>
      <c r="ZR85" t="s">
        <v>114</v>
      </c>
      <c r="ZS85" t="s">
        <v>114</v>
      </c>
      <c r="ZT85" t="s">
        <v>114</v>
      </c>
      <c r="ZU85" t="s">
        <v>114</v>
      </c>
      <c r="ZV85">
        <v>0.09</v>
      </c>
      <c r="ZW85" t="s">
        <v>114</v>
      </c>
      <c r="ZX85">
        <v>5.0000000000000001E-3</v>
      </c>
      <c r="ZY85">
        <v>0.04</v>
      </c>
      <c r="ZZ85">
        <v>3.8332999999999999E-2</v>
      </c>
      <c r="AAA85">
        <v>0.16500000000000001</v>
      </c>
      <c r="AAB85">
        <v>1.8332999999999999E-2</v>
      </c>
      <c r="AAC85">
        <v>2.3333E-2</v>
      </c>
      <c r="AAD85">
        <v>0.186667</v>
      </c>
      <c r="AAE85">
        <v>5.8333000000000003E-2</v>
      </c>
      <c r="AAF85">
        <v>1.4999999999999999E-2</v>
      </c>
      <c r="AAG85">
        <v>3.3333000000000002E-2</v>
      </c>
      <c r="AAH85" t="s">
        <v>114</v>
      </c>
      <c r="AAI85">
        <v>0.01</v>
      </c>
      <c r="AAJ85">
        <v>1.6670000000000001E-3</v>
      </c>
      <c r="AAK85" t="s">
        <v>114</v>
      </c>
      <c r="AAL85" t="s">
        <v>114</v>
      </c>
      <c r="AAM85">
        <v>4.3333000000000003E-2</v>
      </c>
      <c r="AAN85">
        <v>0.18</v>
      </c>
      <c r="AAO85">
        <v>2.5000000000000001E-2</v>
      </c>
      <c r="AAP85" t="s">
        <v>114</v>
      </c>
      <c r="AAQ85">
        <v>3.6666999999999998E-2</v>
      </c>
      <c r="AAR85">
        <v>5.5E-2</v>
      </c>
      <c r="AAS85" t="s">
        <v>114</v>
      </c>
      <c r="AAT85">
        <v>3.333E-3</v>
      </c>
      <c r="AAU85">
        <v>3.333E-3</v>
      </c>
      <c r="AAV85">
        <v>1.6670000000000001E-3</v>
      </c>
      <c r="AAW85">
        <v>0.115</v>
      </c>
      <c r="AAX85" t="s">
        <v>114</v>
      </c>
      <c r="AAY85">
        <v>0.13833300000000001</v>
      </c>
      <c r="AAZ85" t="s">
        <v>114</v>
      </c>
      <c r="ABA85">
        <v>0.181667</v>
      </c>
      <c r="ABB85">
        <v>5.1666999999999998E-2</v>
      </c>
      <c r="ABC85">
        <v>0.18</v>
      </c>
      <c r="ABD85" t="s">
        <v>114</v>
      </c>
      <c r="ABE85">
        <v>9.6667000000000003E-2</v>
      </c>
      <c r="ABF85" t="s">
        <v>114</v>
      </c>
      <c r="ABG85">
        <v>0.17</v>
      </c>
      <c r="ABH85">
        <v>0.14666699999999999</v>
      </c>
      <c r="ABI85" t="s">
        <v>114</v>
      </c>
      <c r="ABJ85">
        <v>3.3333000000000002E-2</v>
      </c>
      <c r="ABK85">
        <v>0.16</v>
      </c>
      <c r="ABL85">
        <v>1.6670000000000001E-3</v>
      </c>
      <c r="ABM85">
        <v>0.156667</v>
      </c>
      <c r="ABN85" t="s">
        <v>114</v>
      </c>
      <c r="ABO85" t="s">
        <v>114</v>
      </c>
      <c r="ABP85">
        <v>8.3330000000000001E-3</v>
      </c>
      <c r="ABQ85" t="s">
        <v>114</v>
      </c>
      <c r="ABR85">
        <v>7.3332999999999995E-2</v>
      </c>
      <c r="ABS85">
        <v>0.183333</v>
      </c>
      <c r="ABT85" t="s">
        <v>114</v>
      </c>
      <c r="ABU85" t="s">
        <v>114</v>
      </c>
      <c r="ABV85" t="s">
        <v>114</v>
      </c>
      <c r="ABW85" t="s">
        <v>114</v>
      </c>
      <c r="ABX85">
        <v>5.0000000000000001E-3</v>
      </c>
      <c r="ABY85" t="s">
        <v>114</v>
      </c>
      <c r="ABZ85">
        <v>0.25</v>
      </c>
      <c r="ACA85">
        <v>0.17333299999999999</v>
      </c>
      <c r="ACB85" t="s">
        <v>114</v>
      </c>
      <c r="ACC85">
        <v>0.13166700000000001</v>
      </c>
      <c r="ACD85" t="s">
        <v>114</v>
      </c>
      <c r="ACE85" t="s">
        <v>114</v>
      </c>
      <c r="ACF85" t="s">
        <v>114</v>
      </c>
      <c r="ACG85" t="s">
        <v>114</v>
      </c>
      <c r="ACH85" t="s">
        <v>114</v>
      </c>
      <c r="ACI85" t="s">
        <v>114</v>
      </c>
      <c r="ACJ85" t="s">
        <v>114</v>
      </c>
      <c r="ACK85">
        <v>0.17333299999999999</v>
      </c>
      <c r="ACL85">
        <v>0.215</v>
      </c>
      <c r="ACM85" t="s">
        <v>114</v>
      </c>
      <c r="ACN85">
        <v>8.3330000000000001E-3</v>
      </c>
      <c r="ACO85">
        <v>0.13166700000000001</v>
      </c>
    </row>
    <row r="86" spans="1:769" x14ac:dyDescent="0.25">
      <c r="A86" t="s">
        <v>893</v>
      </c>
      <c r="B86" t="s">
        <v>114</v>
      </c>
      <c r="C86" t="s">
        <v>114</v>
      </c>
      <c r="D86">
        <v>0.55408199999999996</v>
      </c>
      <c r="E86" t="s">
        <v>114</v>
      </c>
      <c r="F86">
        <v>0.53571100000000005</v>
      </c>
      <c r="G86">
        <v>0.55434499999999998</v>
      </c>
      <c r="H86">
        <v>1.0878350000000001</v>
      </c>
      <c r="I86">
        <v>0.93654599999999999</v>
      </c>
      <c r="J86" t="s">
        <v>114</v>
      </c>
      <c r="K86">
        <v>1.2930569999999999</v>
      </c>
      <c r="L86" t="s">
        <v>114</v>
      </c>
      <c r="M86">
        <v>0.54624899999999998</v>
      </c>
      <c r="N86" t="s">
        <v>114</v>
      </c>
      <c r="O86">
        <v>0.55403599999999997</v>
      </c>
      <c r="P86">
        <v>0.72126699999999999</v>
      </c>
      <c r="Q86">
        <v>0.96301099999999995</v>
      </c>
      <c r="R86" t="s">
        <v>114</v>
      </c>
      <c r="S86" t="s">
        <v>114</v>
      </c>
      <c r="T86" t="s">
        <v>114</v>
      </c>
      <c r="U86">
        <v>0.34496599999999999</v>
      </c>
      <c r="V86">
        <v>0.30778299999999997</v>
      </c>
      <c r="W86" t="s">
        <v>114</v>
      </c>
      <c r="X86">
        <v>0.51954699999999998</v>
      </c>
      <c r="Y86" t="s">
        <v>114</v>
      </c>
      <c r="Z86" t="s">
        <v>114</v>
      </c>
      <c r="AA86">
        <v>0.34477999999999998</v>
      </c>
      <c r="AB86">
        <v>0.40706100000000001</v>
      </c>
      <c r="AC86">
        <v>0.52554400000000001</v>
      </c>
      <c r="AD86" t="s">
        <v>114</v>
      </c>
      <c r="AE86">
        <v>0.52429099999999995</v>
      </c>
      <c r="AF86">
        <v>0.44211400000000001</v>
      </c>
      <c r="AG86">
        <v>0.89419099999999996</v>
      </c>
      <c r="AH86">
        <v>1.271142</v>
      </c>
      <c r="AI86" t="s">
        <v>114</v>
      </c>
      <c r="AJ86">
        <v>0.344273</v>
      </c>
      <c r="AK86">
        <v>0.54787699999999995</v>
      </c>
      <c r="AL86">
        <v>0.80239300000000002</v>
      </c>
      <c r="AM86">
        <v>0.90089799999999998</v>
      </c>
      <c r="AN86">
        <v>0.340972</v>
      </c>
      <c r="AO86">
        <v>0.34400500000000001</v>
      </c>
      <c r="AP86">
        <v>0.89332900000000004</v>
      </c>
      <c r="AQ86">
        <v>0.97481399999999996</v>
      </c>
      <c r="AR86">
        <v>0.34414</v>
      </c>
      <c r="AS86">
        <v>0.49112800000000001</v>
      </c>
      <c r="AT86" t="s">
        <v>114</v>
      </c>
      <c r="AU86">
        <v>0.63246000000000002</v>
      </c>
      <c r="AV86" t="s">
        <v>114</v>
      </c>
      <c r="AW86">
        <v>0.49998100000000001</v>
      </c>
      <c r="AX86">
        <v>0.198993</v>
      </c>
      <c r="AY86" t="s">
        <v>114</v>
      </c>
      <c r="AZ86">
        <v>0.28002500000000002</v>
      </c>
      <c r="BA86">
        <v>0.23544300000000001</v>
      </c>
      <c r="BB86" t="s">
        <v>114</v>
      </c>
      <c r="BC86" t="s">
        <v>114</v>
      </c>
      <c r="BD86">
        <v>0.207314</v>
      </c>
      <c r="BE86">
        <v>0.23541699999999999</v>
      </c>
      <c r="BF86">
        <v>0.23560300000000001</v>
      </c>
      <c r="BG86">
        <v>0.80130100000000004</v>
      </c>
      <c r="BH86">
        <v>0.477659</v>
      </c>
      <c r="BI86">
        <v>0.35514400000000002</v>
      </c>
      <c r="BJ86">
        <v>0.23572399999999999</v>
      </c>
      <c r="BK86">
        <v>0.20016800000000001</v>
      </c>
      <c r="BL86" t="s">
        <v>114</v>
      </c>
      <c r="BM86">
        <v>0.218866</v>
      </c>
      <c r="BN86" t="s">
        <v>114</v>
      </c>
      <c r="BO86" t="s">
        <v>114</v>
      </c>
      <c r="BP86">
        <v>0.46326000000000001</v>
      </c>
      <c r="BQ86">
        <v>0.96469800000000006</v>
      </c>
      <c r="BR86" t="s">
        <v>114</v>
      </c>
      <c r="BS86">
        <v>0.44667400000000002</v>
      </c>
      <c r="BT86">
        <v>0.906586</v>
      </c>
      <c r="BU86" t="s">
        <v>114</v>
      </c>
      <c r="BV86" t="s">
        <v>114</v>
      </c>
      <c r="BW86">
        <v>0.45479199999999997</v>
      </c>
      <c r="BX86" t="s">
        <v>114</v>
      </c>
      <c r="BY86" t="s">
        <v>114</v>
      </c>
      <c r="BZ86">
        <v>0.627471</v>
      </c>
      <c r="CA86" t="s">
        <v>114</v>
      </c>
      <c r="CB86">
        <v>1.183791</v>
      </c>
      <c r="CC86">
        <v>0.95875100000000002</v>
      </c>
      <c r="CD86">
        <v>0.78529300000000002</v>
      </c>
      <c r="CE86">
        <v>0.58687500000000004</v>
      </c>
      <c r="CF86" t="s">
        <v>114</v>
      </c>
      <c r="CG86">
        <v>0.292404</v>
      </c>
      <c r="CH86" t="s">
        <v>114</v>
      </c>
      <c r="CI86">
        <v>0.22717899999999999</v>
      </c>
      <c r="CJ86">
        <v>0.26751000000000003</v>
      </c>
      <c r="CK86" t="s">
        <v>114</v>
      </c>
      <c r="CL86">
        <v>0.29454599999999997</v>
      </c>
      <c r="CM86">
        <v>0.50257200000000002</v>
      </c>
      <c r="CN86" t="s">
        <v>114</v>
      </c>
      <c r="CO86">
        <v>0.49343500000000001</v>
      </c>
      <c r="CP86">
        <v>0.30224499999999999</v>
      </c>
      <c r="CQ86">
        <v>0.45977000000000001</v>
      </c>
      <c r="CR86">
        <v>1.3368310000000001</v>
      </c>
      <c r="CS86">
        <v>0.99354799999999999</v>
      </c>
      <c r="CT86" t="s">
        <v>114</v>
      </c>
      <c r="CU86">
        <v>0.20291799999999999</v>
      </c>
      <c r="CV86">
        <v>0.202707</v>
      </c>
      <c r="CW86">
        <v>0.51325799999999999</v>
      </c>
      <c r="CX86">
        <v>0.54598999999999998</v>
      </c>
      <c r="CY86">
        <v>0.34479100000000001</v>
      </c>
      <c r="CZ86">
        <v>0.20241600000000001</v>
      </c>
      <c r="DA86" t="s">
        <v>114</v>
      </c>
      <c r="DB86">
        <v>0.39714500000000003</v>
      </c>
      <c r="DC86">
        <v>0.50150300000000003</v>
      </c>
      <c r="DD86">
        <v>0.202737</v>
      </c>
      <c r="DE86">
        <v>0.91076900000000005</v>
      </c>
      <c r="DF86">
        <v>0.20305699999999999</v>
      </c>
      <c r="DG86">
        <v>0.803041</v>
      </c>
      <c r="DH86">
        <v>0.84609299999999998</v>
      </c>
      <c r="DI86">
        <v>0.21687500000000001</v>
      </c>
      <c r="DJ86">
        <v>0.93700399999999995</v>
      </c>
      <c r="DK86">
        <v>0.92250600000000005</v>
      </c>
      <c r="DL86">
        <v>0.35240700000000003</v>
      </c>
      <c r="DM86">
        <v>0.352663</v>
      </c>
      <c r="DN86" t="s">
        <v>114</v>
      </c>
      <c r="DO86">
        <v>0.326961</v>
      </c>
      <c r="DP86">
        <v>1.0522670000000001</v>
      </c>
      <c r="DQ86">
        <v>0.37796200000000002</v>
      </c>
      <c r="DR86">
        <v>0.349582</v>
      </c>
      <c r="DS86">
        <v>0.37811600000000001</v>
      </c>
      <c r="DT86" t="s">
        <v>114</v>
      </c>
      <c r="DU86">
        <v>0.49903799999999998</v>
      </c>
      <c r="DV86" t="s">
        <v>114</v>
      </c>
      <c r="DW86" t="s">
        <v>114</v>
      </c>
      <c r="DX86">
        <v>0.30610999999999999</v>
      </c>
      <c r="DY86">
        <v>0.94581000000000004</v>
      </c>
      <c r="DZ86">
        <v>0.73734100000000002</v>
      </c>
      <c r="EA86">
        <v>0.42230600000000001</v>
      </c>
      <c r="EB86" t="s">
        <v>114</v>
      </c>
      <c r="EC86" t="s">
        <v>114</v>
      </c>
      <c r="ED86" t="s">
        <v>114</v>
      </c>
      <c r="EE86">
        <v>0.82458100000000001</v>
      </c>
      <c r="EF86">
        <v>0.89657100000000001</v>
      </c>
      <c r="EG86">
        <v>0.52070499999999997</v>
      </c>
      <c r="EH86" t="s">
        <v>114</v>
      </c>
      <c r="EI86">
        <v>0.47581400000000001</v>
      </c>
      <c r="EJ86">
        <v>1.0012939999999999</v>
      </c>
      <c r="EK86">
        <v>1.2521910000000001</v>
      </c>
      <c r="EL86">
        <v>0.83105099999999998</v>
      </c>
      <c r="EM86">
        <v>0.63237699999999997</v>
      </c>
      <c r="EN86">
        <v>0.892347</v>
      </c>
      <c r="EO86" t="s">
        <v>114</v>
      </c>
      <c r="EP86">
        <v>0.60889300000000002</v>
      </c>
      <c r="EQ86">
        <v>0.46452500000000002</v>
      </c>
      <c r="ER86">
        <v>0.48720400000000003</v>
      </c>
      <c r="ES86">
        <v>0.457679</v>
      </c>
      <c r="ET86">
        <v>0.40420499999999998</v>
      </c>
      <c r="EU86">
        <v>0.52590300000000001</v>
      </c>
      <c r="EV86" t="s">
        <v>114</v>
      </c>
      <c r="EW86">
        <v>0.55788599999999999</v>
      </c>
      <c r="EX86">
        <v>0.59515899999999999</v>
      </c>
      <c r="EY86">
        <v>0.57274899999999995</v>
      </c>
      <c r="EZ86">
        <v>0.68805499999999997</v>
      </c>
      <c r="FA86">
        <v>0.43003400000000003</v>
      </c>
      <c r="FB86" t="s">
        <v>114</v>
      </c>
      <c r="FC86">
        <v>0.60921199999999998</v>
      </c>
      <c r="FD86" t="s">
        <v>114</v>
      </c>
      <c r="FE86" t="s">
        <v>114</v>
      </c>
      <c r="FF86">
        <v>0.56873700000000005</v>
      </c>
      <c r="FG86">
        <v>0.316664</v>
      </c>
      <c r="FH86">
        <v>0.31372499999999998</v>
      </c>
      <c r="FI86">
        <v>1.3109839999999999</v>
      </c>
      <c r="FJ86">
        <v>0.55992600000000003</v>
      </c>
      <c r="FK86">
        <v>0.58144799999999996</v>
      </c>
      <c r="FL86">
        <v>0.38560699999999998</v>
      </c>
      <c r="FM86">
        <v>0.51880099999999996</v>
      </c>
      <c r="FN86" t="s">
        <v>114</v>
      </c>
      <c r="FO86" t="s">
        <v>114</v>
      </c>
      <c r="FP86">
        <v>0.577403</v>
      </c>
      <c r="FQ86">
        <v>1.4463729999999999</v>
      </c>
      <c r="FR86">
        <v>0.56653699999999996</v>
      </c>
      <c r="FS86">
        <v>0.36808600000000002</v>
      </c>
      <c r="FT86">
        <v>1.1582220000000001</v>
      </c>
      <c r="FU86">
        <v>0.43980599999999997</v>
      </c>
      <c r="FV86">
        <v>0.50539999999999996</v>
      </c>
      <c r="FW86">
        <v>0.49482199999999998</v>
      </c>
      <c r="FX86">
        <v>0.51802300000000001</v>
      </c>
      <c r="FY86">
        <v>0.425292</v>
      </c>
      <c r="FZ86">
        <v>0.52045600000000003</v>
      </c>
      <c r="GA86">
        <v>0.49378899999999998</v>
      </c>
      <c r="GB86">
        <v>0.70497299999999996</v>
      </c>
      <c r="GC86">
        <v>0.57628400000000002</v>
      </c>
      <c r="GD86">
        <v>0.48413899999999999</v>
      </c>
      <c r="GE86">
        <v>0.52409300000000003</v>
      </c>
      <c r="GF86">
        <v>1.3564769999999999</v>
      </c>
      <c r="GG86">
        <v>0.62936899999999996</v>
      </c>
      <c r="GH86">
        <v>0.572766</v>
      </c>
      <c r="GI86" t="s">
        <v>114</v>
      </c>
      <c r="GJ86">
        <v>0.50122</v>
      </c>
      <c r="GK86">
        <v>0.45627899999999999</v>
      </c>
      <c r="GL86" t="s">
        <v>114</v>
      </c>
      <c r="GM86" t="s">
        <v>114</v>
      </c>
      <c r="GN86">
        <v>0.719499</v>
      </c>
      <c r="GO86" t="s">
        <v>114</v>
      </c>
      <c r="GP86">
        <v>0.46969899999999998</v>
      </c>
      <c r="GQ86">
        <v>0.50253599999999998</v>
      </c>
      <c r="GR86">
        <v>0.70536100000000002</v>
      </c>
      <c r="GS86">
        <v>0.91892799999999997</v>
      </c>
      <c r="GT86">
        <v>0.60514100000000004</v>
      </c>
      <c r="GU86" t="s">
        <v>114</v>
      </c>
      <c r="GV86">
        <v>0.73087599999999997</v>
      </c>
      <c r="GW86" t="s">
        <v>114</v>
      </c>
      <c r="GX86">
        <v>0.698434</v>
      </c>
      <c r="GY86">
        <v>0.73234299999999997</v>
      </c>
      <c r="GZ86">
        <v>0.59582000000000002</v>
      </c>
      <c r="HA86">
        <v>0.65890099999999996</v>
      </c>
      <c r="HB86">
        <v>0.54092799999999996</v>
      </c>
      <c r="HC86">
        <v>0.48085600000000001</v>
      </c>
      <c r="HD86">
        <v>0.50228300000000004</v>
      </c>
      <c r="HE86">
        <v>0.63293500000000003</v>
      </c>
      <c r="HF86" t="s">
        <v>114</v>
      </c>
      <c r="HG86">
        <v>0.42364800000000002</v>
      </c>
      <c r="HH86">
        <v>0.43645200000000001</v>
      </c>
      <c r="HI86">
        <v>0.60526100000000005</v>
      </c>
      <c r="HJ86">
        <v>0.41218900000000003</v>
      </c>
      <c r="HK86">
        <v>0.59123800000000004</v>
      </c>
      <c r="HL86">
        <v>0.44352200000000003</v>
      </c>
      <c r="HM86" t="s">
        <v>114</v>
      </c>
      <c r="HN86">
        <v>0.62246599999999996</v>
      </c>
      <c r="HO86">
        <v>0.41107900000000003</v>
      </c>
      <c r="HP86" t="s">
        <v>114</v>
      </c>
      <c r="HQ86">
        <v>0.53065700000000005</v>
      </c>
      <c r="HR86">
        <v>0.78587499999999999</v>
      </c>
      <c r="HS86" t="s">
        <v>114</v>
      </c>
      <c r="HT86">
        <v>0.40018100000000001</v>
      </c>
      <c r="HU86">
        <v>0.437583</v>
      </c>
      <c r="HV86" t="s">
        <v>114</v>
      </c>
      <c r="HW86" t="s">
        <v>114</v>
      </c>
      <c r="HX86">
        <v>0.36024200000000001</v>
      </c>
      <c r="HY86">
        <v>0.36872899999999997</v>
      </c>
      <c r="HZ86">
        <v>0.49978299999999998</v>
      </c>
      <c r="IA86">
        <v>1.2880130000000001</v>
      </c>
      <c r="IB86" t="s">
        <v>114</v>
      </c>
      <c r="IC86" t="s">
        <v>114</v>
      </c>
      <c r="ID86" t="s">
        <v>114</v>
      </c>
      <c r="IE86">
        <v>0.40297899999999998</v>
      </c>
      <c r="IF86">
        <v>0.68453200000000003</v>
      </c>
      <c r="IG86" t="s">
        <v>114</v>
      </c>
      <c r="IH86">
        <v>0.49212899999999998</v>
      </c>
      <c r="II86" t="s">
        <v>114</v>
      </c>
      <c r="IJ86">
        <v>0.37561099999999997</v>
      </c>
      <c r="IK86" t="s">
        <v>114</v>
      </c>
      <c r="IL86" t="s">
        <v>114</v>
      </c>
      <c r="IM86" t="s">
        <v>114</v>
      </c>
      <c r="IN86">
        <v>0.461895</v>
      </c>
      <c r="IO86">
        <v>0.41805799999999999</v>
      </c>
      <c r="IP86">
        <v>0.37752200000000002</v>
      </c>
      <c r="IQ86" t="s">
        <v>114</v>
      </c>
      <c r="IR86">
        <v>0.35781800000000002</v>
      </c>
      <c r="IS86">
        <v>0.41322199999999998</v>
      </c>
      <c r="IT86">
        <v>0.93315800000000004</v>
      </c>
      <c r="IU86" t="s">
        <v>114</v>
      </c>
      <c r="IV86">
        <v>0.79334700000000002</v>
      </c>
      <c r="IW86">
        <v>0.51698699999999997</v>
      </c>
      <c r="IX86">
        <v>0.70988600000000002</v>
      </c>
      <c r="IY86">
        <v>0.53692600000000001</v>
      </c>
      <c r="IZ86">
        <v>0.47260099999999999</v>
      </c>
      <c r="JA86">
        <v>0.588036</v>
      </c>
      <c r="JB86">
        <v>0.13853399999999999</v>
      </c>
      <c r="JC86">
        <v>0.68687399999999998</v>
      </c>
      <c r="JD86">
        <v>0.54173899999999997</v>
      </c>
      <c r="JE86">
        <v>0.43632900000000002</v>
      </c>
      <c r="JF86" t="s">
        <v>114</v>
      </c>
      <c r="JG86">
        <v>0.54197499999999998</v>
      </c>
      <c r="JH86">
        <v>0.69018800000000002</v>
      </c>
      <c r="JI86" t="s">
        <v>114</v>
      </c>
      <c r="JJ86" t="s">
        <v>114</v>
      </c>
      <c r="JK86">
        <v>0.64745600000000003</v>
      </c>
      <c r="JL86">
        <v>0.53415299999999999</v>
      </c>
      <c r="JM86">
        <v>0.53368300000000002</v>
      </c>
      <c r="JN86">
        <v>0.50970899999999997</v>
      </c>
      <c r="JO86" t="s">
        <v>114</v>
      </c>
      <c r="JP86">
        <v>0.51542900000000003</v>
      </c>
      <c r="JQ86" t="s">
        <v>114</v>
      </c>
      <c r="JR86">
        <v>0.58950100000000005</v>
      </c>
      <c r="JS86" t="s">
        <v>114</v>
      </c>
      <c r="JT86" t="s">
        <v>114</v>
      </c>
      <c r="JU86">
        <v>0.48820799999999998</v>
      </c>
      <c r="JV86" t="s">
        <v>114</v>
      </c>
      <c r="JW86">
        <v>0.60693399999999997</v>
      </c>
      <c r="JX86" t="s">
        <v>114</v>
      </c>
      <c r="JY86">
        <v>1.312878</v>
      </c>
      <c r="JZ86" t="s">
        <v>114</v>
      </c>
      <c r="KA86" t="s">
        <v>114</v>
      </c>
      <c r="KB86" t="s">
        <v>114</v>
      </c>
      <c r="KC86" t="s">
        <v>114</v>
      </c>
      <c r="KD86">
        <v>0.34111799999999998</v>
      </c>
      <c r="KE86">
        <v>0.90158499999999997</v>
      </c>
      <c r="KF86">
        <v>0.32462600000000003</v>
      </c>
      <c r="KG86">
        <v>0.35522199999999998</v>
      </c>
      <c r="KH86" t="s">
        <v>114</v>
      </c>
      <c r="KI86">
        <v>0.39452799999999999</v>
      </c>
      <c r="KJ86">
        <v>0.86373500000000003</v>
      </c>
      <c r="KK86">
        <v>0.34152300000000002</v>
      </c>
      <c r="KL86" t="s">
        <v>114</v>
      </c>
      <c r="KM86">
        <v>0.288692</v>
      </c>
      <c r="KN86">
        <v>0.309556</v>
      </c>
      <c r="KO86" t="s">
        <v>114</v>
      </c>
      <c r="KP86">
        <v>0.22381300000000001</v>
      </c>
      <c r="KQ86">
        <v>0.56059700000000001</v>
      </c>
      <c r="KR86">
        <v>0.22381200000000001</v>
      </c>
      <c r="KS86">
        <v>0.29028300000000001</v>
      </c>
      <c r="KT86">
        <v>0.24480199999999999</v>
      </c>
      <c r="KU86" t="s">
        <v>114</v>
      </c>
      <c r="KV86">
        <v>1.809042</v>
      </c>
      <c r="KW86">
        <v>0.34077600000000002</v>
      </c>
      <c r="KX86">
        <v>0.70734699999999995</v>
      </c>
      <c r="KY86">
        <v>0.24576700000000001</v>
      </c>
      <c r="KZ86">
        <v>1.0533870000000001</v>
      </c>
      <c r="LA86">
        <v>0.24648500000000001</v>
      </c>
      <c r="LB86">
        <v>0.24706700000000001</v>
      </c>
      <c r="LC86">
        <v>0.24490899999999999</v>
      </c>
      <c r="LD86" t="s">
        <v>114</v>
      </c>
      <c r="LE86">
        <v>0.55191500000000004</v>
      </c>
      <c r="LF86">
        <v>0.74579700000000004</v>
      </c>
      <c r="LG86">
        <v>0.244784</v>
      </c>
      <c r="LH86">
        <v>0.45449299999999998</v>
      </c>
      <c r="LI86">
        <v>0.23453599999999999</v>
      </c>
      <c r="LJ86">
        <v>0.196468</v>
      </c>
      <c r="LK86">
        <v>0.19653399999999999</v>
      </c>
      <c r="LL86">
        <v>0.196659</v>
      </c>
      <c r="LM86">
        <v>0.19686600000000001</v>
      </c>
      <c r="LN86">
        <v>0.68593700000000002</v>
      </c>
      <c r="LO86">
        <v>0.196765</v>
      </c>
      <c r="LP86">
        <v>0.19642999999999999</v>
      </c>
      <c r="LQ86">
        <v>0.197491</v>
      </c>
      <c r="LR86" t="s">
        <v>114</v>
      </c>
      <c r="LS86">
        <v>0.88686200000000004</v>
      </c>
      <c r="LT86">
        <v>0.19678799999999999</v>
      </c>
      <c r="LU86">
        <v>0.22542799999999999</v>
      </c>
      <c r="LV86">
        <v>0.19741500000000001</v>
      </c>
      <c r="LW86" t="s">
        <v>114</v>
      </c>
      <c r="LX86">
        <v>0.197299</v>
      </c>
      <c r="LY86">
        <v>0.23926900000000001</v>
      </c>
      <c r="LZ86">
        <v>0.27148600000000001</v>
      </c>
      <c r="MA86">
        <v>0.397229</v>
      </c>
      <c r="MB86">
        <v>0.40536100000000003</v>
      </c>
      <c r="MC86">
        <v>1.029725</v>
      </c>
      <c r="MD86">
        <v>0.41128199999999998</v>
      </c>
      <c r="ME86">
        <v>0.411414</v>
      </c>
      <c r="MF86">
        <v>0.41154800000000002</v>
      </c>
      <c r="MG86">
        <v>0.66536300000000004</v>
      </c>
      <c r="MH86">
        <v>0.81560600000000005</v>
      </c>
      <c r="MI86">
        <v>0.41155999999999998</v>
      </c>
      <c r="MJ86">
        <v>0.39726600000000001</v>
      </c>
      <c r="MK86">
        <v>0.41458200000000001</v>
      </c>
      <c r="ML86" t="s">
        <v>114</v>
      </c>
      <c r="MM86">
        <v>0.41167900000000002</v>
      </c>
      <c r="MN86">
        <v>0.39713999999999999</v>
      </c>
      <c r="MO86">
        <v>0.41447099999999998</v>
      </c>
      <c r="MP86">
        <v>0.46123500000000001</v>
      </c>
      <c r="MQ86">
        <v>1.2906120000000001</v>
      </c>
      <c r="MR86">
        <v>0.452316</v>
      </c>
      <c r="MS86" t="s">
        <v>114</v>
      </c>
      <c r="MT86">
        <v>0.46140500000000001</v>
      </c>
      <c r="MU86">
        <v>0.42406100000000002</v>
      </c>
      <c r="MV86">
        <v>0.46309800000000001</v>
      </c>
      <c r="MW86">
        <v>0.46389399999999997</v>
      </c>
      <c r="MX86" t="s">
        <v>114</v>
      </c>
      <c r="MY86" t="s">
        <v>114</v>
      </c>
      <c r="MZ86">
        <v>0.46365600000000001</v>
      </c>
      <c r="NA86">
        <v>0.463974</v>
      </c>
      <c r="NB86">
        <v>0.73303600000000002</v>
      </c>
      <c r="NC86">
        <v>0.46061800000000003</v>
      </c>
      <c r="ND86">
        <v>0.46257399999999999</v>
      </c>
      <c r="NE86">
        <v>0.49642399999999998</v>
      </c>
      <c r="NF86">
        <v>0.55318999999999996</v>
      </c>
      <c r="NG86">
        <v>0.75304499999999996</v>
      </c>
      <c r="NH86">
        <v>0.36220999999999998</v>
      </c>
      <c r="NI86">
        <v>0.362369</v>
      </c>
      <c r="NJ86">
        <v>0.37290200000000001</v>
      </c>
      <c r="NK86">
        <v>0.87964100000000001</v>
      </c>
      <c r="NL86">
        <v>0.36288799999999999</v>
      </c>
      <c r="NM86">
        <v>0.36316599999999999</v>
      </c>
      <c r="NN86">
        <v>0.34093400000000001</v>
      </c>
      <c r="NO86">
        <v>0.37185299999999999</v>
      </c>
      <c r="NP86">
        <v>0.37199599999999999</v>
      </c>
      <c r="NQ86" t="s">
        <v>114</v>
      </c>
      <c r="NR86">
        <v>0.360456</v>
      </c>
      <c r="NS86">
        <v>0.34789100000000001</v>
      </c>
      <c r="NT86">
        <v>0.36119200000000001</v>
      </c>
      <c r="NU86">
        <v>0.37673200000000001</v>
      </c>
      <c r="NV86">
        <v>0.42552099999999998</v>
      </c>
      <c r="NW86">
        <v>0.43045800000000001</v>
      </c>
      <c r="NX86">
        <v>0.43806400000000001</v>
      </c>
      <c r="NY86" t="s">
        <v>114</v>
      </c>
      <c r="NZ86" t="s">
        <v>114</v>
      </c>
      <c r="OA86">
        <v>0.819249</v>
      </c>
      <c r="OB86">
        <v>0.43823600000000001</v>
      </c>
      <c r="OC86">
        <v>0.43572100000000002</v>
      </c>
      <c r="OD86">
        <v>0.65532100000000004</v>
      </c>
      <c r="OE86">
        <v>1.003312</v>
      </c>
      <c r="OF86" t="s">
        <v>114</v>
      </c>
      <c r="OG86">
        <v>0.45117800000000002</v>
      </c>
      <c r="OH86">
        <v>0.438552</v>
      </c>
      <c r="OI86" t="s">
        <v>114</v>
      </c>
      <c r="OJ86">
        <v>0.45800800000000003</v>
      </c>
      <c r="OK86">
        <v>0.451374</v>
      </c>
      <c r="OL86">
        <v>0.41871799999999998</v>
      </c>
      <c r="OM86">
        <v>0.60963699999999998</v>
      </c>
      <c r="ON86">
        <v>0.31303700000000001</v>
      </c>
      <c r="OO86" t="s">
        <v>114</v>
      </c>
      <c r="OP86">
        <v>0.29834899999999998</v>
      </c>
      <c r="OQ86" t="s">
        <v>114</v>
      </c>
      <c r="OR86" t="s">
        <v>114</v>
      </c>
      <c r="OS86">
        <v>0.39925899999999998</v>
      </c>
      <c r="OT86" t="s">
        <v>114</v>
      </c>
      <c r="OU86" t="s">
        <v>114</v>
      </c>
      <c r="OV86" t="s">
        <v>114</v>
      </c>
      <c r="OW86" t="s">
        <v>114</v>
      </c>
      <c r="OX86" t="s">
        <v>114</v>
      </c>
      <c r="OY86" t="s">
        <v>114</v>
      </c>
      <c r="OZ86" t="s">
        <v>114</v>
      </c>
      <c r="PA86" t="s">
        <v>114</v>
      </c>
      <c r="PB86">
        <v>0.31523899999999999</v>
      </c>
      <c r="PC86">
        <v>0.32822400000000002</v>
      </c>
      <c r="PD86" t="s">
        <v>114</v>
      </c>
      <c r="PE86">
        <v>0.31471100000000002</v>
      </c>
      <c r="PF86">
        <v>0.77418200000000004</v>
      </c>
      <c r="PG86">
        <v>0.32150899999999999</v>
      </c>
      <c r="PH86">
        <v>0.31619799999999998</v>
      </c>
      <c r="PI86">
        <v>0.61054900000000001</v>
      </c>
      <c r="PJ86">
        <v>0.61953199999999997</v>
      </c>
      <c r="PK86">
        <v>0.30130600000000002</v>
      </c>
      <c r="PL86" t="s">
        <v>114</v>
      </c>
      <c r="PM86">
        <v>0.34923399999999999</v>
      </c>
      <c r="PN86" t="s">
        <v>114</v>
      </c>
      <c r="PO86" t="s">
        <v>114</v>
      </c>
      <c r="PP86">
        <v>0.78025199999999995</v>
      </c>
      <c r="PQ86">
        <v>0.57489100000000004</v>
      </c>
      <c r="PR86">
        <v>0.45589200000000002</v>
      </c>
      <c r="PS86">
        <v>0.26604299999999997</v>
      </c>
      <c r="PT86">
        <v>1.0718529999999999</v>
      </c>
      <c r="PU86">
        <v>0.26536300000000002</v>
      </c>
      <c r="PV86">
        <v>0.25719999999999998</v>
      </c>
      <c r="PW86">
        <v>0.27198099999999997</v>
      </c>
      <c r="PX86">
        <v>0.27154899999999998</v>
      </c>
      <c r="PY86">
        <v>0.38608300000000001</v>
      </c>
      <c r="PZ86">
        <v>0.27302399999999999</v>
      </c>
      <c r="QA86">
        <v>0.63174399999999997</v>
      </c>
      <c r="QB86">
        <v>0.45161299999999999</v>
      </c>
      <c r="QC86">
        <v>0.81132300000000002</v>
      </c>
      <c r="QD86">
        <v>0.228052</v>
      </c>
      <c r="QE86">
        <v>0.30740000000000001</v>
      </c>
      <c r="QF86">
        <v>0.64066400000000001</v>
      </c>
      <c r="QG86">
        <v>0.300481</v>
      </c>
      <c r="QH86" t="s">
        <v>114</v>
      </c>
      <c r="QI86" t="s">
        <v>114</v>
      </c>
      <c r="QJ86">
        <v>0.313141</v>
      </c>
      <c r="QK86">
        <v>0.34847</v>
      </c>
      <c r="QL86" t="s">
        <v>114</v>
      </c>
      <c r="QM86">
        <v>0.47692400000000001</v>
      </c>
      <c r="QN86" t="s">
        <v>114</v>
      </c>
      <c r="QO86">
        <v>1.7435830000000001</v>
      </c>
      <c r="QP86">
        <v>0.89686900000000003</v>
      </c>
      <c r="QQ86" t="s">
        <v>114</v>
      </c>
      <c r="QR86" t="s">
        <v>114</v>
      </c>
      <c r="QS86">
        <v>0.68698199999999998</v>
      </c>
      <c r="QT86" t="s">
        <v>114</v>
      </c>
      <c r="QU86" t="s">
        <v>114</v>
      </c>
      <c r="QV86">
        <v>0.33041599999999999</v>
      </c>
      <c r="QW86">
        <v>0.33519900000000002</v>
      </c>
      <c r="QX86">
        <v>0.65164699999999998</v>
      </c>
      <c r="QY86">
        <v>1.06915</v>
      </c>
      <c r="QZ86">
        <v>0.34413100000000002</v>
      </c>
      <c r="RA86">
        <v>0.31871899999999997</v>
      </c>
      <c r="RB86">
        <v>0.306587</v>
      </c>
      <c r="RC86">
        <v>1.0358019999999999</v>
      </c>
      <c r="RD86">
        <v>0.67576000000000003</v>
      </c>
      <c r="RE86">
        <v>0.28674500000000003</v>
      </c>
      <c r="RF86">
        <v>0.39359699999999997</v>
      </c>
      <c r="RG86">
        <v>0.28774699999999998</v>
      </c>
      <c r="RH86">
        <v>0.75422299999999998</v>
      </c>
      <c r="RI86">
        <v>0.90166599999999997</v>
      </c>
      <c r="RJ86">
        <v>0.30696899999999999</v>
      </c>
      <c r="RK86">
        <v>0.49705100000000002</v>
      </c>
      <c r="RL86">
        <v>0.411194</v>
      </c>
      <c r="RM86">
        <v>0.32839099999999999</v>
      </c>
      <c r="RN86" t="s">
        <v>114</v>
      </c>
      <c r="RO86">
        <v>0.26361800000000002</v>
      </c>
      <c r="RP86">
        <v>1.204078</v>
      </c>
      <c r="RQ86">
        <v>0.28941800000000001</v>
      </c>
      <c r="RR86">
        <v>0.32293100000000002</v>
      </c>
      <c r="RS86">
        <v>0.65229700000000002</v>
      </c>
      <c r="RT86">
        <v>0.233211</v>
      </c>
      <c r="RU86">
        <v>0.90487899999999999</v>
      </c>
      <c r="RV86">
        <v>0.24654899999999999</v>
      </c>
      <c r="RW86">
        <v>0.34031699999999998</v>
      </c>
      <c r="RX86">
        <v>0.95447099999999996</v>
      </c>
      <c r="RY86">
        <v>0.264984</v>
      </c>
      <c r="RZ86">
        <v>0.23198299999999999</v>
      </c>
      <c r="SA86">
        <v>1.047728</v>
      </c>
      <c r="SB86">
        <v>1.017234</v>
      </c>
      <c r="SC86">
        <v>0.38323299999999999</v>
      </c>
      <c r="SD86">
        <v>0.31587399999999999</v>
      </c>
      <c r="SE86">
        <v>0.35468699999999997</v>
      </c>
      <c r="SF86">
        <v>0.31475799999999998</v>
      </c>
      <c r="SG86">
        <v>0.33914800000000001</v>
      </c>
      <c r="SH86" t="s">
        <v>114</v>
      </c>
      <c r="SI86">
        <v>0.36896699999999999</v>
      </c>
      <c r="SJ86">
        <v>1.082219</v>
      </c>
      <c r="SK86" t="s">
        <v>114</v>
      </c>
      <c r="SL86" t="s">
        <v>114</v>
      </c>
      <c r="SM86">
        <v>0.68425100000000005</v>
      </c>
      <c r="SN86">
        <v>0.37141999999999997</v>
      </c>
      <c r="SO86" t="s">
        <v>114</v>
      </c>
      <c r="SP86">
        <v>0.66566999999999998</v>
      </c>
      <c r="SQ86">
        <v>0.97059600000000001</v>
      </c>
      <c r="SR86">
        <v>0.34818399999999999</v>
      </c>
      <c r="SS86">
        <v>0.32903399999999999</v>
      </c>
      <c r="ST86">
        <v>0.489763</v>
      </c>
      <c r="SU86">
        <v>0.52363899999999997</v>
      </c>
      <c r="SV86">
        <v>0.46005200000000002</v>
      </c>
      <c r="SW86">
        <v>0.47162700000000002</v>
      </c>
      <c r="SX86" t="s">
        <v>114</v>
      </c>
      <c r="SY86">
        <v>0.45045299999999999</v>
      </c>
      <c r="SZ86">
        <v>0.57661700000000005</v>
      </c>
      <c r="TA86">
        <v>0.49222399999999999</v>
      </c>
      <c r="TB86">
        <v>0.44878299999999999</v>
      </c>
      <c r="TC86">
        <v>0.46602700000000002</v>
      </c>
      <c r="TD86">
        <v>0.44474599999999997</v>
      </c>
      <c r="TE86">
        <v>0.46686100000000003</v>
      </c>
      <c r="TF86">
        <v>0.45255499999999999</v>
      </c>
      <c r="TG86">
        <v>0.712287</v>
      </c>
      <c r="TH86">
        <v>0.442693</v>
      </c>
      <c r="TI86">
        <v>0.51618299999999995</v>
      </c>
      <c r="TJ86" t="s">
        <v>114</v>
      </c>
      <c r="TK86">
        <v>0.64402899999999996</v>
      </c>
      <c r="TL86" t="s">
        <v>114</v>
      </c>
      <c r="TM86" t="s">
        <v>114</v>
      </c>
      <c r="TN86">
        <v>0.50319400000000003</v>
      </c>
      <c r="TO86" t="s">
        <v>114</v>
      </c>
      <c r="TP86">
        <v>0.65256700000000001</v>
      </c>
      <c r="TQ86">
        <v>0.58344300000000004</v>
      </c>
      <c r="TR86">
        <v>0.66361999999999999</v>
      </c>
      <c r="TS86">
        <v>0.860568</v>
      </c>
      <c r="TT86" t="s">
        <v>114</v>
      </c>
      <c r="TU86" t="s">
        <v>114</v>
      </c>
      <c r="TV86">
        <v>0.67565600000000003</v>
      </c>
      <c r="TW86">
        <v>1.1738660000000001</v>
      </c>
      <c r="TX86">
        <v>0.460648</v>
      </c>
      <c r="TY86" t="s">
        <v>114</v>
      </c>
      <c r="TZ86">
        <v>0.454179</v>
      </c>
      <c r="UA86">
        <v>0.45953300000000002</v>
      </c>
      <c r="UB86">
        <v>0.44783200000000001</v>
      </c>
      <c r="UC86" t="s">
        <v>114</v>
      </c>
      <c r="UD86">
        <v>0.54349800000000004</v>
      </c>
      <c r="UE86">
        <v>0.445297</v>
      </c>
      <c r="UF86">
        <v>0.59414699999999998</v>
      </c>
      <c r="UG86">
        <v>0.66370300000000004</v>
      </c>
      <c r="UH86" t="s">
        <v>114</v>
      </c>
      <c r="UI86">
        <v>0.45897900000000003</v>
      </c>
      <c r="UJ86">
        <v>0.43911600000000001</v>
      </c>
      <c r="UK86">
        <v>0.53959900000000005</v>
      </c>
      <c r="UL86">
        <v>0.44345400000000001</v>
      </c>
      <c r="UM86" t="s">
        <v>114</v>
      </c>
      <c r="UN86" t="s">
        <v>114</v>
      </c>
      <c r="UO86" t="s">
        <v>114</v>
      </c>
      <c r="UP86">
        <v>0.46018500000000001</v>
      </c>
      <c r="UQ86" t="s">
        <v>114</v>
      </c>
      <c r="UR86">
        <v>0.38162800000000002</v>
      </c>
      <c r="US86">
        <v>0.405777</v>
      </c>
      <c r="UT86">
        <v>0.51328300000000004</v>
      </c>
      <c r="UU86">
        <v>0.33416499999999999</v>
      </c>
      <c r="UV86">
        <v>0.55120499999999995</v>
      </c>
      <c r="UW86" t="s">
        <v>114</v>
      </c>
      <c r="UX86">
        <v>0.435525</v>
      </c>
      <c r="UY86">
        <v>0.46030799999999999</v>
      </c>
      <c r="UZ86" t="s">
        <v>114</v>
      </c>
      <c r="VA86">
        <v>0.43135400000000002</v>
      </c>
      <c r="VB86">
        <v>0.55450900000000003</v>
      </c>
      <c r="VC86" t="s">
        <v>114</v>
      </c>
      <c r="VD86">
        <v>0.92515400000000003</v>
      </c>
      <c r="VE86">
        <v>0.43757099999999999</v>
      </c>
      <c r="VF86">
        <v>0.35142800000000002</v>
      </c>
      <c r="VG86">
        <v>0.78047599999999995</v>
      </c>
      <c r="VH86">
        <v>0.73554399999999998</v>
      </c>
      <c r="VI86" t="s">
        <v>114</v>
      </c>
      <c r="VJ86" t="s">
        <v>114</v>
      </c>
      <c r="VK86" t="s">
        <v>114</v>
      </c>
      <c r="VL86" t="s">
        <v>114</v>
      </c>
      <c r="VM86" t="s">
        <v>114</v>
      </c>
      <c r="VN86" t="s">
        <v>114</v>
      </c>
      <c r="VO86">
        <v>0.39543099999999998</v>
      </c>
      <c r="VP86">
        <v>0.74126099999999995</v>
      </c>
      <c r="VQ86">
        <v>0.86208700000000005</v>
      </c>
      <c r="VR86">
        <v>0.78670399999999996</v>
      </c>
      <c r="VS86">
        <v>0.68000400000000005</v>
      </c>
      <c r="VT86" t="s">
        <v>114</v>
      </c>
      <c r="VU86">
        <v>0.80698000000000003</v>
      </c>
      <c r="VV86" t="s">
        <v>114</v>
      </c>
      <c r="VW86" t="s">
        <v>114</v>
      </c>
      <c r="VX86" t="s">
        <v>114</v>
      </c>
      <c r="VY86">
        <v>0.40291300000000002</v>
      </c>
      <c r="VZ86">
        <v>0.33981899999999998</v>
      </c>
      <c r="WA86" t="s">
        <v>114</v>
      </c>
      <c r="WB86" t="s">
        <v>114</v>
      </c>
      <c r="WC86" t="s">
        <v>114</v>
      </c>
      <c r="WD86">
        <v>0.85315300000000005</v>
      </c>
      <c r="WE86">
        <v>0.59453800000000001</v>
      </c>
      <c r="WF86">
        <v>0.92212400000000005</v>
      </c>
      <c r="WG86">
        <v>0.68207399999999996</v>
      </c>
      <c r="WH86" t="s">
        <v>114</v>
      </c>
      <c r="WI86">
        <v>0.46426099999999998</v>
      </c>
      <c r="WJ86">
        <v>1.2164269999999999</v>
      </c>
      <c r="WK86">
        <v>0.51254200000000005</v>
      </c>
      <c r="WL86" t="s">
        <v>114</v>
      </c>
      <c r="WM86">
        <v>0.68579000000000001</v>
      </c>
      <c r="WN86">
        <v>0.38642599999999999</v>
      </c>
      <c r="WO86">
        <v>0.53789100000000001</v>
      </c>
      <c r="WP86">
        <v>0.50400299999999998</v>
      </c>
      <c r="WQ86">
        <v>0.45933200000000002</v>
      </c>
      <c r="WR86" t="s">
        <v>114</v>
      </c>
      <c r="WS86">
        <v>0.36798799999999998</v>
      </c>
      <c r="WT86" t="s">
        <v>114</v>
      </c>
      <c r="WU86">
        <v>0.64240200000000003</v>
      </c>
      <c r="WV86" t="s">
        <v>114</v>
      </c>
      <c r="WW86">
        <v>0.96217600000000003</v>
      </c>
      <c r="WX86" t="s">
        <v>114</v>
      </c>
      <c r="WY86" t="s">
        <v>114</v>
      </c>
      <c r="WZ86" t="s">
        <v>114</v>
      </c>
      <c r="XA86">
        <v>0.58071899999999999</v>
      </c>
      <c r="XB86" t="s">
        <v>114</v>
      </c>
      <c r="XC86">
        <v>0.98794899999999997</v>
      </c>
      <c r="XD86">
        <v>0.55369900000000005</v>
      </c>
      <c r="XE86">
        <v>0.57196800000000003</v>
      </c>
      <c r="XF86" t="s">
        <v>114</v>
      </c>
      <c r="XG86">
        <v>0.707283</v>
      </c>
      <c r="XH86">
        <v>0.59268100000000001</v>
      </c>
      <c r="XI86" t="s">
        <v>114</v>
      </c>
      <c r="XJ86">
        <v>0.59334399999999998</v>
      </c>
      <c r="XK86">
        <v>0.57547700000000002</v>
      </c>
      <c r="XL86">
        <v>0.66682900000000001</v>
      </c>
      <c r="XM86">
        <v>0.54004099999999999</v>
      </c>
      <c r="XN86">
        <v>0.59817299999999995</v>
      </c>
      <c r="XO86">
        <v>0.59901400000000005</v>
      </c>
      <c r="XP86" t="s">
        <v>114</v>
      </c>
      <c r="XQ86" t="s">
        <v>114</v>
      </c>
      <c r="XR86">
        <v>0.82755199999999995</v>
      </c>
      <c r="XS86">
        <v>0.781223</v>
      </c>
      <c r="XT86">
        <v>0.48864200000000002</v>
      </c>
      <c r="XU86" t="s">
        <v>114</v>
      </c>
      <c r="XV86" t="s">
        <v>114</v>
      </c>
      <c r="XW86" t="s">
        <v>114</v>
      </c>
      <c r="XX86">
        <v>0.50906700000000005</v>
      </c>
      <c r="XY86">
        <v>0.55195000000000005</v>
      </c>
      <c r="XZ86">
        <v>0.98685199999999995</v>
      </c>
      <c r="YA86">
        <v>0.62797499999999995</v>
      </c>
      <c r="YB86">
        <v>1.180688</v>
      </c>
      <c r="YC86">
        <v>0.46407799999999999</v>
      </c>
      <c r="YD86" t="s">
        <v>114</v>
      </c>
      <c r="YE86">
        <v>0.84736900000000004</v>
      </c>
      <c r="YF86" t="s">
        <v>114</v>
      </c>
      <c r="YG86">
        <v>0.49382199999999998</v>
      </c>
      <c r="YH86" t="s">
        <v>114</v>
      </c>
      <c r="YI86" t="s">
        <v>114</v>
      </c>
      <c r="YJ86">
        <v>0.54199799999999998</v>
      </c>
      <c r="YK86">
        <v>0.56968300000000005</v>
      </c>
      <c r="YL86">
        <v>0.53955399999999998</v>
      </c>
      <c r="YM86">
        <v>0.60753699999999999</v>
      </c>
      <c r="YN86" t="s">
        <v>114</v>
      </c>
      <c r="YO86" t="s">
        <v>114</v>
      </c>
      <c r="YP86" t="s">
        <v>114</v>
      </c>
      <c r="YQ86">
        <v>0.53600499999999995</v>
      </c>
      <c r="YR86">
        <v>0.57502200000000003</v>
      </c>
      <c r="YS86">
        <v>0.62282599999999999</v>
      </c>
      <c r="YT86" t="s">
        <v>114</v>
      </c>
      <c r="YU86">
        <v>0.56987299999999996</v>
      </c>
      <c r="YV86">
        <v>0.61893399999999998</v>
      </c>
      <c r="YW86" t="s">
        <v>114</v>
      </c>
      <c r="YX86" t="s">
        <v>114</v>
      </c>
      <c r="YY86" t="s">
        <v>114</v>
      </c>
      <c r="YZ86">
        <v>0.76206600000000002</v>
      </c>
      <c r="ZA86">
        <v>0.57274000000000003</v>
      </c>
      <c r="ZB86" t="s">
        <v>114</v>
      </c>
      <c r="ZC86">
        <v>0.472501</v>
      </c>
      <c r="ZD86">
        <v>0.47966999999999999</v>
      </c>
      <c r="ZE86">
        <v>0.46733799999999998</v>
      </c>
      <c r="ZF86" t="s">
        <v>114</v>
      </c>
      <c r="ZG86">
        <v>0.77863599999999999</v>
      </c>
      <c r="ZH86">
        <v>0.69874599999999998</v>
      </c>
      <c r="ZI86">
        <v>0.85779000000000005</v>
      </c>
      <c r="ZJ86">
        <v>0.47515499999999999</v>
      </c>
      <c r="ZK86" t="s">
        <v>114</v>
      </c>
      <c r="ZL86">
        <v>0.73250899999999997</v>
      </c>
      <c r="ZM86">
        <v>0.88561699999999999</v>
      </c>
      <c r="ZN86">
        <v>0.55347400000000002</v>
      </c>
      <c r="ZO86">
        <v>0.868398</v>
      </c>
      <c r="ZP86" t="s">
        <v>114</v>
      </c>
      <c r="ZQ86" t="s">
        <v>114</v>
      </c>
      <c r="ZR86" t="s">
        <v>114</v>
      </c>
      <c r="ZS86" t="s">
        <v>114</v>
      </c>
      <c r="ZT86" t="s">
        <v>114</v>
      </c>
      <c r="ZU86" t="s">
        <v>114</v>
      </c>
      <c r="ZV86">
        <v>0.59530300000000003</v>
      </c>
      <c r="ZW86" t="s">
        <v>114</v>
      </c>
      <c r="ZX86">
        <v>1.5363999999999999E-2</v>
      </c>
      <c r="ZY86">
        <v>1.0545910000000001</v>
      </c>
      <c r="ZZ86">
        <v>0.56007799999999996</v>
      </c>
      <c r="AAA86">
        <v>0.57496199999999997</v>
      </c>
      <c r="AAB86">
        <v>0.66635200000000006</v>
      </c>
      <c r="AAC86">
        <v>0.86261900000000002</v>
      </c>
      <c r="AAD86">
        <v>0.47885800000000001</v>
      </c>
      <c r="AAE86">
        <v>0.85782700000000001</v>
      </c>
      <c r="AAF86">
        <v>0.86211000000000004</v>
      </c>
      <c r="AAG86">
        <v>0.84555899999999995</v>
      </c>
      <c r="AAH86" t="s">
        <v>114</v>
      </c>
      <c r="AAI86">
        <v>1.3218540000000001</v>
      </c>
      <c r="AAJ86" t="s">
        <v>114</v>
      </c>
      <c r="AAK86" t="s">
        <v>114</v>
      </c>
      <c r="AAL86" t="s">
        <v>114</v>
      </c>
      <c r="AAM86">
        <v>0.91661499999999996</v>
      </c>
      <c r="AAN86">
        <v>0.59340800000000005</v>
      </c>
      <c r="AAO86">
        <v>0.65157299999999996</v>
      </c>
      <c r="AAP86" t="s">
        <v>114</v>
      </c>
      <c r="AAQ86">
        <v>0.76092400000000004</v>
      </c>
      <c r="AAR86">
        <v>0.73216700000000001</v>
      </c>
      <c r="AAS86" t="s">
        <v>114</v>
      </c>
      <c r="AAT86" t="s">
        <v>114</v>
      </c>
      <c r="AAU86" t="s">
        <v>114</v>
      </c>
      <c r="AAV86" t="s">
        <v>114</v>
      </c>
      <c r="AAW86">
        <v>0.63551199999999997</v>
      </c>
      <c r="AAX86" t="s">
        <v>114</v>
      </c>
      <c r="AAY86">
        <v>0.54064699999999999</v>
      </c>
      <c r="AAZ86" t="s">
        <v>114</v>
      </c>
      <c r="ABA86">
        <v>0.45329399999999997</v>
      </c>
      <c r="ABB86">
        <v>0.62603500000000001</v>
      </c>
      <c r="ABC86">
        <v>0.423514</v>
      </c>
      <c r="ABD86" t="s">
        <v>114</v>
      </c>
      <c r="ABE86">
        <v>0.593136</v>
      </c>
      <c r="ABF86" t="s">
        <v>114</v>
      </c>
      <c r="ABG86">
        <v>0.44621300000000003</v>
      </c>
      <c r="ABH86">
        <v>0.57082200000000005</v>
      </c>
      <c r="ABI86" t="s">
        <v>114</v>
      </c>
      <c r="ABJ86">
        <v>0.93976700000000002</v>
      </c>
      <c r="ABK86">
        <v>0.53712599999999999</v>
      </c>
      <c r="ABL86" t="s">
        <v>114</v>
      </c>
      <c r="ABM86">
        <v>0.48265000000000002</v>
      </c>
      <c r="ABN86" t="s">
        <v>114</v>
      </c>
      <c r="ABO86" t="s">
        <v>114</v>
      </c>
      <c r="ABP86">
        <v>0.59660500000000005</v>
      </c>
      <c r="ABQ86" t="s">
        <v>114</v>
      </c>
      <c r="ABR86">
        <v>0.83372599999999997</v>
      </c>
      <c r="ABS86">
        <v>0.46667399999999998</v>
      </c>
      <c r="ABT86" t="s">
        <v>114</v>
      </c>
      <c r="ABU86" t="s">
        <v>114</v>
      </c>
      <c r="ABV86" t="s">
        <v>114</v>
      </c>
      <c r="ABW86" t="s">
        <v>114</v>
      </c>
      <c r="ABX86">
        <v>0.85511000000000004</v>
      </c>
      <c r="ABY86" t="s">
        <v>114</v>
      </c>
      <c r="ABZ86">
        <v>0.59333499999999995</v>
      </c>
      <c r="ACA86">
        <v>0.54088599999999998</v>
      </c>
      <c r="ACB86" t="s">
        <v>114</v>
      </c>
      <c r="ACC86">
        <v>0.56837899999999997</v>
      </c>
      <c r="ACD86" t="s">
        <v>114</v>
      </c>
      <c r="ACE86" t="s">
        <v>114</v>
      </c>
      <c r="ACF86" t="s">
        <v>114</v>
      </c>
      <c r="ACG86" t="s">
        <v>114</v>
      </c>
      <c r="ACH86" t="s">
        <v>114</v>
      </c>
      <c r="ACI86" t="s">
        <v>114</v>
      </c>
      <c r="ACJ86" t="s">
        <v>114</v>
      </c>
      <c r="ACK86">
        <v>0.60980900000000005</v>
      </c>
      <c r="ACL86">
        <v>0.70611999999999997</v>
      </c>
      <c r="ACM86" t="s">
        <v>114</v>
      </c>
      <c r="ACN86">
        <v>0.822797</v>
      </c>
      <c r="ACO86">
        <v>0.74574600000000002</v>
      </c>
    </row>
    <row r="87" spans="1:769" x14ac:dyDescent="0.25">
      <c r="A87" t="s">
        <v>894</v>
      </c>
      <c r="B87" t="s">
        <v>114</v>
      </c>
      <c r="C87" t="s">
        <v>114</v>
      </c>
      <c r="D87">
        <v>6.0402999999999998E-2</v>
      </c>
      <c r="E87" t="s">
        <v>114</v>
      </c>
      <c r="F87">
        <v>0.13033900000000001</v>
      </c>
      <c r="G87">
        <v>6.1502000000000001E-2</v>
      </c>
      <c r="H87">
        <v>6.9398000000000001E-2</v>
      </c>
      <c r="I87">
        <v>6.2531000000000003E-2</v>
      </c>
      <c r="J87" t="s">
        <v>114</v>
      </c>
      <c r="K87">
        <v>0.86938899999999997</v>
      </c>
      <c r="L87" t="s">
        <v>114</v>
      </c>
      <c r="M87">
        <v>0.67969199999999996</v>
      </c>
      <c r="N87" t="s">
        <v>114</v>
      </c>
      <c r="O87">
        <v>0.119995</v>
      </c>
      <c r="P87">
        <v>7.3603009999999998</v>
      </c>
      <c r="Q87">
        <v>0.62437699999999996</v>
      </c>
      <c r="R87" t="s">
        <v>114</v>
      </c>
      <c r="S87" t="s">
        <v>114</v>
      </c>
      <c r="T87" t="s">
        <v>114</v>
      </c>
      <c r="U87">
        <v>8.0259999999999998E-2</v>
      </c>
      <c r="V87">
        <v>0.18446000000000001</v>
      </c>
      <c r="W87" t="s">
        <v>114</v>
      </c>
      <c r="X87">
        <v>0</v>
      </c>
      <c r="Y87" t="s">
        <v>114</v>
      </c>
      <c r="Z87" t="s">
        <v>114</v>
      </c>
      <c r="AA87">
        <v>0</v>
      </c>
      <c r="AB87">
        <v>0</v>
      </c>
      <c r="AC87">
        <v>0</v>
      </c>
      <c r="AD87" t="s">
        <v>114</v>
      </c>
      <c r="AE87">
        <v>8.0310999999999994E-2</v>
      </c>
      <c r="AF87">
        <v>0.11017</v>
      </c>
      <c r="AG87">
        <v>0.83029299999999995</v>
      </c>
      <c r="AH87">
        <v>0</v>
      </c>
      <c r="AI87" t="s">
        <v>114</v>
      </c>
      <c r="AJ87">
        <v>0</v>
      </c>
      <c r="AK87">
        <v>7.9646999999999996E-2</v>
      </c>
      <c r="AL87">
        <v>0.73965599999999998</v>
      </c>
      <c r="AM87">
        <v>0.69707600000000003</v>
      </c>
      <c r="AN87">
        <v>7.0851999999999998E-2</v>
      </c>
      <c r="AO87">
        <v>6.9186999999999999E-2</v>
      </c>
      <c r="AP87">
        <v>7.4546000000000001E-2</v>
      </c>
      <c r="AQ87">
        <v>4.0075659999999997</v>
      </c>
      <c r="AR87">
        <v>0</v>
      </c>
      <c r="AS87">
        <v>0</v>
      </c>
      <c r="AT87" t="s">
        <v>114</v>
      </c>
      <c r="AU87">
        <v>0</v>
      </c>
      <c r="AV87" t="s">
        <v>114</v>
      </c>
      <c r="AW87">
        <v>7.7189999999999995E-2</v>
      </c>
      <c r="AX87">
        <v>0</v>
      </c>
      <c r="AY87" t="s">
        <v>114</v>
      </c>
      <c r="AZ87">
        <v>8.7960999999999998E-2</v>
      </c>
      <c r="BA87">
        <v>0</v>
      </c>
      <c r="BB87" t="s">
        <v>114</v>
      </c>
      <c r="BC87" t="s">
        <v>114</v>
      </c>
      <c r="BD87">
        <v>0</v>
      </c>
      <c r="BE87">
        <v>7.3863999999999999E-2</v>
      </c>
      <c r="BF87">
        <v>8.6772000000000002E-2</v>
      </c>
      <c r="BG87">
        <v>0</v>
      </c>
      <c r="BH87">
        <v>0.55255100000000001</v>
      </c>
      <c r="BI87">
        <v>8.7225999999999998E-2</v>
      </c>
      <c r="BJ87">
        <v>8.1620999999999999E-2</v>
      </c>
      <c r="BK87">
        <v>8.4543999999999994E-2</v>
      </c>
      <c r="BL87" t="s">
        <v>114</v>
      </c>
      <c r="BM87">
        <v>0</v>
      </c>
      <c r="BN87" t="s">
        <v>114</v>
      </c>
      <c r="BO87" t="s">
        <v>114</v>
      </c>
      <c r="BP87">
        <v>0</v>
      </c>
      <c r="BQ87">
        <v>0</v>
      </c>
      <c r="BR87" t="s">
        <v>114</v>
      </c>
      <c r="BS87">
        <v>2.4900519999999999</v>
      </c>
      <c r="BT87">
        <v>0</v>
      </c>
      <c r="BU87" t="s">
        <v>114</v>
      </c>
      <c r="BV87" t="s">
        <v>114</v>
      </c>
      <c r="BW87">
        <v>0.11798699999999999</v>
      </c>
      <c r="BX87" t="s">
        <v>114</v>
      </c>
      <c r="BY87" t="s">
        <v>114</v>
      </c>
      <c r="BZ87">
        <v>1.537164</v>
      </c>
      <c r="CA87" t="s">
        <v>114</v>
      </c>
      <c r="CB87">
        <v>0.30971599999999999</v>
      </c>
      <c r="CC87">
        <v>0.63839299999999999</v>
      </c>
      <c r="CD87">
        <v>0.89290099999999994</v>
      </c>
      <c r="CE87">
        <v>3.235995</v>
      </c>
      <c r="CF87" t="s">
        <v>114</v>
      </c>
      <c r="CG87">
        <v>4.5451430000000004</v>
      </c>
      <c r="CH87" t="s">
        <v>114</v>
      </c>
      <c r="CI87">
        <v>0.93507799999999996</v>
      </c>
      <c r="CJ87">
        <v>1.136927</v>
      </c>
      <c r="CK87" t="s">
        <v>114</v>
      </c>
      <c r="CL87">
        <v>0.88930399999999998</v>
      </c>
      <c r="CM87">
        <v>1.4449669999999999</v>
      </c>
      <c r="CN87" t="s">
        <v>114</v>
      </c>
      <c r="CO87">
        <v>0.99878100000000003</v>
      </c>
      <c r="CP87">
        <v>0.91778800000000005</v>
      </c>
      <c r="CQ87">
        <v>0.81614399999999998</v>
      </c>
      <c r="CR87">
        <v>1.9277820000000001</v>
      </c>
      <c r="CS87">
        <v>0.76368599999999998</v>
      </c>
      <c r="CT87" t="s">
        <v>114</v>
      </c>
      <c r="CU87">
        <v>0.61720900000000001</v>
      </c>
      <c r="CV87">
        <v>0.46001900000000001</v>
      </c>
      <c r="CW87">
        <v>0.63731000000000004</v>
      </c>
      <c r="CX87">
        <v>0.38678600000000002</v>
      </c>
      <c r="CY87">
        <v>0</v>
      </c>
      <c r="CZ87">
        <v>0</v>
      </c>
      <c r="DA87" t="s">
        <v>114</v>
      </c>
      <c r="DB87">
        <v>0.99569099999999999</v>
      </c>
      <c r="DC87">
        <v>0.410246</v>
      </c>
      <c r="DD87">
        <v>0.30971599999999999</v>
      </c>
      <c r="DE87">
        <v>1.641583</v>
      </c>
      <c r="DF87">
        <v>3.0580479999999999</v>
      </c>
      <c r="DG87">
        <v>0</v>
      </c>
      <c r="DH87">
        <v>6.0483440000000002</v>
      </c>
      <c r="DI87">
        <v>0.91379900000000003</v>
      </c>
      <c r="DJ87">
        <v>0</v>
      </c>
      <c r="DK87">
        <v>2.3694489999999999</v>
      </c>
      <c r="DL87">
        <v>9.7792000000000004E-2</v>
      </c>
      <c r="DM87">
        <v>0.79050200000000004</v>
      </c>
      <c r="DN87" t="s">
        <v>114</v>
      </c>
      <c r="DO87">
        <v>0.105435</v>
      </c>
      <c r="DP87">
        <v>0.65386100000000003</v>
      </c>
      <c r="DQ87">
        <v>9.7753999999999994E-2</v>
      </c>
      <c r="DR87">
        <v>5.6312000000000001E-2</v>
      </c>
      <c r="DS87">
        <v>0.106626</v>
      </c>
      <c r="DT87" t="s">
        <v>114</v>
      </c>
      <c r="DU87">
        <v>0.100623</v>
      </c>
      <c r="DV87" t="s">
        <v>114</v>
      </c>
      <c r="DW87" t="s">
        <v>114</v>
      </c>
      <c r="DX87">
        <v>0.10401100000000001</v>
      </c>
      <c r="DY87">
        <v>0.74072300000000002</v>
      </c>
      <c r="DZ87">
        <v>0.58882400000000001</v>
      </c>
      <c r="EA87">
        <v>0.415468</v>
      </c>
      <c r="EB87" t="s">
        <v>114</v>
      </c>
      <c r="EC87" t="s">
        <v>114</v>
      </c>
      <c r="ED87" t="s">
        <v>114</v>
      </c>
      <c r="EE87">
        <v>0.43295899999999998</v>
      </c>
      <c r="EF87">
        <v>0.36059099999999999</v>
      </c>
      <c r="EG87">
        <v>0.416159</v>
      </c>
      <c r="EH87" t="s">
        <v>114</v>
      </c>
      <c r="EI87">
        <v>0.48248799999999997</v>
      </c>
      <c r="EJ87">
        <v>0.30819000000000002</v>
      </c>
      <c r="EK87">
        <v>0.13205800000000001</v>
      </c>
      <c r="EL87">
        <v>0.34187200000000001</v>
      </c>
      <c r="EM87">
        <v>0.33322299999999999</v>
      </c>
      <c r="EN87">
        <v>0</v>
      </c>
      <c r="EO87" t="s">
        <v>114</v>
      </c>
      <c r="EP87">
        <v>0.83835899999999997</v>
      </c>
      <c r="EQ87">
        <v>0.42559599999999997</v>
      </c>
      <c r="ER87">
        <v>0.70692200000000005</v>
      </c>
      <c r="ES87">
        <v>0.16292300000000001</v>
      </c>
      <c r="ET87">
        <v>0</v>
      </c>
      <c r="EU87">
        <v>0.54639800000000005</v>
      </c>
      <c r="EV87" t="s">
        <v>114</v>
      </c>
      <c r="EW87">
        <v>0.52280700000000002</v>
      </c>
      <c r="EX87">
        <v>0.51491799999999999</v>
      </c>
      <c r="EY87">
        <v>1.5712060000000001</v>
      </c>
      <c r="EZ87">
        <v>0.13780300000000001</v>
      </c>
      <c r="FA87">
        <v>0.30592900000000001</v>
      </c>
      <c r="FB87" t="s">
        <v>114</v>
      </c>
      <c r="FC87">
        <v>0.38147900000000001</v>
      </c>
      <c r="FD87" t="s">
        <v>114</v>
      </c>
      <c r="FE87" t="s">
        <v>114</v>
      </c>
      <c r="FF87">
        <v>0.52135500000000001</v>
      </c>
      <c r="FG87">
        <v>0.67311799999999999</v>
      </c>
      <c r="FH87">
        <v>0.49326599999999998</v>
      </c>
      <c r="FI87">
        <v>5.9301E-2</v>
      </c>
      <c r="FJ87">
        <v>0.34262100000000001</v>
      </c>
      <c r="FK87">
        <v>0.51113200000000003</v>
      </c>
      <c r="FL87">
        <v>0.58424200000000004</v>
      </c>
      <c r="FM87">
        <v>0.29791699999999999</v>
      </c>
      <c r="FN87" t="s">
        <v>114</v>
      </c>
      <c r="FO87" t="s">
        <v>114</v>
      </c>
      <c r="FP87">
        <v>0.44213799999999998</v>
      </c>
      <c r="FQ87">
        <v>0.63734100000000005</v>
      </c>
      <c r="FR87">
        <v>0.13184899999999999</v>
      </c>
      <c r="FS87">
        <v>0.37887999999999999</v>
      </c>
      <c r="FT87">
        <v>0.31730799999999998</v>
      </c>
      <c r="FU87">
        <v>0.30333399999999999</v>
      </c>
      <c r="FV87">
        <v>0.28665499999999999</v>
      </c>
      <c r="FW87">
        <v>0.19892699999999999</v>
      </c>
      <c r="FX87">
        <v>0.197047</v>
      </c>
      <c r="FY87">
        <v>0.40757399999999999</v>
      </c>
      <c r="FZ87">
        <v>0.12291299999999999</v>
      </c>
      <c r="GA87">
        <v>0</v>
      </c>
      <c r="GB87">
        <v>0.34001399999999998</v>
      </c>
      <c r="GC87">
        <v>0.65510500000000005</v>
      </c>
      <c r="GD87">
        <v>0.28567399999999998</v>
      </c>
      <c r="GE87">
        <v>0.58251900000000001</v>
      </c>
      <c r="GF87">
        <v>0.29406599999999999</v>
      </c>
      <c r="GG87">
        <v>0.16816600000000001</v>
      </c>
      <c r="GH87">
        <v>0.537018</v>
      </c>
      <c r="GI87" t="s">
        <v>114</v>
      </c>
      <c r="GJ87">
        <v>0.249751</v>
      </c>
      <c r="GK87">
        <v>0.327125</v>
      </c>
      <c r="GL87" t="s">
        <v>114</v>
      </c>
      <c r="GM87" t="s">
        <v>114</v>
      </c>
      <c r="GN87">
        <v>0.17070299999999999</v>
      </c>
      <c r="GO87" t="s">
        <v>114</v>
      </c>
      <c r="GP87">
        <v>0.52222500000000005</v>
      </c>
      <c r="GQ87">
        <v>0.412138</v>
      </c>
      <c r="GR87">
        <v>0.50308799999999998</v>
      </c>
      <c r="GS87">
        <v>0.293377</v>
      </c>
      <c r="GT87">
        <v>0.56413500000000005</v>
      </c>
      <c r="GU87" t="s">
        <v>114</v>
      </c>
      <c r="GV87">
        <v>0.77000100000000005</v>
      </c>
      <c r="GW87" t="s">
        <v>114</v>
      </c>
      <c r="GX87">
        <v>0.33772000000000002</v>
      </c>
      <c r="GY87">
        <v>0.20596700000000001</v>
      </c>
      <c r="GZ87">
        <v>0.34789199999999998</v>
      </c>
      <c r="HA87">
        <v>0.59347899999999998</v>
      </c>
      <c r="HB87">
        <v>0.67452900000000005</v>
      </c>
      <c r="HC87">
        <v>0.37406600000000001</v>
      </c>
      <c r="HD87">
        <v>0.74813200000000002</v>
      </c>
      <c r="HE87">
        <v>0.55942700000000001</v>
      </c>
      <c r="HF87" t="s">
        <v>114</v>
      </c>
      <c r="HG87">
        <v>0.53335500000000002</v>
      </c>
      <c r="HH87">
        <v>0.64449999999999996</v>
      </c>
      <c r="HI87">
        <v>0.39722299999999999</v>
      </c>
      <c r="HJ87">
        <v>0.47463300000000003</v>
      </c>
      <c r="HK87">
        <v>1.2599130000000001</v>
      </c>
      <c r="HL87">
        <v>0.63961699999999999</v>
      </c>
      <c r="HM87" t="s">
        <v>114</v>
      </c>
      <c r="HN87">
        <v>0.30895099999999998</v>
      </c>
      <c r="HO87">
        <v>0.33131100000000002</v>
      </c>
      <c r="HP87" t="s">
        <v>114</v>
      </c>
      <c r="HQ87">
        <v>0.59114199999999995</v>
      </c>
      <c r="HR87">
        <v>0</v>
      </c>
      <c r="HS87" t="s">
        <v>114</v>
      </c>
      <c r="HT87">
        <v>0.28324899999999997</v>
      </c>
      <c r="HU87">
        <v>0.17116999999999999</v>
      </c>
      <c r="HV87" t="s">
        <v>114</v>
      </c>
      <c r="HW87" t="s">
        <v>114</v>
      </c>
      <c r="HX87">
        <v>0.18029600000000001</v>
      </c>
      <c r="HY87">
        <v>0.37001000000000001</v>
      </c>
      <c r="HZ87">
        <v>0.51386100000000001</v>
      </c>
      <c r="IA87">
        <v>0</v>
      </c>
      <c r="IB87" t="s">
        <v>114</v>
      </c>
      <c r="IC87" t="s">
        <v>114</v>
      </c>
      <c r="ID87" t="s">
        <v>114</v>
      </c>
      <c r="IE87">
        <v>0.30333399999999999</v>
      </c>
      <c r="IF87">
        <v>0.55549400000000004</v>
      </c>
      <c r="IG87" t="s">
        <v>114</v>
      </c>
      <c r="IH87">
        <v>0.16750399999999999</v>
      </c>
      <c r="II87" t="s">
        <v>114</v>
      </c>
      <c r="IJ87">
        <v>0.22812199999999999</v>
      </c>
      <c r="IK87" t="s">
        <v>114</v>
      </c>
      <c r="IL87" t="s">
        <v>114</v>
      </c>
      <c r="IM87" t="s">
        <v>114</v>
      </c>
      <c r="IN87">
        <v>0.26565800000000001</v>
      </c>
      <c r="IO87">
        <v>0.25341799999999998</v>
      </c>
      <c r="IP87">
        <v>0.47940700000000003</v>
      </c>
      <c r="IQ87" t="s">
        <v>114</v>
      </c>
      <c r="IR87">
        <v>0.65898699999999999</v>
      </c>
      <c r="IS87">
        <v>0.66911799999999999</v>
      </c>
      <c r="IT87">
        <v>0.22750000000000001</v>
      </c>
      <c r="IU87" t="s">
        <v>114</v>
      </c>
      <c r="IV87">
        <v>0.54799299999999995</v>
      </c>
      <c r="IW87">
        <v>0.16409899999999999</v>
      </c>
      <c r="IX87">
        <v>0.22185299999999999</v>
      </c>
      <c r="IY87">
        <v>0.16772799999999999</v>
      </c>
      <c r="IZ87">
        <v>9.8446000000000006E-2</v>
      </c>
      <c r="JA87">
        <v>0</v>
      </c>
      <c r="JB87" t="s">
        <v>114</v>
      </c>
      <c r="JC87">
        <v>0.10470699999999999</v>
      </c>
      <c r="JD87">
        <v>0</v>
      </c>
      <c r="JE87">
        <v>0.109471</v>
      </c>
      <c r="JF87" t="s">
        <v>114</v>
      </c>
      <c r="JG87">
        <v>8.0208000000000002E-2</v>
      </c>
      <c r="JH87">
        <v>0.124751</v>
      </c>
      <c r="JI87" t="s">
        <v>114</v>
      </c>
      <c r="JJ87" t="s">
        <v>114</v>
      </c>
      <c r="JK87">
        <v>0.116287</v>
      </c>
      <c r="JL87">
        <v>0</v>
      </c>
      <c r="JM87">
        <v>0</v>
      </c>
      <c r="JN87">
        <v>9.783E-2</v>
      </c>
      <c r="JO87" t="s">
        <v>114</v>
      </c>
      <c r="JP87">
        <v>0</v>
      </c>
      <c r="JQ87" t="s">
        <v>114</v>
      </c>
      <c r="JR87">
        <v>0.31412200000000001</v>
      </c>
      <c r="JS87" t="s">
        <v>114</v>
      </c>
      <c r="JT87" t="s">
        <v>114</v>
      </c>
      <c r="JU87">
        <v>0.66203800000000002</v>
      </c>
      <c r="JV87" t="s">
        <v>114</v>
      </c>
      <c r="JW87">
        <v>0.53033200000000003</v>
      </c>
      <c r="JX87" t="s">
        <v>114</v>
      </c>
      <c r="JY87">
        <v>1.0664070000000001</v>
      </c>
      <c r="JZ87" t="s">
        <v>114</v>
      </c>
      <c r="KA87" t="s">
        <v>114</v>
      </c>
      <c r="KB87" t="s">
        <v>114</v>
      </c>
      <c r="KC87" t="s">
        <v>114</v>
      </c>
      <c r="KD87">
        <v>0.42892999999999998</v>
      </c>
      <c r="KE87">
        <v>0.88855799999999996</v>
      </c>
      <c r="KF87">
        <v>0.40912799999999999</v>
      </c>
      <c r="KG87">
        <v>0.44046200000000002</v>
      </c>
      <c r="KH87" t="s">
        <v>114</v>
      </c>
      <c r="KI87">
        <v>0.50644299999999998</v>
      </c>
      <c r="KJ87">
        <v>2.71225</v>
      </c>
      <c r="KK87">
        <v>0.49014600000000003</v>
      </c>
      <c r="KL87" t="s">
        <v>114</v>
      </c>
      <c r="KM87">
        <v>0.432143</v>
      </c>
      <c r="KN87">
        <v>0.42354599999999998</v>
      </c>
      <c r="KO87" t="s">
        <v>114</v>
      </c>
      <c r="KP87">
        <v>0.45630399999999999</v>
      </c>
      <c r="KQ87">
        <v>0.46212199999999998</v>
      </c>
      <c r="KR87">
        <v>0.46903899999999998</v>
      </c>
      <c r="KS87">
        <v>0.48722399999999999</v>
      </c>
      <c r="KT87">
        <v>0.39285799999999998</v>
      </c>
      <c r="KU87" t="s">
        <v>114</v>
      </c>
      <c r="KV87">
        <v>0.37462600000000001</v>
      </c>
      <c r="KW87">
        <v>0.18257599999999999</v>
      </c>
      <c r="KX87">
        <v>0.28997699999999998</v>
      </c>
      <c r="KY87">
        <v>0.29065099999999999</v>
      </c>
      <c r="KZ87">
        <v>0.47039500000000001</v>
      </c>
      <c r="LA87">
        <v>0.359039</v>
      </c>
      <c r="LB87">
        <v>0.26879700000000001</v>
      </c>
      <c r="LC87">
        <v>0.359039</v>
      </c>
      <c r="LD87" t="s">
        <v>114</v>
      </c>
      <c r="LE87">
        <v>0.53548600000000002</v>
      </c>
      <c r="LF87">
        <v>0.165269</v>
      </c>
      <c r="LG87">
        <v>0.35161599999999998</v>
      </c>
      <c r="LH87">
        <v>0.418379</v>
      </c>
      <c r="LI87">
        <v>0.43818099999999999</v>
      </c>
      <c r="LJ87">
        <v>5.3945E-2</v>
      </c>
      <c r="LK87">
        <v>0.23472499999999999</v>
      </c>
      <c r="LL87">
        <v>5.4132E-2</v>
      </c>
      <c r="LM87">
        <v>0.23977999999999999</v>
      </c>
      <c r="LN87">
        <v>2.2006929999999998</v>
      </c>
      <c r="LO87">
        <v>0.27332699999999999</v>
      </c>
      <c r="LP87">
        <v>0.10782</v>
      </c>
      <c r="LQ87">
        <v>0.36178300000000002</v>
      </c>
      <c r="LR87" t="s">
        <v>114</v>
      </c>
      <c r="LS87">
        <v>0.36332500000000001</v>
      </c>
      <c r="LT87">
        <v>0.205258</v>
      </c>
      <c r="LU87">
        <v>0.512208</v>
      </c>
      <c r="LV87">
        <v>0.15711800000000001</v>
      </c>
      <c r="LW87" t="s">
        <v>114</v>
      </c>
      <c r="LX87">
        <v>6.1546999999999998E-2</v>
      </c>
      <c r="LY87">
        <v>0.10671700000000001</v>
      </c>
      <c r="LZ87">
        <v>0.85215700000000005</v>
      </c>
      <c r="MA87">
        <v>0.158466</v>
      </c>
      <c r="MB87">
        <v>0.55181999999999998</v>
      </c>
      <c r="MC87">
        <v>0.684867</v>
      </c>
      <c r="MD87">
        <v>0.33014500000000002</v>
      </c>
      <c r="ME87">
        <v>0.104949</v>
      </c>
      <c r="MF87">
        <v>9.5225000000000004E-2</v>
      </c>
      <c r="MG87">
        <v>0</v>
      </c>
      <c r="MH87">
        <v>0.82442400000000005</v>
      </c>
      <c r="MI87">
        <v>0.19108900000000001</v>
      </c>
      <c r="MJ87">
        <v>0.38934299999999999</v>
      </c>
      <c r="MK87">
        <v>0.132829</v>
      </c>
      <c r="ML87" t="s">
        <v>114</v>
      </c>
      <c r="MM87">
        <v>0.13464000000000001</v>
      </c>
      <c r="MN87">
        <v>0.16384799999999999</v>
      </c>
      <c r="MO87">
        <v>9.7525000000000001E-2</v>
      </c>
      <c r="MP87">
        <v>0</v>
      </c>
      <c r="MQ87">
        <v>0.72326699999999999</v>
      </c>
      <c r="MR87">
        <v>6.1126E-2</v>
      </c>
      <c r="MS87" t="s">
        <v>114</v>
      </c>
      <c r="MT87">
        <v>0</v>
      </c>
      <c r="MU87">
        <v>5.9740000000000001E-2</v>
      </c>
      <c r="MV87">
        <v>5.5133000000000001E-2</v>
      </c>
      <c r="MW87">
        <v>0</v>
      </c>
      <c r="MX87" t="s">
        <v>114</v>
      </c>
      <c r="MY87" t="s">
        <v>114</v>
      </c>
      <c r="MZ87">
        <v>0</v>
      </c>
      <c r="NA87">
        <v>5.7528999999999997E-2</v>
      </c>
      <c r="NB87">
        <v>0</v>
      </c>
      <c r="NC87">
        <v>5.7017999999999999E-2</v>
      </c>
      <c r="ND87">
        <v>5.7383999999999998E-2</v>
      </c>
      <c r="NE87">
        <v>0.26425599999999999</v>
      </c>
      <c r="NF87">
        <v>1.8200019999999999</v>
      </c>
      <c r="NG87">
        <v>0.70572500000000005</v>
      </c>
      <c r="NH87">
        <v>0</v>
      </c>
      <c r="NI87">
        <v>0.116504</v>
      </c>
      <c r="NJ87">
        <v>0</v>
      </c>
      <c r="NK87">
        <v>0.58951799999999999</v>
      </c>
      <c r="NL87">
        <v>0</v>
      </c>
      <c r="NM87">
        <v>0.12101099999999999</v>
      </c>
      <c r="NN87">
        <v>0.10875700000000001</v>
      </c>
      <c r="NO87">
        <v>0.10657999999999999</v>
      </c>
      <c r="NP87">
        <v>0</v>
      </c>
      <c r="NQ87" t="s">
        <v>114</v>
      </c>
      <c r="NR87">
        <v>0.11107400000000001</v>
      </c>
      <c r="NS87">
        <v>0.115217</v>
      </c>
      <c r="NT87">
        <v>0.25062600000000002</v>
      </c>
      <c r="NU87">
        <v>0.26040600000000003</v>
      </c>
      <c r="NV87">
        <v>0.44292100000000001</v>
      </c>
      <c r="NW87">
        <v>0.22423899999999999</v>
      </c>
      <c r="NX87">
        <v>0</v>
      </c>
      <c r="NY87" t="s">
        <v>114</v>
      </c>
      <c r="NZ87" t="s">
        <v>114</v>
      </c>
      <c r="OA87">
        <v>4.10832</v>
      </c>
      <c r="OB87">
        <v>0</v>
      </c>
      <c r="OC87">
        <v>0.36241899999999999</v>
      </c>
      <c r="OD87">
        <v>0</v>
      </c>
      <c r="OE87">
        <v>0.96538900000000005</v>
      </c>
      <c r="OF87" t="s">
        <v>114</v>
      </c>
      <c r="OG87">
        <v>0.121128</v>
      </c>
      <c r="OH87">
        <v>0.13795499999999999</v>
      </c>
      <c r="OI87" t="s">
        <v>114</v>
      </c>
      <c r="OJ87">
        <v>0.123519</v>
      </c>
      <c r="OK87">
        <v>0.25799</v>
      </c>
      <c r="OL87">
        <v>0.36693599999999998</v>
      </c>
      <c r="OM87">
        <v>0.15739</v>
      </c>
      <c r="ON87">
        <v>0.16228899999999999</v>
      </c>
      <c r="OO87" t="s">
        <v>114</v>
      </c>
      <c r="OP87">
        <v>0.29510599999999998</v>
      </c>
      <c r="OQ87" t="s">
        <v>114</v>
      </c>
      <c r="OR87" t="s">
        <v>114</v>
      </c>
      <c r="OS87" t="s">
        <v>114</v>
      </c>
      <c r="OT87" t="s">
        <v>114</v>
      </c>
      <c r="OU87" t="s">
        <v>114</v>
      </c>
      <c r="OV87" t="s">
        <v>114</v>
      </c>
      <c r="OW87" t="s">
        <v>114</v>
      </c>
      <c r="OX87" t="s">
        <v>114</v>
      </c>
      <c r="OY87" t="s">
        <v>114</v>
      </c>
      <c r="OZ87" t="s">
        <v>114</v>
      </c>
      <c r="PA87" t="s">
        <v>114</v>
      </c>
      <c r="PB87">
        <v>0.290989</v>
      </c>
      <c r="PC87">
        <v>0.40559200000000001</v>
      </c>
      <c r="PD87" t="s">
        <v>114</v>
      </c>
      <c r="PE87">
        <v>0.203455</v>
      </c>
      <c r="PF87">
        <v>1.7155119999999999</v>
      </c>
      <c r="PG87">
        <v>0.30667899999999998</v>
      </c>
      <c r="PH87">
        <v>0.18213299999999999</v>
      </c>
      <c r="PI87">
        <v>1.419978</v>
      </c>
      <c r="PJ87">
        <v>0.49261899999999997</v>
      </c>
      <c r="PK87">
        <v>0.858491</v>
      </c>
      <c r="PL87" t="s">
        <v>114</v>
      </c>
      <c r="PM87">
        <v>0.52135500000000001</v>
      </c>
      <c r="PN87" t="s">
        <v>114</v>
      </c>
      <c r="PO87" t="s">
        <v>114</v>
      </c>
      <c r="PP87">
        <v>2.0131519999999998</v>
      </c>
      <c r="PQ87">
        <v>0.91000099999999995</v>
      </c>
      <c r="PR87">
        <v>0</v>
      </c>
      <c r="PS87">
        <v>0.25548799999999999</v>
      </c>
      <c r="PT87">
        <v>0.67344000000000004</v>
      </c>
      <c r="PU87">
        <v>0.90561000000000003</v>
      </c>
      <c r="PV87">
        <v>0.21723100000000001</v>
      </c>
      <c r="PW87">
        <v>0.59689999999999999</v>
      </c>
      <c r="PX87">
        <v>0.27590999999999999</v>
      </c>
      <c r="PY87">
        <v>0.51421300000000003</v>
      </c>
      <c r="PZ87">
        <v>0.23366000000000001</v>
      </c>
      <c r="QA87">
        <v>0.37156699999999998</v>
      </c>
      <c r="QB87">
        <v>0.25509700000000002</v>
      </c>
      <c r="QC87">
        <v>2.320713</v>
      </c>
      <c r="QD87">
        <v>0.29738599999999998</v>
      </c>
      <c r="QE87">
        <v>0.25588</v>
      </c>
      <c r="QF87">
        <v>0.44213799999999998</v>
      </c>
      <c r="QG87">
        <v>0.64260899999999999</v>
      </c>
      <c r="QH87" t="s">
        <v>114</v>
      </c>
      <c r="QI87" t="s">
        <v>114</v>
      </c>
      <c r="QJ87">
        <v>0.20959</v>
      </c>
      <c r="QK87">
        <v>0.37631599999999998</v>
      </c>
      <c r="QL87" t="s">
        <v>114</v>
      </c>
      <c r="QM87">
        <v>0.17402699999999999</v>
      </c>
      <c r="QN87" t="s">
        <v>114</v>
      </c>
      <c r="QO87">
        <v>0.15640599999999999</v>
      </c>
      <c r="QP87">
        <v>0.92275200000000002</v>
      </c>
      <c r="QQ87" t="s">
        <v>114</v>
      </c>
      <c r="QR87" t="s">
        <v>114</v>
      </c>
      <c r="QS87">
        <v>0.37019299999999999</v>
      </c>
      <c r="QT87" t="s">
        <v>114</v>
      </c>
      <c r="QU87" t="s">
        <v>114</v>
      </c>
      <c r="QV87">
        <v>0.55000099999999996</v>
      </c>
      <c r="QW87">
        <v>0.58813199999999999</v>
      </c>
      <c r="QX87">
        <v>0.15660199999999999</v>
      </c>
      <c r="QY87">
        <v>0.47395900000000002</v>
      </c>
      <c r="QZ87">
        <v>0.31865500000000002</v>
      </c>
      <c r="RA87">
        <v>0.375892</v>
      </c>
      <c r="RB87">
        <v>0.35509099999999999</v>
      </c>
      <c r="RC87">
        <v>0.15994800000000001</v>
      </c>
      <c r="RD87">
        <v>0.170936</v>
      </c>
      <c r="RE87">
        <v>0.32332100000000003</v>
      </c>
      <c r="RF87">
        <v>0.132688</v>
      </c>
      <c r="RG87">
        <v>0.25406099999999998</v>
      </c>
      <c r="RH87">
        <v>0.23993300000000001</v>
      </c>
      <c r="RI87">
        <v>0.52981699999999998</v>
      </c>
      <c r="RJ87">
        <v>0.37211899999999998</v>
      </c>
      <c r="RK87">
        <v>0.34580899999999998</v>
      </c>
      <c r="RL87">
        <v>0.15390499999999999</v>
      </c>
      <c r="RM87">
        <v>0.46653699999999998</v>
      </c>
      <c r="RN87" t="s">
        <v>114</v>
      </c>
      <c r="RO87">
        <v>0.19573699999999999</v>
      </c>
      <c r="RP87" t="s">
        <v>114</v>
      </c>
      <c r="RQ87">
        <v>0.21243699999999999</v>
      </c>
      <c r="RR87">
        <v>0.17710600000000001</v>
      </c>
      <c r="RS87">
        <v>0.31757600000000002</v>
      </c>
      <c r="RT87">
        <v>0.19666</v>
      </c>
      <c r="RU87">
        <v>0.27774700000000002</v>
      </c>
      <c r="RV87">
        <v>0.200682</v>
      </c>
      <c r="RW87">
        <v>0.50535200000000002</v>
      </c>
      <c r="RX87">
        <v>0.53586800000000001</v>
      </c>
      <c r="RY87">
        <v>0.233988</v>
      </c>
      <c r="RZ87">
        <v>0.131158</v>
      </c>
      <c r="SA87">
        <v>0.36910100000000001</v>
      </c>
      <c r="SB87">
        <v>0</v>
      </c>
      <c r="SC87">
        <v>0.23366000000000001</v>
      </c>
      <c r="SD87">
        <v>0.35496499999999997</v>
      </c>
      <c r="SE87">
        <v>0.29082000000000002</v>
      </c>
      <c r="SF87">
        <v>0.367205</v>
      </c>
      <c r="SG87">
        <v>0.34094000000000002</v>
      </c>
      <c r="SH87" t="s">
        <v>114</v>
      </c>
      <c r="SI87">
        <v>0.29791699999999999</v>
      </c>
      <c r="SJ87">
        <v>0.69707600000000003</v>
      </c>
      <c r="SK87" t="s">
        <v>114</v>
      </c>
      <c r="SL87" t="s">
        <v>114</v>
      </c>
      <c r="SM87">
        <v>0.297209</v>
      </c>
      <c r="SN87">
        <v>0.30555599999999999</v>
      </c>
      <c r="SO87" t="s">
        <v>114</v>
      </c>
      <c r="SP87">
        <v>0.33411200000000002</v>
      </c>
      <c r="SQ87">
        <v>0.22009699999999999</v>
      </c>
      <c r="SR87">
        <v>0.47879500000000003</v>
      </c>
      <c r="SS87">
        <v>0.66769000000000001</v>
      </c>
      <c r="ST87">
        <v>0.41092000000000001</v>
      </c>
      <c r="SU87">
        <v>0.56362699999999999</v>
      </c>
      <c r="SV87" t="s">
        <v>114</v>
      </c>
      <c r="SW87">
        <v>0.25483699999999998</v>
      </c>
      <c r="SX87" t="s">
        <v>114</v>
      </c>
      <c r="SY87">
        <v>0</v>
      </c>
      <c r="SZ87">
        <v>1.0070429999999999</v>
      </c>
      <c r="TA87">
        <v>0.123034</v>
      </c>
      <c r="TB87">
        <v>0.24390899999999999</v>
      </c>
      <c r="TC87">
        <v>0.252523</v>
      </c>
      <c r="TD87">
        <v>0.12481299999999999</v>
      </c>
      <c r="TE87">
        <v>0</v>
      </c>
      <c r="TF87">
        <v>0.24016299999999999</v>
      </c>
      <c r="TG87">
        <v>0.28930699999999998</v>
      </c>
      <c r="TH87">
        <v>0</v>
      </c>
      <c r="TI87">
        <v>0.19612099999999999</v>
      </c>
      <c r="TJ87" t="s">
        <v>114</v>
      </c>
      <c r="TK87">
        <v>0.25050099999999997</v>
      </c>
      <c r="TL87" t="s">
        <v>114</v>
      </c>
      <c r="TM87" t="s">
        <v>114</v>
      </c>
      <c r="TN87">
        <v>0.25959599999999999</v>
      </c>
      <c r="TO87" t="s">
        <v>114</v>
      </c>
      <c r="TP87">
        <v>0.350491</v>
      </c>
      <c r="TQ87">
        <v>0.47039500000000001</v>
      </c>
      <c r="TR87">
        <v>0.52463400000000004</v>
      </c>
      <c r="TS87">
        <v>0.832318</v>
      </c>
      <c r="TT87" t="s">
        <v>114</v>
      </c>
      <c r="TU87" t="s">
        <v>114</v>
      </c>
      <c r="TV87">
        <v>0.200521</v>
      </c>
      <c r="TW87">
        <v>0</v>
      </c>
      <c r="TX87">
        <v>0.41894599999999999</v>
      </c>
      <c r="TY87" t="s">
        <v>114</v>
      </c>
      <c r="TZ87">
        <v>1.505398</v>
      </c>
      <c r="UA87">
        <v>0.59664600000000001</v>
      </c>
      <c r="UB87">
        <v>0.43811299999999997</v>
      </c>
      <c r="UC87" t="s">
        <v>114</v>
      </c>
      <c r="UD87">
        <v>0.328125</v>
      </c>
      <c r="UE87">
        <v>0.60259799999999997</v>
      </c>
      <c r="UF87">
        <v>0.50000100000000003</v>
      </c>
      <c r="UG87">
        <v>0.37037500000000001</v>
      </c>
      <c r="UH87" t="s">
        <v>114</v>
      </c>
      <c r="UI87">
        <v>0.76148099999999996</v>
      </c>
      <c r="UJ87">
        <v>0.42646600000000001</v>
      </c>
      <c r="UK87">
        <v>0.427535</v>
      </c>
      <c r="UL87">
        <v>0.41092000000000001</v>
      </c>
      <c r="UM87" t="s">
        <v>114</v>
      </c>
      <c r="UN87" t="s">
        <v>114</v>
      </c>
      <c r="UO87" t="s">
        <v>114</v>
      </c>
      <c r="UP87">
        <v>0.57344200000000001</v>
      </c>
      <c r="UQ87" t="s">
        <v>114</v>
      </c>
      <c r="UR87">
        <v>0.54899500000000001</v>
      </c>
      <c r="US87">
        <v>0.64759800000000001</v>
      </c>
      <c r="UT87">
        <v>0.33014500000000002</v>
      </c>
      <c r="UU87">
        <v>0.34047699999999997</v>
      </c>
      <c r="UV87">
        <v>0.23993300000000001</v>
      </c>
      <c r="UW87" t="s">
        <v>114</v>
      </c>
      <c r="UX87">
        <v>0.42646600000000001</v>
      </c>
      <c r="UY87">
        <v>0.73479499999999998</v>
      </c>
      <c r="UZ87" t="s">
        <v>114</v>
      </c>
      <c r="VA87">
        <v>0.66153799999999996</v>
      </c>
      <c r="VB87">
        <v>0</v>
      </c>
      <c r="VC87" t="s">
        <v>114</v>
      </c>
      <c r="VD87">
        <v>0.21554699999999999</v>
      </c>
      <c r="VE87">
        <v>0.54639800000000005</v>
      </c>
      <c r="VF87">
        <v>0.876363</v>
      </c>
      <c r="VG87">
        <v>0.291327</v>
      </c>
      <c r="VH87">
        <v>0.25075199999999997</v>
      </c>
      <c r="VI87" t="s">
        <v>114</v>
      </c>
      <c r="VJ87" t="s">
        <v>114</v>
      </c>
      <c r="VK87" t="s">
        <v>114</v>
      </c>
      <c r="VL87" t="s">
        <v>114</v>
      </c>
      <c r="VM87" t="s">
        <v>114</v>
      </c>
      <c r="VN87" t="s">
        <v>114</v>
      </c>
      <c r="VO87">
        <v>0.72147899999999998</v>
      </c>
      <c r="VP87">
        <v>0.60127399999999998</v>
      </c>
      <c r="VQ87">
        <v>0.76763899999999996</v>
      </c>
      <c r="VR87">
        <v>1.6480509999999999</v>
      </c>
      <c r="VS87">
        <v>0.66947599999999996</v>
      </c>
      <c r="VT87" t="s">
        <v>114</v>
      </c>
      <c r="VU87">
        <v>0.33411200000000002</v>
      </c>
      <c r="VV87" t="s">
        <v>114</v>
      </c>
      <c r="VW87" t="s">
        <v>114</v>
      </c>
      <c r="VX87" t="s">
        <v>114</v>
      </c>
      <c r="VY87">
        <v>0.32528200000000002</v>
      </c>
      <c r="VZ87">
        <v>0.42224499999999998</v>
      </c>
      <c r="WA87" t="s">
        <v>114</v>
      </c>
      <c r="WB87" t="s">
        <v>114</v>
      </c>
      <c r="WC87" t="s">
        <v>114</v>
      </c>
      <c r="WD87">
        <v>0.43446200000000001</v>
      </c>
      <c r="WE87">
        <v>1.0347329999999999</v>
      </c>
      <c r="WF87">
        <v>1.5928230000000001</v>
      </c>
      <c r="WG87">
        <v>0.43547000000000002</v>
      </c>
      <c r="WH87" t="s">
        <v>114</v>
      </c>
      <c r="WI87">
        <v>0.89964100000000002</v>
      </c>
      <c r="WJ87">
        <v>0.35246499999999997</v>
      </c>
      <c r="WK87">
        <v>0.86677499999999996</v>
      </c>
      <c r="WL87" t="s">
        <v>114</v>
      </c>
      <c r="WM87">
        <v>0.23085800000000001</v>
      </c>
      <c r="WN87">
        <v>0.37974200000000002</v>
      </c>
      <c r="WO87">
        <v>1.1252260000000001</v>
      </c>
      <c r="WP87">
        <v>0.18564600000000001</v>
      </c>
      <c r="WQ87">
        <v>0.45777499999999999</v>
      </c>
      <c r="WR87" t="s">
        <v>114</v>
      </c>
      <c r="WS87">
        <v>0.29441200000000001</v>
      </c>
      <c r="WT87" t="s">
        <v>114</v>
      </c>
      <c r="WU87">
        <v>0</v>
      </c>
      <c r="WV87" t="s">
        <v>114</v>
      </c>
      <c r="WW87">
        <v>1.107302</v>
      </c>
      <c r="WX87" t="s">
        <v>114</v>
      </c>
      <c r="WY87" t="s">
        <v>114</v>
      </c>
      <c r="WZ87" t="s">
        <v>114</v>
      </c>
      <c r="XA87">
        <v>0</v>
      </c>
      <c r="XB87" t="s">
        <v>114</v>
      </c>
      <c r="XC87">
        <v>0.30518299999999998</v>
      </c>
      <c r="XD87">
        <v>0.41847899999999999</v>
      </c>
      <c r="XE87">
        <v>0.203125</v>
      </c>
      <c r="XF87" t="s">
        <v>114</v>
      </c>
      <c r="XG87">
        <v>0.71364099999999997</v>
      </c>
      <c r="XH87">
        <v>0.28117999999999999</v>
      </c>
      <c r="XI87" t="s">
        <v>114</v>
      </c>
      <c r="XJ87">
        <v>0</v>
      </c>
      <c r="XK87">
        <v>0.33014500000000002</v>
      </c>
      <c r="XL87">
        <v>0.52795400000000003</v>
      </c>
      <c r="XM87">
        <v>0.50812199999999996</v>
      </c>
      <c r="XN87">
        <v>0.45610600000000001</v>
      </c>
      <c r="XO87" t="s">
        <v>114</v>
      </c>
      <c r="XP87" t="s">
        <v>114</v>
      </c>
      <c r="XQ87" t="s">
        <v>114</v>
      </c>
      <c r="XR87">
        <v>0.196738</v>
      </c>
      <c r="XS87">
        <v>0.736649</v>
      </c>
      <c r="XT87">
        <v>0.506579</v>
      </c>
      <c r="XU87" t="s">
        <v>114</v>
      </c>
      <c r="XV87" t="s">
        <v>114</v>
      </c>
      <c r="XW87" t="s">
        <v>114</v>
      </c>
      <c r="XX87">
        <v>0.226573</v>
      </c>
      <c r="XY87">
        <v>0.16103600000000001</v>
      </c>
      <c r="XZ87">
        <v>0.416852</v>
      </c>
      <c r="YA87">
        <v>0</v>
      </c>
      <c r="YB87">
        <v>1.66483</v>
      </c>
      <c r="YC87">
        <v>0.21252699999999999</v>
      </c>
      <c r="YD87" t="s">
        <v>114</v>
      </c>
      <c r="YE87">
        <v>0.67416600000000004</v>
      </c>
      <c r="YF87" t="s">
        <v>114</v>
      </c>
      <c r="YG87">
        <v>0.34024500000000002</v>
      </c>
      <c r="YH87" t="s">
        <v>114</v>
      </c>
      <c r="YI87" t="s">
        <v>114</v>
      </c>
      <c r="YJ87">
        <v>0.32884400000000003</v>
      </c>
      <c r="YK87">
        <v>0.29406599999999999</v>
      </c>
      <c r="YL87">
        <v>0.65169299999999997</v>
      </c>
      <c r="YM87">
        <v>1.3227629999999999</v>
      </c>
      <c r="YN87" t="s">
        <v>114</v>
      </c>
      <c r="YO87" t="s">
        <v>114</v>
      </c>
      <c r="YP87" t="s">
        <v>114</v>
      </c>
      <c r="YQ87">
        <v>0.71581899999999998</v>
      </c>
      <c r="YR87">
        <v>0.375469</v>
      </c>
      <c r="YS87">
        <v>0.49456600000000001</v>
      </c>
      <c r="YT87" t="s">
        <v>114</v>
      </c>
      <c r="YU87">
        <v>0.47636499999999998</v>
      </c>
      <c r="YV87">
        <v>0.76373400000000002</v>
      </c>
      <c r="YW87" t="s">
        <v>114</v>
      </c>
      <c r="YX87" t="s">
        <v>114</v>
      </c>
      <c r="YY87" t="s">
        <v>114</v>
      </c>
      <c r="YZ87">
        <v>0.68241200000000002</v>
      </c>
      <c r="ZA87">
        <v>0.63247699999999996</v>
      </c>
      <c r="ZB87" t="s">
        <v>114</v>
      </c>
      <c r="ZC87">
        <v>0.37378699999999998</v>
      </c>
      <c r="ZD87">
        <v>0.40249299999999999</v>
      </c>
      <c r="ZE87">
        <v>0.46618900000000002</v>
      </c>
      <c r="ZF87" t="s">
        <v>114</v>
      </c>
      <c r="ZG87">
        <v>0.40460800000000002</v>
      </c>
      <c r="ZH87">
        <v>0.93726699999999996</v>
      </c>
      <c r="ZI87">
        <v>0.17669499999999999</v>
      </c>
      <c r="ZJ87">
        <v>0.45666099999999998</v>
      </c>
      <c r="ZK87" t="s">
        <v>114</v>
      </c>
      <c r="ZL87">
        <v>0.362682</v>
      </c>
      <c r="ZM87">
        <v>0.125502</v>
      </c>
      <c r="ZN87">
        <v>0.367475</v>
      </c>
      <c r="ZO87">
        <v>0.437309</v>
      </c>
      <c r="ZP87" t="s">
        <v>114</v>
      </c>
      <c r="ZQ87" t="s">
        <v>114</v>
      </c>
      <c r="ZR87" t="s">
        <v>114</v>
      </c>
      <c r="ZS87" t="s">
        <v>114</v>
      </c>
      <c r="ZT87" t="s">
        <v>114</v>
      </c>
      <c r="ZU87" t="s">
        <v>114</v>
      </c>
      <c r="ZV87">
        <v>0.79646799999999995</v>
      </c>
      <c r="ZW87" t="s">
        <v>114</v>
      </c>
      <c r="ZX87" t="s">
        <v>114</v>
      </c>
      <c r="ZY87">
        <v>0.61285800000000001</v>
      </c>
      <c r="ZZ87">
        <v>0.36657800000000001</v>
      </c>
      <c r="AAA87">
        <v>0.85003499999999999</v>
      </c>
      <c r="AAB87">
        <v>0.489535</v>
      </c>
      <c r="AAC87">
        <v>0.32359900000000003</v>
      </c>
      <c r="AAD87">
        <v>0.40532899999999999</v>
      </c>
      <c r="AAE87">
        <v>0.73030200000000001</v>
      </c>
      <c r="AAF87">
        <v>1.157036</v>
      </c>
      <c r="AAG87">
        <v>0.24765000000000001</v>
      </c>
      <c r="AAH87" t="s">
        <v>114</v>
      </c>
      <c r="AAI87">
        <v>0.65567799999999998</v>
      </c>
      <c r="AAJ87" t="s">
        <v>114</v>
      </c>
      <c r="AAK87" t="s">
        <v>114</v>
      </c>
      <c r="AAL87" t="s">
        <v>114</v>
      </c>
      <c r="AAM87">
        <v>1.2884739999999999</v>
      </c>
      <c r="AAN87">
        <v>1.0778909999999999</v>
      </c>
      <c r="AAO87">
        <v>0.61638000000000004</v>
      </c>
      <c r="AAP87" t="s">
        <v>114</v>
      </c>
      <c r="AAQ87">
        <v>1.132053</v>
      </c>
      <c r="AAR87">
        <v>0.51461599999999996</v>
      </c>
      <c r="AAS87" t="s">
        <v>114</v>
      </c>
      <c r="AAT87" t="s">
        <v>114</v>
      </c>
      <c r="AAU87" t="s">
        <v>114</v>
      </c>
      <c r="AAV87" t="s">
        <v>114</v>
      </c>
      <c r="AAW87">
        <v>0.58689100000000005</v>
      </c>
      <c r="AAX87" t="s">
        <v>114</v>
      </c>
      <c r="AAY87">
        <v>0.403196</v>
      </c>
      <c r="AAZ87" t="s">
        <v>114</v>
      </c>
      <c r="ABA87">
        <v>0.48639500000000002</v>
      </c>
      <c r="ABB87">
        <v>0</v>
      </c>
      <c r="ABC87">
        <v>0.22175500000000001</v>
      </c>
      <c r="ABD87" t="s">
        <v>114</v>
      </c>
      <c r="ABE87">
        <v>0.41731600000000002</v>
      </c>
      <c r="ABF87" t="s">
        <v>114</v>
      </c>
      <c r="ABG87">
        <v>0.26952100000000001</v>
      </c>
      <c r="ABH87">
        <v>0.43121799999999999</v>
      </c>
      <c r="ABI87" t="s">
        <v>114</v>
      </c>
      <c r="ABJ87">
        <v>0.163991</v>
      </c>
      <c r="ABK87">
        <v>0.40559200000000001</v>
      </c>
      <c r="ABL87" t="s">
        <v>114</v>
      </c>
      <c r="ABM87">
        <v>0.50581200000000004</v>
      </c>
      <c r="ABN87" t="s">
        <v>114</v>
      </c>
      <c r="ABO87" t="s">
        <v>114</v>
      </c>
      <c r="ABP87">
        <v>0</v>
      </c>
      <c r="ABQ87" t="s">
        <v>114</v>
      </c>
      <c r="ABR87">
        <v>0.53902300000000003</v>
      </c>
      <c r="ABS87">
        <v>0.264955</v>
      </c>
      <c r="ABT87" t="s">
        <v>114</v>
      </c>
      <c r="ABU87" t="s">
        <v>114</v>
      </c>
      <c r="ABV87" t="s">
        <v>114</v>
      </c>
      <c r="ABW87" t="s">
        <v>114</v>
      </c>
      <c r="ABX87" t="s">
        <v>114</v>
      </c>
      <c r="ABY87" t="s">
        <v>114</v>
      </c>
      <c r="ABZ87">
        <v>0.48063400000000001</v>
      </c>
      <c r="ACA87">
        <v>0.50932900000000003</v>
      </c>
      <c r="ACB87" t="s">
        <v>114</v>
      </c>
      <c r="ACC87">
        <v>0.46804899999999999</v>
      </c>
      <c r="ACD87" t="s">
        <v>114</v>
      </c>
      <c r="ACE87" t="s">
        <v>114</v>
      </c>
      <c r="ACF87" t="s">
        <v>114</v>
      </c>
      <c r="ACG87" t="s">
        <v>114</v>
      </c>
      <c r="ACH87" t="s">
        <v>114</v>
      </c>
      <c r="ACI87" t="s">
        <v>114</v>
      </c>
      <c r="ACJ87" t="s">
        <v>114</v>
      </c>
      <c r="ACK87">
        <v>0.80157</v>
      </c>
      <c r="ACL87">
        <v>0.75948499999999997</v>
      </c>
      <c r="ACM87" t="s">
        <v>114</v>
      </c>
      <c r="ACN87">
        <v>0.84949200000000002</v>
      </c>
      <c r="ACO87">
        <v>0.71558500000000003</v>
      </c>
    </row>
    <row r="88" spans="1:769" x14ac:dyDescent="0.25">
      <c r="A88" t="s">
        <v>895</v>
      </c>
      <c r="B88">
        <v>0</v>
      </c>
      <c r="C88" t="s">
        <v>114</v>
      </c>
      <c r="D88">
        <v>98.716961999999995</v>
      </c>
      <c r="E88" t="s">
        <v>114</v>
      </c>
      <c r="F88">
        <v>97.908445</v>
      </c>
      <c r="G88">
        <v>98.797921000000002</v>
      </c>
      <c r="H88">
        <v>47.836734999999997</v>
      </c>
      <c r="I88">
        <v>26.034959000000001</v>
      </c>
      <c r="J88">
        <v>0</v>
      </c>
      <c r="K88">
        <v>13.260341</v>
      </c>
      <c r="L88">
        <v>0</v>
      </c>
      <c r="M88">
        <v>98.217550000000003</v>
      </c>
      <c r="N88" t="s">
        <v>114</v>
      </c>
      <c r="O88">
        <v>98.987853999999999</v>
      </c>
      <c r="P88">
        <v>28.515241</v>
      </c>
      <c r="Q88">
        <v>14.445689</v>
      </c>
      <c r="R88">
        <v>0</v>
      </c>
      <c r="S88">
        <v>0</v>
      </c>
      <c r="T88">
        <v>1.020408</v>
      </c>
      <c r="U88">
        <v>99.6</v>
      </c>
      <c r="V88">
        <v>92.520187000000007</v>
      </c>
      <c r="W88">
        <v>0</v>
      </c>
      <c r="X88">
        <v>87.777777999999998</v>
      </c>
      <c r="Y88">
        <v>0</v>
      </c>
      <c r="Z88">
        <v>0</v>
      </c>
      <c r="AA88">
        <v>99.358024999999998</v>
      </c>
      <c r="AB88">
        <v>95.418847999999997</v>
      </c>
      <c r="AC88">
        <v>77.609682000000006</v>
      </c>
      <c r="AD88">
        <v>0</v>
      </c>
      <c r="AE88">
        <v>90.254873000000003</v>
      </c>
      <c r="AF88">
        <v>5.3459120000000002</v>
      </c>
      <c r="AG88">
        <v>29.088639000000001</v>
      </c>
      <c r="AH88">
        <v>4.0254240000000001</v>
      </c>
      <c r="AI88">
        <v>1.5988370000000001</v>
      </c>
      <c r="AJ88">
        <v>99.955236999999997</v>
      </c>
      <c r="AK88">
        <v>70.765660999999994</v>
      </c>
      <c r="AL88">
        <v>54.199823000000002</v>
      </c>
      <c r="AM88">
        <v>6.3736259999999998</v>
      </c>
      <c r="AN88">
        <v>99.15</v>
      </c>
      <c r="AO88">
        <v>99.770641999999995</v>
      </c>
      <c r="AP88">
        <v>37.083708000000001</v>
      </c>
      <c r="AQ88">
        <v>9.0361449999999994</v>
      </c>
      <c r="AR88">
        <v>99.892664999999994</v>
      </c>
      <c r="AS88">
        <v>17.314488000000001</v>
      </c>
      <c r="AT88">
        <v>0</v>
      </c>
      <c r="AU88">
        <v>86.069652000000005</v>
      </c>
      <c r="AV88">
        <v>0</v>
      </c>
      <c r="AW88">
        <v>86.432507000000001</v>
      </c>
      <c r="AX88">
        <v>99.450171999999995</v>
      </c>
      <c r="AY88">
        <v>2.8490030000000002</v>
      </c>
      <c r="AZ88">
        <v>96.065573999999998</v>
      </c>
      <c r="BA88">
        <v>99.940370000000001</v>
      </c>
      <c r="BB88">
        <v>0</v>
      </c>
      <c r="BC88">
        <v>0</v>
      </c>
      <c r="BD88">
        <v>98.263193000000001</v>
      </c>
      <c r="BE88">
        <v>98.570904999999996</v>
      </c>
      <c r="BF88">
        <v>99.160167999999999</v>
      </c>
      <c r="BG88">
        <v>34.049079999999996</v>
      </c>
      <c r="BH88">
        <v>6.7594430000000001</v>
      </c>
      <c r="BI88">
        <v>88.899341000000007</v>
      </c>
      <c r="BJ88">
        <v>97.774158999999997</v>
      </c>
      <c r="BK88">
        <v>99.374217999999999</v>
      </c>
      <c r="BL88">
        <v>0</v>
      </c>
      <c r="BM88">
        <v>99.342105000000004</v>
      </c>
      <c r="BN88">
        <v>0</v>
      </c>
      <c r="BO88" t="s">
        <v>114</v>
      </c>
      <c r="BP88">
        <v>83.665644</v>
      </c>
      <c r="BQ88">
        <v>69.271949000000006</v>
      </c>
      <c r="BR88" t="s">
        <v>114</v>
      </c>
      <c r="BS88">
        <v>92.049954</v>
      </c>
      <c r="BT88">
        <v>70.301204999999996</v>
      </c>
      <c r="BU88" t="s">
        <v>114</v>
      </c>
      <c r="BV88">
        <v>0</v>
      </c>
      <c r="BW88">
        <v>95.651246999999998</v>
      </c>
      <c r="BX88">
        <v>0</v>
      </c>
      <c r="BY88">
        <v>0</v>
      </c>
      <c r="BZ88">
        <v>77.642981000000006</v>
      </c>
      <c r="CA88">
        <v>0</v>
      </c>
      <c r="CB88">
        <v>8.2308420000000009</v>
      </c>
      <c r="CC88">
        <v>16.947723</v>
      </c>
      <c r="CD88">
        <v>53.968254000000002</v>
      </c>
      <c r="CE88">
        <v>6.73712</v>
      </c>
      <c r="CF88">
        <v>0</v>
      </c>
      <c r="CG88">
        <v>86.854709999999997</v>
      </c>
      <c r="CH88" t="s">
        <v>114</v>
      </c>
      <c r="CI88">
        <v>99.968691000000007</v>
      </c>
      <c r="CJ88">
        <v>94.192036999999999</v>
      </c>
      <c r="CK88">
        <v>1.7094020000000001</v>
      </c>
      <c r="CL88">
        <v>95.134152</v>
      </c>
      <c r="CM88">
        <v>18.345704999999999</v>
      </c>
      <c r="CN88">
        <v>1.6260159999999999</v>
      </c>
      <c r="CO88">
        <v>78.904899</v>
      </c>
      <c r="CP88">
        <v>90.929400999999999</v>
      </c>
      <c r="CQ88">
        <v>89.280609999999996</v>
      </c>
      <c r="CR88">
        <v>7.81759</v>
      </c>
      <c r="CS88">
        <v>52.147238999999999</v>
      </c>
      <c r="CT88" t="s">
        <v>114</v>
      </c>
      <c r="CU88">
        <v>91.600672000000003</v>
      </c>
      <c r="CV88">
        <v>94.429795999999996</v>
      </c>
      <c r="CW88">
        <v>73.768217000000007</v>
      </c>
      <c r="CX88">
        <v>55.922865000000002</v>
      </c>
      <c r="CY88">
        <v>89.160304999999994</v>
      </c>
      <c r="CZ88">
        <v>93.207283000000004</v>
      </c>
      <c r="DA88">
        <v>0</v>
      </c>
      <c r="DB88">
        <v>80.233794000000003</v>
      </c>
      <c r="DC88">
        <v>78.566094000000007</v>
      </c>
      <c r="DD88">
        <v>91.270319000000001</v>
      </c>
      <c r="DE88">
        <v>25.113636</v>
      </c>
      <c r="DF88">
        <v>88.382688000000002</v>
      </c>
      <c r="DG88">
        <v>21.524664000000001</v>
      </c>
      <c r="DH88">
        <v>14.882942999999999</v>
      </c>
      <c r="DI88">
        <v>90.655559999999994</v>
      </c>
      <c r="DJ88">
        <v>8.4973170000000007</v>
      </c>
      <c r="DK88">
        <v>10.371074999999999</v>
      </c>
      <c r="DL88">
        <v>99.691901000000001</v>
      </c>
      <c r="DM88">
        <v>87.055532999999997</v>
      </c>
      <c r="DN88">
        <v>0</v>
      </c>
      <c r="DO88">
        <v>99.103268999999997</v>
      </c>
      <c r="DP88">
        <v>27.961433</v>
      </c>
      <c r="DQ88">
        <v>99.812656000000004</v>
      </c>
      <c r="DR88">
        <v>98.351350999999994</v>
      </c>
      <c r="DS88">
        <v>99.607843000000003</v>
      </c>
      <c r="DT88">
        <v>0</v>
      </c>
      <c r="DU88">
        <v>84.853014000000002</v>
      </c>
      <c r="DV88">
        <v>0</v>
      </c>
      <c r="DW88">
        <v>0</v>
      </c>
      <c r="DX88">
        <v>96.274576999999994</v>
      </c>
      <c r="DY88">
        <v>10.507246</v>
      </c>
      <c r="DZ88">
        <v>58.097484000000001</v>
      </c>
      <c r="EA88">
        <v>93.323622</v>
      </c>
      <c r="EB88" t="s">
        <v>114</v>
      </c>
      <c r="EC88">
        <v>2.771363</v>
      </c>
      <c r="ED88" t="s">
        <v>114</v>
      </c>
      <c r="EE88">
        <v>45.417789999999997</v>
      </c>
      <c r="EF88">
        <v>44.796002999999999</v>
      </c>
      <c r="EG88">
        <v>74.163480000000007</v>
      </c>
      <c r="EH88">
        <v>4.2718449999999999</v>
      </c>
      <c r="EI88">
        <v>87.522735999999995</v>
      </c>
      <c r="EJ88">
        <v>64.743589999999998</v>
      </c>
      <c r="EK88">
        <v>29.239765999999999</v>
      </c>
      <c r="EL88">
        <v>50.310558999999998</v>
      </c>
      <c r="EM88">
        <v>74.131479999999996</v>
      </c>
      <c r="EN88">
        <v>36.666666999999997</v>
      </c>
      <c r="EO88" t="s">
        <v>114</v>
      </c>
      <c r="EP88">
        <v>71.789883000000003</v>
      </c>
      <c r="EQ88">
        <v>83.776595999999998</v>
      </c>
      <c r="ER88">
        <v>69.620253000000005</v>
      </c>
      <c r="ES88">
        <v>66.417910000000006</v>
      </c>
      <c r="ET88">
        <v>8.1967210000000001</v>
      </c>
      <c r="EU88">
        <v>77.703156000000007</v>
      </c>
      <c r="EV88">
        <v>0</v>
      </c>
      <c r="EW88">
        <v>36.697248000000002</v>
      </c>
      <c r="EX88">
        <v>58.656331000000002</v>
      </c>
      <c r="EY88">
        <v>32.644627999999997</v>
      </c>
      <c r="EZ88">
        <v>27.916667</v>
      </c>
      <c r="FA88">
        <v>73.798303000000004</v>
      </c>
      <c r="FB88" t="s">
        <v>114</v>
      </c>
      <c r="FC88">
        <v>57.675438999999997</v>
      </c>
      <c r="FD88">
        <v>0</v>
      </c>
      <c r="FE88">
        <v>0</v>
      </c>
      <c r="FF88">
        <v>90.866141999999996</v>
      </c>
      <c r="FG88">
        <v>92.946057999999994</v>
      </c>
      <c r="FH88">
        <v>94.579696999999996</v>
      </c>
      <c r="FI88">
        <v>23.129252000000001</v>
      </c>
      <c r="FJ88">
        <v>89.929507000000001</v>
      </c>
      <c r="FK88">
        <v>88.285229000000001</v>
      </c>
      <c r="FL88">
        <v>94.577146999999997</v>
      </c>
      <c r="FM88">
        <v>81.481481000000002</v>
      </c>
      <c r="FN88">
        <v>0</v>
      </c>
      <c r="FO88">
        <v>0</v>
      </c>
      <c r="FP88">
        <v>91.321344999999994</v>
      </c>
      <c r="FQ88">
        <v>49.655172</v>
      </c>
      <c r="FR88">
        <v>77.548209</v>
      </c>
      <c r="FS88">
        <v>94.358974000000003</v>
      </c>
      <c r="FT88">
        <v>30.126581999999999</v>
      </c>
      <c r="FU88">
        <v>87.662338000000005</v>
      </c>
      <c r="FV88">
        <v>78.138396</v>
      </c>
      <c r="FW88">
        <v>65.615142000000006</v>
      </c>
      <c r="FX88">
        <v>65.420561000000006</v>
      </c>
      <c r="FY88">
        <v>79.585061999999994</v>
      </c>
      <c r="FZ88">
        <v>78.211444</v>
      </c>
      <c r="GA88">
        <v>55.570838999999999</v>
      </c>
      <c r="GB88">
        <v>41.091954000000001</v>
      </c>
      <c r="GC88">
        <v>61.518093999999998</v>
      </c>
      <c r="GD88">
        <v>89.298124000000001</v>
      </c>
      <c r="GE88">
        <v>88.936837999999995</v>
      </c>
      <c r="GF88">
        <v>21.823204</v>
      </c>
      <c r="GG88">
        <v>23.938224000000002</v>
      </c>
      <c r="GH88">
        <v>72.865853999999999</v>
      </c>
      <c r="GI88">
        <v>0</v>
      </c>
      <c r="GJ88">
        <v>68.108776000000006</v>
      </c>
      <c r="GK88">
        <v>66.212534000000005</v>
      </c>
      <c r="GL88">
        <v>11.627907</v>
      </c>
      <c r="GM88">
        <v>0</v>
      </c>
      <c r="GN88">
        <v>70.967742000000001</v>
      </c>
      <c r="GO88">
        <v>0</v>
      </c>
      <c r="GP88">
        <v>82.973251000000005</v>
      </c>
      <c r="GQ88">
        <v>90.092080999999993</v>
      </c>
      <c r="GR88">
        <v>84.791667000000004</v>
      </c>
      <c r="GS88">
        <v>18.085106</v>
      </c>
      <c r="GT88">
        <v>79.942279999999997</v>
      </c>
      <c r="GU88">
        <v>0</v>
      </c>
      <c r="GV88">
        <v>61.348314999999999</v>
      </c>
      <c r="GW88">
        <v>5.6338030000000003</v>
      </c>
      <c r="GX88">
        <v>67.723669000000001</v>
      </c>
      <c r="GY88">
        <v>60.294117999999997</v>
      </c>
      <c r="GZ88">
        <v>87.006496999999996</v>
      </c>
      <c r="HA88">
        <v>64.730878000000004</v>
      </c>
      <c r="HB88">
        <v>42.739989999999999</v>
      </c>
      <c r="HC88">
        <v>70.031056000000007</v>
      </c>
      <c r="HD88">
        <v>50.971921999999999</v>
      </c>
      <c r="HE88">
        <v>10.702341000000001</v>
      </c>
      <c r="HF88">
        <v>0</v>
      </c>
      <c r="HG88">
        <v>82.590132999999994</v>
      </c>
      <c r="HH88">
        <v>83.629490000000004</v>
      </c>
      <c r="HI88">
        <v>92.397660999999999</v>
      </c>
      <c r="HJ88">
        <v>86.236853999999994</v>
      </c>
      <c r="HK88">
        <v>53.227930999999998</v>
      </c>
      <c r="HL88">
        <v>47.903430999999998</v>
      </c>
      <c r="HM88">
        <v>10.344828</v>
      </c>
      <c r="HN88">
        <v>65.040649999999999</v>
      </c>
      <c r="HO88">
        <v>87.039877000000004</v>
      </c>
      <c r="HP88">
        <v>3.418803</v>
      </c>
      <c r="HQ88">
        <v>67.094016999999994</v>
      </c>
      <c r="HR88">
        <v>21.004566000000001</v>
      </c>
      <c r="HS88">
        <v>11.428571</v>
      </c>
      <c r="HT88">
        <v>92.782026999999999</v>
      </c>
      <c r="HU88">
        <v>92.648161999999999</v>
      </c>
      <c r="HV88" t="s">
        <v>114</v>
      </c>
      <c r="HW88">
        <v>0</v>
      </c>
      <c r="HX88">
        <v>85.312023999999994</v>
      </c>
      <c r="HY88">
        <v>89.023090999999994</v>
      </c>
      <c r="HZ88">
        <v>76.585927999999996</v>
      </c>
      <c r="IA88">
        <v>35.294117999999997</v>
      </c>
      <c r="IB88" t="s">
        <v>114</v>
      </c>
      <c r="IC88" t="s">
        <v>114</v>
      </c>
      <c r="ID88">
        <v>0</v>
      </c>
      <c r="IE88">
        <v>93.634840999999994</v>
      </c>
      <c r="IF88">
        <v>64.822134000000005</v>
      </c>
      <c r="IG88" t="s">
        <v>114</v>
      </c>
      <c r="IH88">
        <v>53.056769000000003</v>
      </c>
      <c r="II88">
        <v>0</v>
      </c>
      <c r="IJ88">
        <v>90.576132000000001</v>
      </c>
      <c r="IK88">
        <v>0</v>
      </c>
      <c r="IL88" t="s">
        <v>114</v>
      </c>
      <c r="IM88">
        <v>0</v>
      </c>
      <c r="IN88">
        <v>89.381783999999996</v>
      </c>
      <c r="IO88">
        <v>94.429348000000005</v>
      </c>
      <c r="IP88">
        <v>86.302424000000002</v>
      </c>
      <c r="IQ88">
        <v>0</v>
      </c>
      <c r="IR88">
        <v>91.734279999999998</v>
      </c>
      <c r="IS88">
        <v>36.032561999999999</v>
      </c>
      <c r="IT88">
        <v>22.869955000000001</v>
      </c>
      <c r="IU88">
        <v>9.2592590000000001</v>
      </c>
      <c r="IV88">
        <v>24.713958999999999</v>
      </c>
      <c r="IW88">
        <v>16.967509</v>
      </c>
      <c r="IX88">
        <v>69.913211000000004</v>
      </c>
      <c r="IY88">
        <v>99.178886000000006</v>
      </c>
      <c r="IZ88">
        <v>97.028334000000001</v>
      </c>
      <c r="JA88">
        <v>88.954469000000003</v>
      </c>
      <c r="JB88">
        <v>3.361345</v>
      </c>
      <c r="JC88">
        <v>57.623317999999998</v>
      </c>
      <c r="JD88">
        <v>98.943972000000002</v>
      </c>
      <c r="JE88">
        <v>94.887218000000004</v>
      </c>
      <c r="JF88">
        <v>3.3755269999999999</v>
      </c>
      <c r="JG88">
        <v>97.280899000000005</v>
      </c>
      <c r="JH88">
        <v>53.461537999999997</v>
      </c>
      <c r="JI88">
        <v>0</v>
      </c>
      <c r="JJ88" t="s">
        <v>114</v>
      </c>
      <c r="JK88">
        <v>67.172263999999998</v>
      </c>
      <c r="JL88">
        <v>99.382857000000001</v>
      </c>
      <c r="JM88">
        <v>99.376114000000001</v>
      </c>
      <c r="JN88">
        <v>95.041650000000004</v>
      </c>
      <c r="JO88">
        <v>0</v>
      </c>
      <c r="JP88">
        <v>94.008438999999996</v>
      </c>
      <c r="JQ88">
        <v>3.913043</v>
      </c>
      <c r="JR88">
        <v>86.148109000000005</v>
      </c>
      <c r="JS88" t="s">
        <v>114</v>
      </c>
      <c r="JT88" t="s">
        <v>114</v>
      </c>
      <c r="JU88">
        <v>89.149242999999998</v>
      </c>
      <c r="JV88" t="s">
        <v>114</v>
      </c>
      <c r="JW88">
        <v>40.229885000000003</v>
      </c>
      <c r="JX88" t="s">
        <v>114</v>
      </c>
      <c r="JY88">
        <v>5.9340659999999996</v>
      </c>
      <c r="JZ88" t="s">
        <v>114</v>
      </c>
      <c r="KA88" t="s">
        <v>114</v>
      </c>
      <c r="KB88">
        <v>0</v>
      </c>
      <c r="KC88">
        <v>0</v>
      </c>
      <c r="KD88">
        <v>97.188845999999998</v>
      </c>
      <c r="KE88">
        <v>50.892856999999999</v>
      </c>
      <c r="KF88">
        <v>98.479087000000007</v>
      </c>
      <c r="KG88">
        <v>98.193336000000002</v>
      </c>
      <c r="KH88">
        <v>0</v>
      </c>
      <c r="KI88">
        <v>88.266199999999998</v>
      </c>
      <c r="KJ88">
        <v>15.217390999999999</v>
      </c>
      <c r="KK88">
        <v>99.249583000000001</v>
      </c>
      <c r="KL88">
        <v>0</v>
      </c>
      <c r="KM88">
        <v>97.924081000000001</v>
      </c>
      <c r="KN88">
        <v>98.175047000000006</v>
      </c>
      <c r="KO88">
        <v>0</v>
      </c>
      <c r="KP88">
        <v>98.346601000000007</v>
      </c>
      <c r="KQ88">
        <v>87.680704000000006</v>
      </c>
      <c r="KR88">
        <v>97.053725999999997</v>
      </c>
      <c r="KS88">
        <v>98.332221000000004</v>
      </c>
      <c r="KT88">
        <v>93.629874000000001</v>
      </c>
      <c r="KU88">
        <v>0</v>
      </c>
      <c r="KV88">
        <v>22.881356</v>
      </c>
      <c r="KW88">
        <v>94.187321999999995</v>
      </c>
      <c r="KX88">
        <v>41.523342</v>
      </c>
      <c r="KY88">
        <v>94.216571000000002</v>
      </c>
      <c r="KZ88">
        <v>16.842105</v>
      </c>
      <c r="LA88">
        <v>96.243291999999997</v>
      </c>
      <c r="LB88">
        <v>93.721564999999998</v>
      </c>
      <c r="LC88">
        <v>97.430014</v>
      </c>
      <c r="LD88">
        <v>0</v>
      </c>
      <c r="LE88">
        <v>78.549539999999993</v>
      </c>
      <c r="LF88">
        <v>58.542713999999997</v>
      </c>
      <c r="LG88">
        <v>96.262887000000006</v>
      </c>
      <c r="LH88">
        <v>83.924842999999996</v>
      </c>
      <c r="LI88">
        <v>93.517330000000001</v>
      </c>
      <c r="LJ88">
        <v>95.344886000000002</v>
      </c>
      <c r="LK88">
        <v>90.232956000000001</v>
      </c>
      <c r="LL88">
        <v>96.393232999999995</v>
      </c>
      <c r="LM88">
        <v>93.270036000000005</v>
      </c>
      <c r="LN88">
        <v>46.88</v>
      </c>
      <c r="LO88">
        <v>95.148184000000001</v>
      </c>
      <c r="LP88">
        <v>94.054306999999994</v>
      </c>
      <c r="LQ88">
        <v>92.176259000000002</v>
      </c>
      <c r="LR88" t="s">
        <v>114</v>
      </c>
      <c r="LS88">
        <v>65.324674999999999</v>
      </c>
      <c r="LT88">
        <v>96.052632000000003</v>
      </c>
      <c r="LU88">
        <v>95.164540000000002</v>
      </c>
      <c r="LV88">
        <v>96.270818000000006</v>
      </c>
      <c r="LW88">
        <v>3.9548019999999999</v>
      </c>
      <c r="LX88">
        <v>96.311239</v>
      </c>
      <c r="LY88">
        <v>94.819021000000006</v>
      </c>
      <c r="LZ88">
        <v>11.920529999999999</v>
      </c>
      <c r="MA88">
        <v>98.278829999999999</v>
      </c>
      <c r="MB88">
        <v>93.999015999999997</v>
      </c>
      <c r="MC88">
        <v>27.514793000000001</v>
      </c>
      <c r="MD88">
        <v>96.657060999999999</v>
      </c>
      <c r="ME88">
        <v>99.844824000000003</v>
      </c>
      <c r="MF88">
        <v>96.059725999999998</v>
      </c>
      <c r="MG88">
        <v>30.324909999999999</v>
      </c>
      <c r="MH88">
        <v>49.588138000000001</v>
      </c>
      <c r="MI88">
        <v>96.671491000000003</v>
      </c>
      <c r="MJ88">
        <v>94.156627</v>
      </c>
      <c r="MK88">
        <v>97.652320000000003</v>
      </c>
      <c r="ML88">
        <v>0</v>
      </c>
      <c r="MM88">
        <v>96.517954000000003</v>
      </c>
      <c r="MN88">
        <v>96.590496999999999</v>
      </c>
      <c r="MO88">
        <v>95.573441000000003</v>
      </c>
      <c r="MP88">
        <v>98.806584000000001</v>
      </c>
      <c r="MQ88">
        <v>23.459716</v>
      </c>
      <c r="MR88">
        <v>98.010974000000004</v>
      </c>
      <c r="MS88">
        <v>0</v>
      </c>
      <c r="MT88">
        <v>98.562368000000006</v>
      </c>
      <c r="MU88">
        <v>93.971363999999994</v>
      </c>
      <c r="MV88">
        <v>98.262381000000005</v>
      </c>
      <c r="MW88">
        <v>98.905835999999994</v>
      </c>
      <c r="MX88">
        <v>0</v>
      </c>
      <c r="MY88">
        <v>0</v>
      </c>
      <c r="MZ88">
        <v>98.628998999999993</v>
      </c>
      <c r="NA88">
        <v>94.723926000000006</v>
      </c>
      <c r="NB88">
        <v>11.693548</v>
      </c>
      <c r="NC88">
        <v>97.065782999999996</v>
      </c>
      <c r="ND88">
        <v>97.509934000000001</v>
      </c>
      <c r="NE88">
        <v>84.665428000000006</v>
      </c>
      <c r="NF88">
        <v>77.678571000000005</v>
      </c>
      <c r="NG88">
        <v>51.612903000000003</v>
      </c>
      <c r="NH88">
        <v>98.599034000000003</v>
      </c>
      <c r="NI88">
        <v>84.321224000000001</v>
      </c>
      <c r="NJ88">
        <v>99.237767000000005</v>
      </c>
      <c r="NK88">
        <v>27.441859999999998</v>
      </c>
      <c r="NL88">
        <v>99.080359000000001</v>
      </c>
      <c r="NM88">
        <v>98.552278999999999</v>
      </c>
      <c r="NN88">
        <v>98.277384999999995</v>
      </c>
      <c r="NO88">
        <v>98.998918000000003</v>
      </c>
      <c r="NP88">
        <v>99.696827999999996</v>
      </c>
      <c r="NQ88">
        <v>1.8461540000000001</v>
      </c>
      <c r="NR88">
        <v>96.396395999999996</v>
      </c>
      <c r="NS88">
        <v>95.568983000000003</v>
      </c>
      <c r="NT88">
        <v>98.118585999999993</v>
      </c>
      <c r="NU88">
        <v>97.125</v>
      </c>
      <c r="NV88">
        <v>95.708877000000001</v>
      </c>
      <c r="NW88">
        <v>91.457587000000004</v>
      </c>
      <c r="NX88">
        <v>93.705462999999995</v>
      </c>
      <c r="NY88">
        <v>0</v>
      </c>
      <c r="NZ88">
        <v>0</v>
      </c>
      <c r="OA88">
        <v>42.051282</v>
      </c>
      <c r="OB88">
        <v>97.784937999999997</v>
      </c>
      <c r="OC88">
        <v>92.765957</v>
      </c>
      <c r="OD88">
        <v>56.198346999999998</v>
      </c>
      <c r="OE88">
        <v>48.808172999999996</v>
      </c>
      <c r="OF88">
        <v>5.8823530000000002</v>
      </c>
      <c r="OG88">
        <v>96.964331000000001</v>
      </c>
      <c r="OH88">
        <v>86.488534999999999</v>
      </c>
      <c r="OI88" t="s">
        <v>114</v>
      </c>
      <c r="OJ88">
        <v>97.628866000000002</v>
      </c>
      <c r="OK88">
        <v>97.129187000000002</v>
      </c>
      <c r="OL88">
        <v>85.430808999999996</v>
      </c>
      <c r="OM88">
        <v>71.670907999999997</v>
      </c>
      <c r="ON88">
        <v>91.408355999999998</v>
      </c>
      <c r="OO88" t="s">
        <v>114</v>
      </c>
      <c r="OP88">
        <v>88.519924000000003</v>
      </c>
      <c r="OQ88" t="s">
        <v>114</v>
      </c>
      <c r="OR88">
        <v>0</v>
      </c>
      <c r="OS88">
        <v>5.6657219999999997</v>
      </c>
      <c r="OT88" t="s">
        <v>114</v>
      </c>
      <c r="OU88" t="s">
        <v>114</v>
      </c>
      <c r="OV88" t="s">
        <v>114</v>
      </c>
      <c r="OW88">
        <v>0</v>
      </c>
      <c r="OX88">
        <v>0</v>
      </c>
      <c r="OY88">
        <v>0</v>
      </c>
      <c r="OZ88" t="s">
        <v>114</v>
      </c>
      <c r="PA88" t="s">
        <v>114</v>
      </c>
      <c r="PB88">
        <v>95.712310000000002</v>
      </c>
      <c r="PC88">
        <v>96.002686999999995</v>
      </c>
      <c r="PD88">
        <v>0</v>
      </c>
      <c r="PE88">
        <v>91.698401000000004</v>
      </c>
      <c r="PF88">
        <v>51.264980000000001</v>
      </c>
      <c r="PG88">
        <v>90.091265000000007</v>
      </c>
      <c r="PH88">
        <v>88.338414999999998</v>
      </c>
      <c r="PI88">
        <v>35.795454999999997</v>
      </c>
      <c r="PJ88">
        <v>62.403697999999999</v>
      </c>
      <c r="PK88">
        <v>91.480206999999993</v>
      </c>
      <c r="PL88">
        <v>3.9603959999999998</v>
      </c>
      <c r="PM88">
        <v>84.490590999999995</v>
      </c>
      <c r="PN88" t="s">
        <v>114</v>
      </c>
      <c r="PO88">
        <v>0</v>
      </c>
      <c r="PP88">
        <v>44.902386</v>
      </c>
      <c r="PQ88">
        <v>69.543509</v>
      </c>
      <c r="PR88">
        <v>78.768844000000001</v>
      </c>
      <c r="PS88">
        <v>95.660307000000003</v>
      </c>
      <c r="PT88">
        <v>18.811881</v>
      </c>
      <c r="PU88">
        <v>94.802695</v>
      </c>
      <c r="PV88">
        <v>97.014493000000002</v>
      </c>
      <c r="PW88">
        <v>95.844385000000003</v>
      </c>
      <c r="PX88">
        <v>95.793015999999994</v>
      </c>
      <c r="PY88">
        <v>81.965734999999995</v>
      </c>
      <c r="PZ88">
        <v>97.128873999999996</v>
      </c>
      <c r="QA88">
        <v>63.541666999999997</v>
      </c>
      <c r="QB88">
        <v>80.809398999999999</v>
      </c>
      <c r="QC88">
        <v>54</v>
      </c>
      <c r="QD88">
        <v>92.643845999999996</v>
      </c>
      <c r="QE88">
        <v>83.119906999999998</v>
      </c>
      <c r="QF88">
        <v>49.514563000000003</v>
      </c>
      <c r="QG88">
        <v>95.067818000000003</v>
      </c>
      <c r="QH88">
        <v>0</v>
      </c>
      <c r="QI88" t="s">
        <v>114</v>
      </c>
      <c r="QJ88">
        <v>98.020304999999993</v>
      </c>
      <c r="QK88">
        <v>89.065606000000002</v>
      </c>
      <c r="QL88">
        <v>0</v>
      </c>
      <c r="QM88">
        <v>83.415841999999998</v>
      </c>
      <c r="QN88">
        <v>0</v>
      </c>
      <c r="QO88">
        <v>12.610619</v>
      </c>
      <c r="QP88">
        <v>36.208733000000002</v>
      </c>
      <c r="QQ88">
        <v>0</v>
      </c>
      <c r="QR88">
        <v>0</v>
      </c>
      <c r="QS88">
        <v>57.628675999999999</v>
      </c>
      <c r="QT88" t="s">
        <v>114</v>
      </c>
      <c r="QU88" t="s">
        <v>114</v>
      </c>
      <c r="QV88">
        <v>86.166726999999995</v>
      </c>
      <c r="QW88">
        <v>90.943922000000001</v>
      </c>
      <c r="QX88">
        <v>21.686747</v>
      </c>
      <c r="QY88">
        <v>46.537396000000001</v>
      </c>
      <c r="QZ88">
        <v>92.387405000000001</v>
      </c>
      <c r="RA88">
        <v>96.238938000000005</v>
      </c>
      <c r="RB88">
        <v>95.116338999999996</v>
      </c>
      <c r="RC88">
        <v>61.925412000000001</v>
      </c>
      <c r="RD88">
        <v>64.397163000000006</v>
      </c>
      <c r="RE88">
        <v>94.260401000000002</v>
      </c>
      <c r="RF88">
        <v>85.900783000000004</v>
      </c>
      <c r="RG88">
        <v>93.203343000000004</v>
      </c>
      <c r="RH88">
        <v>43.225805999999999</v>
      </c>
      <c r="RI88">
        <v>72.65625</v>
      </c>
      <c r="RJ88">
        <v>96.688004000000006</v>
      </c>
      <c r="RK88">
        <v>88.028169000000005</v>
      </c>
      <c r="RL88">
        <v>91.573034000000007</v>
      </c>
      <c r="RM88">
        <v>92.472477999999995</v>
      </c>
      <c r="RN88">
        <v>0</v>
      </c>
      <c r="RO88">
        <v>95.433391999999998</v>
      </c>
      <c r="RP88">
        <v>10</v>
      </c>
      <c r="RQ88">
        <v>94.777191999999999</v>
      </c>
      <c r="RR88">
        <v>93.767442000000003</v>
      </c>
      <c r="RS88">
        <v>46.442687999999997</v>
      </c>
      <c r="RT88">
        <v>93.805310000000006</v>
      </c>
      <c r="RU88">
        <v>38.311687999999997</v>
      </c>
      <c r="RV88">
        <v>95.430108000000004</v>
      </c>
      <c r="RW88">
        <v>93.919886000000005</v>
      </c>
      <c r="RX88">
        <v>9.2233009999999993</v>
      </c>
      <c r="RY88">
        <v>97.237897000000004</v>
      </c>
      <c r="RZ88">
        <v>94.124700000000004</v>
      </c>
      <c r="SA88">
        <v>22.028986</v>
      </c>
      <c r="SB88">
        <v>13.861386</v>
      </c>
      <c r="SC88">
        <v>87.755101999999994</v>
      </c>
      <c r="SD88">
        <v>89.969605000000001</v>
      </c>
      <c r="SE88">
        <v>94.973963999999995</v>
      </c>
      <c r="SF88">
        <v>87.765293</v>
      </c>
      <c r="SG88">
        <v>93.249257999999998</v>
      </c>
      <c r="SH88">
        <v>0</v>
      </c>
      <c r="SI88">
        <v>96.473495</v>
      </c>
      <c r="SJ88">
        <v>54.391534</v>
      </c>
      <c r="SK88" t="s">
        <v>114</v>
      </c>
      <c r="SL88">
        <v>0</v>
      </c>
      <c r="SM88">
        <v>29.274611</v>
      </c>
      <c r="SN88">
        <v>94.121460999999996</v>
      </c>
      <c r="SO88">
        <v>0</v>
      </c>
      <c r="SP88">
        <v>64.171122999999994</v>
      </c>
      <c r="SQ88">
        <v>32.888888999999999</v>
      </c>
      <c r="SR88">
        <v>91.751592000000002</v>
      </c>
      <c r="SS88">
        <v>93.254637000000002</v>
      </c>
      <c r="ST88">
        <v>51.464435000000002</v>
      </c>
      <c r="SU88">
        <v>78.829786999999996</v>
      </c>
      <c r="SV88">
        <v>10.370369999999999</v>
      </c>
      <c r="SW88">
        <v>84.556406999999993</v>
      </c>
      <c r="SX88">
        <v>20</v>
      </c>
      <c r="SY88">
        <v>94.295900000000003</v>
      </c>
      <c r="SZ88">
        <v>67.857142999999994</v>
      </c>
      <c r="TA88">
        <v>85.171103000000002</v>
      </c>
      <c r="TB88">
        <v>89.980732000000003</v>
      </c>
      <c r="TC88">
        <v>91.854636999999997</v>
      </c>
      <c r="TD88">
        <v>88.006951999999998</v>
      </c>
      <c r="TE88">
        <v>93.142857000000006</v>
      </c>
      <c r="TF88">
        <v>86.809815999999998</v>
      </c>
      <c r="TG88">
        <v>76.348547999999994</v>
      </c>
      <c r="TH88">
        <v>96.992480999999998</v>
      </c>
      <c r="TI88">
        <v>79.694655999999995</v>
      </c>
      <c r="TJ88">
        <v>0</v>
      </c>
      <c r="TK88">
        <v>52.246470000000002</v>
      </c>
      <c r="TL88" t="s">
        <v>114</v>
      </c>
      <c r="TM88">
        <v>0</v>
      </c>
      <c r="TN88">
        <v>81.525156999999993</v>
      </c>
      <c r="TO88" t="s">
        <v>114</v>
      </c>
      <c r="TP88">
        <v>64.023933999999997</v>
      </c>
      <c r="TQ88">
        <v>75.639300000000006</v>
      </c>
      <c r="TR88">
        <v>31.784841</v>
      </c>
      <c r="TS88">
        <v>30.925222000000002</v>
      </c>
      <c r="TT88">
        <v>2.3584909999999999</v>
      </c>
      <c r="TU88" t="s">
        <v>114</v>
      </c>
      <c r="TV88">
        <v>59.778598000000002</v>
      </c>
      <c r="TW88">
        <v>5.4117649999999999</v>
      </c>
      <c r="TX88">
        <v>85.180092999999999</v>
      </c>
      <c r="TY88" t="s">
        <v>114</v>
      </c>
      <c r="TZ88">
        <v>90.779497000000006</v>
      </c>
      <c r="UA88">
        <v>90.931223000000003</v>
      </c>
      <c r="UB88">
        <v>83.135135000000005</v>
      </c>
      <c r="UC88">
        <v>0</v>
      </c>
      <c r="UD88">
        <v>70.074813000000006</v>
      </c>
      <c r="UE88">
        <v>78.680982</v>
      </c>
      <c r="UF88">
        <v>72.179156000000006</v>
      </c>
      <c r="UG88">
        <v>71.299093999999997</v>
      </c>
      <c r="UH88">
        <v>0</v>
      </c>
      <c r="UI88">
        <v>83.290011000000007</v>
      </c>
      <c r="UJ88">
        <v>78.920953999999995</v>
      </c>
      <c r="UK88">
        <v>56.205250999999997</v>
      </c>
      <c r="UL88">
        <v>83.818342000000001</v>
      </c>
      <c r="UM88">
        <v>0</v>
      </c>
      <c r="UN88" t="s">
        <v>114</v>
      </c>
      <c r="UO88" t="s">
        <v>114</v>
      </c>
      <c r="UP88">
        <v>86.639259999999993</v>
      </c>
      <c r="UQ88">
        <v>0</v>
      </c>
      <c r="UR88">
        <v>90.548424999999995</v>
      </c>
      <c r="US88">
        <v>90.494297000000003</v>
      </c>
      <c r="UT88">
        <v>78.580324000000005</v>
      </c>
      <c r="UU88">
        <v>87.516255000000001</v>
      </c>
      <c r="UV88">
        <v>80.534918000000005</v>
      </c>
      <c r="UW88" t="s">
        <v>114</v>
      </c>
      <c r="UX88">
        <v>90.677158000000006</v>
      </c>
      <c r="UY88">
        <v>85.125241000000003</v>
      </c>
      <c r="UZ88">
        <v>0</v>
      </c>
      <c r="VA88">
        <v>92.956569999999999</v>
      </c>
      <c r="VB88">
        <v>29.72973</v>
      </c>
      <c r="VC88" t="s">
        <v>114</v>
      </c>
      <c r="VD88">
        <v>13.360324</v>
      </c>
      <c r="VE88">
        <v>81.334723999999994</v>
      </c>
      <c r="VF88">
        <v>88.739863</v>
      </c>
      <c r="VG88">
        <v>48.440367000000002</v>
      </c>
      <c r="VH88">
        <v>58.520476000000002</v>
      </c>
      <c r="VI88">
        <v>0</v>
      </c>
      <c r="VJ88" t="s">
        <v>114</v>
      </c>
      <c r="VK88" t="s">
        <v>114</v>
      </c>
      <c r="VL88" t="s">
        <v>114</v>
      </c>
      <c r="VM88" t="s">
        <v>114</v>
      </c>
      <c r="VN88">
        <v>17.5</v>
      </c>
      <c r="VO88">
        <v>82.344532000000001</v>
      </c>
      <c r="VP88">
        <v>55.172414000000003</v>
      </c>
      <c r="VQ88">
        <v>68.598130999999995</v>
      </c>
      <c r="VR88">
        <v>32.631579000000002</v>
      </c>
      <c r="VS88">
        <v>62.255965000000003</v>
      </c>
      <c r="VT88" t="s">
        <v>114</v>
      </c>
      <c r="VU88">
        <v>41.421143999999998</v>
      </c>
      <c r="VV88">
        <v>0</v>
      </c>
      <c r="VW88">
        <v>7.1428570000000002</v>
      </c>
      <c r="VX88">
        <v>0</v>
      </c>
      <c r="VY88">
        <v>86.519420999999994</v>
      </c>
      <c r="VZ88">
        <v>87.645478999999995</v>
      </c>
      <c r="WA88">
        <v>0</v>
      </c>
      <c r="WB88" t="s">
        <v>114</v>
      </c>
      <c r="WC88">
        <v>0</v>
      </c>
      <c r="WD88">
        <v>32.530119999999997</v>
      </c>
      <c r="WE88">
        <v>39.398280999999997</v>
      </c>
      <c r="WF88">
        <v>37.923839000000001</v>
      </c>
      <c r="WG88">
        <v>73.684211000000005</v>
      </c>
      <c r="WH88" t="s">
        <v>114</v>
      </c>
      <c r="WI88">
        <v>52.790179000000002</v>
      </c>
      <c r="WJ88">
        <v>29.220779</v>
      </c>
      <c r="WK88">
        <v>81.548249999999996</v>
      </c>
      <c r="WL88">
        <v>0</v>
      </c>
      <c r="WM88">
        <v>50.091074999999996</v>
      </c>
      <c r="WN88">
        <v>85.915492999999998</v>
      </c>
      <c r="WO88">
        <v>36.439627999999999</v>
      </c>
      <c r="WP88">
        <v>77.552987000000002</v>
      </c>
      <c r="WQ88">
        <v>93.451211999999998</v>
      </c>
      <c r="WR88">
        <v>0</v>
      </c>
      <c r="WS88">
        <v>90.298153999999997</v>
      </c>
      <c r="WT88" t="s">
        <v>114</v>
      </c>
      <c r="WU88">
        <v>16.239315999999999</v>
      </c>
      <c r="WV88" t="s">
        <v>114</v>
      </c>
      <c r="WW88">
        <v>31.481480999999999</v>
      </c>
      <c r="WX88">
        <v>6.6666670000000003</v>
      </c>
      <c r="WY88">
        <v>12.903226</v>
      </c>
      <c r="WZ88">
        <v>0</v>
      </c>
      <c r="XA88">
        <v>21.179625000000001</v>
      </c>
      <c r="XB88">
        <v>0</v>
      </c>
      <c r="XC88">
        <v>26.909091</v>
      </c>
      <c r="XD88">
        <v>8.1395350000000004</v>
      </c>
      <c r="XE88">
        <v>67.313433000000003</v>
      </c>
      <c r="XF88">
        <v>0</v>
      </c>
      <c r="XG88">
        <v>54.116866000000002</v>
      </c>
      <c r="XH88">
        <v>84.397630000000007</v>
      </c>
      <c r="XI88">
        <v>7.2463769999999998</v>
      </c>
      <c r="XJ88">
        <v>39.416058</v>
      </c>
      <c r="XK88">
        <v>66.494550000000004</v>
      </c>
      <c r="XL88">
        <v>39.864865000000002</v>
      </c>
      <c r="XM88">
        <v>86.230440999999999</v>
      </c>
      <c r="XN88">
        <v>67.179768999999993</v>
      </c>
      <c r="XO88">
        <v>31.950206999999999</v>
      </c>
      <c r="XP88">
        <v>0</v>
      </c>
      <c r="XQ88">
        <v>0</v>
      </c>
      <c r="XR88">
        <v>20.639534999999999</v>
      </c>
      <c r="XS88">
        <v>54.078946999999999</v>
      </c>
      <c r="XT88">
        <v>83.757962000000006</v>
      </c>
      <c r="XU88">
        <v>0</v>
      </c>
      <c r="XV88">
        <v>0</v>
      </c>
      <c r="XW88">
        <v>0</v>
      </c>
      <c r="XX88">
        <v>64.749813000000003</v>
      </c>
      <c r="XY88">
        <v>65.538461999999996</v>
      </c>
      <c r="XZ88">
        <v>27.962084999999998</v>
      </c>
      <c r="YA88">
        <v>26.347304999999999</v>
      </c>
      <c r="YB88">
        <v>21.642969999999998</v>
      </c>
      <c r="YC88">
        <v>75.453209000000001</v>
      </c>
      <c r="YD88">
        <v>0</v>
      </c>
      <c r="YE88">
        <v>25.857143000000001</v>
      </c>
      <c r="YF88">
        <v>0</v>
      </c>
      <c r="YG88">
        <v>81.920551000000003</v>
      </c>
      <c r="YH88">
        <v>0</v>
      </c>
      <c r="YI88" t="s">
        <v>114</v>
      </c>
      <c r="YJ88">
        <v>77.953131999999997</v>
      </c>
      <c r="YK88">
        <v>81.244743</v>
      </c>
      <c r="YL88">
        <v>69.904548000000005</v>
      </c>
      <c r="YM88">
        <v>61.759</v>
      </c>
      <c r="YN88" t="s">
        <v>114</v>
      </c>
      <c r="YO88" t="s">
        <v>114</v>
      </c>
      <c r="YP88">
        <v>0</v>
      </c>
      <c r="YQ88">
        <v>78.930094999999994</v>
      </c>
      <c r="YR88">
        <v>63.850836999999999</v>
      </c>
      <c r="YS88">
        <v>34.865900000000003</v>
      </c>
      <c r="YT88" t="s">
        <v>114</v>
      </c>
      <c r="YU88">
        <v>73.915163000000007</v>
      </c>
      <c r="YV88">
        <v>80.562659999999994</v>
      </c>
      <c r="YW88">
        <v>0</v>
      </c>
      <c r="YX88">
        <v>0</v>
      </c>
      <c r="YY88">
        <v>5.9523809999999999</v>
      </c>
      <c r="YZ88">
        <v>49.426485999999997</v>
      </c>
      <c r="ZA88">
        <v>71.937531000000007</v>
      </c>
      <c r="ZB88">
        <v>0</v>
      </c>
      <c r="ZC88">
        <v>55.419074999999999</v>
      </c>
      <c r="ZD88">
        <v>69.353948000000003</v>
      </c>
      <c r="ZE88">
        <v>78.205128000000002</v>
      </c>
      <c r="ZF88">
        <v>4.7619049999999996</v>
      </c>
      <c r="ZG88">
        <v>38.943894</v>
      </c>
      <c r="ZH88">
        <v>55.988858</v>
      </c>
      <c r="ZI88">
        <v>22.443182</v>
      </c>
      <c r="ZJ88">
        <v>65.217391000000006</v>
      </c>
      <c r="ZK88" t="s">
        <v>114</v>
      </c>
      <c r="ZL88">
        <v>56.737589</v>
      </c>
      <c r="ZM88">
        <v>19.942197</v>
      </c>
      <c r="ZN88">
        <v>9.3333329999999997</v>
      </c>
      <c r="ZO88">
        <v>32.352941000000001</v>
      </c>
      <c r="ZP88">
        <v>0</v>
      </c>
      <c r="ZQ88" t="s">
        <v>114</v>
      </c>
      <c r="ZR88" t="s">
        <v>114</v>
      </c>
      <c r="ZS88">
        <v>0</v>
      </c>
      <c r="ZT88" t="s">
        <v>114</v>
      </c>
      <c r="ZU88" t="s">
        <v>114</v>
      </c>
      <c r="ZV88">
        <v>71.719457000000006</v>
      </c>
      <c r="ZW88" t="s">
        <v>114</v>
      </c>
      <c r="ZX88">
        <v>15.946844</v>
      </c>
      <c r="ZY88">
        <v>36.273114999999997</v>
      </c>
      <c r="ZZ88">
        <v>97.037036999999998</v>
      </c>
      <c r="AAA88">
        <v>60.474089999999997</v>
      </c>
      <c r="AAB88">
        <v>14.337789000000001</v>
      </c>
      <c r="AAC88">
        <v>28.571428999999998</v>
      </c>
      <c r="AAD88">
        <v>83.024082000000007</v>
      </c>
      <c r="AAE88">
        <v>33.811230999999999</v>
      </c>
      <c r="AAF88">
        <v>22.46696</v>
      </c>
      <c r="AAG88">
        <v>40.326974999999997</v>
      </c>
      <c r="AAH88">
        <v>0</v>
      </c>
      <c r="AAI88">
        <v>27.41433</v>
      </c>
      <c r="AAJ88">
        <v>2.1943570000000001</v>
      </c>
      <c r="AAK88" t="s">
        <v>114</v>
      </c>
      <c r="AAL88" t="s">
        <v>114</v>
      </c>
      <c r="AAM88">
        <v>50.697085000000001</v>
      </c>
      <c r="AAN88">
        <v>78.306612999999999</v>
      </c>
      <c r="AAO88">
        <v>29.852941000000001</v>
      </c>
      <c r="AAP88" t="s">
        <v>114</v>
      </c>
      <c r="AAQ88">
        <v>36.402265999999997</v>
      </c>
      <c r="AAR88">
        <v>59.251969000000003</v>
      </c>
      <c r="AAS88" t="s">
        <v>114</v>
      </c>
      <c r="AAT88">
        <v>5.4298640000000002</v>
      </c>
      <c r="AAU88">
        <v>10.10101</v>
      </c>
      <c r="AAV88">
        <v>3.5714290000000002</v>
      </c>
      <c r="AAW88">
        <v>75.958188000000007</v>
      </c>
      <c r="AAX88">
        <v>0</v>
      </c>
      <c r="AAY88">
        <v>74.577258999999998</v>
      </c>
      <c r="AAZ88">
        <v>0</v>
      </c>
      <c r="ABA88">
        <v>78.866506999999999</v>
      </c>
      <c r="ABB88">
        <v>66.153846000000001</v>
      </c>
      <c r="ABC88">
        <v>88.652975999999995</v>
      </c>
      <c r="ABD88" t="s">
        <v>114</v>
      </c>
      <c r="ABE88">
        <v>71.984925000000004</v>
      </c>
      <c r="ABF88" t="s">
        <v>114</v>
      </c>
      <c r="ABG88">
        <v>80.476412999999994</v>
      </c>
      <c r="ABH88">
        <v>74.475138000000001</v>
      </c>
      <c r="ABI88" t="s">
        <v>114</v>
      </c>
      <c r="ABJ88">
        <v>29.004854000000002</v>
      </c>
      <c r="ABK88">
        <v>83.518006</v>
      </c>
      <c r="ABL88">
        <v>11.111110999999999</v>
      </c>
      <c r="ABM88">
        <v>72.081711999999996</v>
      </c>
      <c r="ABN88">
        <v>0</v>
      </c>
      <c r="ABO88" t="s">
        <v>114</v>
      </c>
      <c r="ABP88">
        <v>10.043668</v>
      </c>
      <c r="ABQ88">
        <v>0</v>
      </c>
      <c r="ABR88">
        <v>51.135733999999999</v>
      </c>
      <c r="ABS88">
        <v>84.586466000000001</v>
      </c>
      <c r="ABT88" t="s">
        <v>114</v>
      </c>
      <c r="ABU88" t="s">
        <v>114</v>
      </c>
      <c r="ABV88">
        <v>0</v>
      </c>
      <c r="ABW88">
        <v>0</v>
      </c>
      <c r="ABX88">
        <v>16.101694999999999</v>
      </c>
      <c r="ABY88">
        <v>0</v>
      </c>
      <c r="ABZ88">
        <v>79.728478999999993</v>
      </c>
      <c r="ACA88">
        <v>68.016957000000005</v>
      </c>
      <c r="ACB88">
        <v>0</v>
      </c>
      <c r="ACC88">
        <v>63.149687999999998</v>
      </c>
      <c r="ACD88" t="s">
        <v>114</v>
      </c>
      <c r="ACE88">
        <v>0</v>
      </c>
      <c r="ACF88" t="s">
        <v>114</v>
      </c>
      <c r="ACG88" t="s">
        <v>114</v>
      </c>
      <c r="ACH88">
        <v>0</v>
      </c>
      <c r="ACI88">
        <v>0</v>
      </c>
      <c r="ACJ88">
        <v>0</v>
      </c>
      <c r="ACK88">
        <v>62.106982000000002</v>
      </c>
      <c r="ACL88">
        <v>56.25</v>
      </c>
      <c r="ACM88">
        <v>0</v>
      </c>
      <c r="ACN88">
        <v>10.8</v>
      </c>
      <c r="ACO88">
        <v>43.590780000000002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zoomScale="75" zoomScaleNormal="75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48.7109375" style="12" bestFit="1" customWidth="1"/>
    <col min="2" max="17" width="9.28515625" bestFit="1" customWidth="1"/>
    <col min="18" max="25" width="10.5703125" bestFit="1" customWidth="1"/>
  </cols>
  <sheetData>
    <row r="1" spans="1:26" x14ac:dyDescent="0.25">
      <c r="A1" s="10" t="s">
        <v>901</v>
      </c>
      <c r="B1" t="s">
        <v>902</v>
      </c>
    </row>
    <row r="2" spans="1:26" x14ac:dyDescent="0.25">
      <c r="A2" s="11"/>
      <c r="B2" t="s">
        <v>903</v>
      </c>
      <c r="I2" s="3"/>
      <c r="J2" t="s">
        <v>904</v>
      </c>
      <c r="Q2" s="3"/>
      <c r="R2" t="s">
        <v>905</v>
      </c>
      <c r="Y2" s="8"/>
      <c r="Z2" s="6" t="s">
        <v>906</v>
      </c>
    </row>
    <row r="3" spans="1:26" ht="15.75" x14ac:dyDescent="0.25">
      <c r="A3" s="13"/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s="3" t="s">
        <v>43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s="3" t="s">
        <v>43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s="8" t="s">
        <v>43</v>
      </c>
      <c r="Z3" s="6" t="s">
        <v>907</v>
      </c>
    </row>
    <row r="4" spans="1:26" x14ac:dyDescent="0.25">
      <c r="A4" s="11" t="s">
        <v>76</v>
      </c>
      <c r="I4" s="3"/>
      <c r="Q4" s="3"/>
      <c r="Y4" s="8"/>
      <c r="Z4" s="6"/>
    </row>
    <row r="5" spans="1:26" ht="15.75" x14ac:dyDescent="0.25">
      <c r="A5" s="13" t="s">
        <v>908</v>
      </c>
      <c r="I5" s="3"/>
      <c r="Q5" s="3"/>
      <c r="R5" s="4" t="str">
        <f t="shared" ref="R5:R47" si="0">IF(ISBLANK(J5),"",J5/B5*100)</f>
        <v/>
      </c>
      <c r="S5" s="4" t="str">
        <f t="shared" ref="S5:S47" si="1">IF(ISBLANK(K5),"",K5/C5*100)</f>
        <v/>
      </c>
      <c r="T5" s="4" t="str">
        <f t="shared" ref="T5:T47" si="2">IF(ISBLANK(L5),"",L5/D5*100)</f>
        <v/>
      </c>
      <c r="U5" s="4" t="str">
        <f t="shared" ref="U5:U47" si="3">IF(ISBLANK(M5),"",M5/E5*100)</f>
        <v/>
      </c>
      <c r="V5" s="4" t="str">
        <f t="shared" ref="V5:V47" si="4">IF(ISBLANK(N5),"",N5/F5*100)</f>
        <v/>
      </c>
      <c r="W5" s="4" t="str">
        <f t="shared" ref="W5:W47" si="5">IF(ISBLANK(O5),"",O5/G5*100)</f>
        <v/>
      </c>
      <c r="X5" s="4" t="str">
        <f t="shared" ref="X5:X47" si="6">IF(ISBLANK(P5),"",P5/H5*100)</f>
        <v/>
      </c>
      <c r="Y5" s="9" t="str">
        <f t="shared" ref="Y5:Y47" si="7">IF(ISBLANK(Q5),"",Q5/I5*100)</f>
        <v/>
      </c>
      <c r="Z5" s="7" t="e">
        <f t="shared" ref="Z5:Z47" si="8">AVERAGE(R5:Y5)</f>
        <v>#DIV/0!</v>
      </c>
    </row>
    <row r="6" spans="1:26" x14ac:dyDescent="0.25">
      <c r="A6" s="11" t="s">
        <v>78</v>
      </c>
      <c r="B6">
        <v>15958</v>
      </c>
      <c r="C6">
        <v>7214</v>
      </c>
      <c r="D6">
        <v>12770</v>
      </c>
      <c r="E6">
        <v>16345</v>
      </c>
      <c r="F6">
        <v>10691</v>
      </c>
      <c r="G6">
        <v>15503</v>
      </c>
      <c r="H6">
        <v>11720</v>
      </c>
      <c r="I6" s="3">
        <v>19650</v>
      </c>
      <c r="J6">
        <v>19127</v>
      </c>
      <c r="K6">
        <v>8318</v>
      </c>
      <c r="L6">
        <v>14441</v>
      </c>
      <c r="M6">
        <v>18009</v>
      </c>
      <c r="N6">
        <v>11994</v>
      </c>
      <c r="O6">
        <v>16970</v>
      </c>
      <c r="P6">
        <v>11975</v>
      </c>
      <c r="Q6" s="3">
        <v>20152</v>
      </c>
      <c r="R6" s="4">
        <f t="shared" si="0"/>
        <v>119.85837824288758</v>
      </c>
      <c r="S6" s="4">
        <f t="shared" si="1"/>
        <v>115.30357637926254</v>
      </c>
      <c r="T6" s="4">
        <f t="shared" si="2"/>
        <v>113.08535630383712</v>
      </c>
      <c r="U6" s="4">
        <f t="shared" si="3"/>
        <v>110.18048332823494</v>
      </c>
      <c r="V6" s="4">
        <f t="shared" si="4"/>
        <v>112.18782153212983</v>
      </c>
      <c r="W6" s="4">
        <f t="shared" si="5"/>
        <v>109.46268464168224</v>
      </c>
      <c r="X6" s="4">
        <f t="shared" si="6"/>
        <v>102.17576791808874</v>
      </c>
      <c r="Y6" s="9">
        <f t="shared" si="7"/>
        <v>102.55470737913485</v>
      </c>
      <c r="Z6" s="7">
        <f t="shared" si="8"/>
        <v>110.60109696565722</v>
      </c>
    </row>
    <row r="7" spans="1:26" x14ac:dyDescent="0.25">
      <c r="A7" s="11" t="s">
        <v>79</v>
      </c>
      <c r="B7">
        <v>2.0458975384615385</v>
      </c>
      <c r="C7">
        <v>1.0019445000000002</v>
      </c>
      <c r="D7">
        <v>1.5202379999999998</v>
      </c>
      <c r="E7">
        <v>1.8161111333333331</v>
      </c>
      <c r="F7">
        <v>1.6198484545454546</v>
      </c>
      <c r="G7">
        <v>1.6148957500000003</v>
      </c>
      <c r="H7">
        <v>1.9533334999999998</v>
      </c>
      <c r="I7" s="3">
        <v>2.977272727272728</v>
      </c>
      <c r="J7">
        <v>2.4521795384615386</v>
      </c>
      <c r="K7">
        <v>1.1552776666666666</v>
      </c>
      <c r="L7">
        <v>1.7191666428571428</v>
      </c>
      <c r="M7">
        <v>2.0009999333333335</v>
      </c>
      <c r="N7">
        <v>1.8172728181818181</v>
      </c>
      <c r="O7">
        <v>1.7677083124999999</v>
      </c>
      <c r="P7">
        <v>1.9958334</v>
      </c>
      <c r="Q7" s="3">
        <v>3.0533333636363635</v>
      </c>
      <c r="R7" s="4">
        <f t="shared" si="0"/>
        <v>119.85837474077582</v>
      </c>
      <c r="S7" s="4">
        <f t="shared" si="1"/>
        <v>115.30355889639262</v>
      </c>
      <c r="T7" s="4">
        <f t="shared" si="2"/>
        <v>113.0853618221057</v>
      </c>
      <c r="U7" s="4">
        <f t="shared" si="3"/>
        <v>110.18047830920187</v>
      </c>
      <c r="V7" s="4">
        <f t="shared" si="4"/>
        <v>112.18782924306106</v>
      </c>
      <c r="W7" s="4">
        <f t="shared" si="5"/>
        <v>109.46268900020324</v>
      </c>
      <c r="X7" s="4">
        <f t="shared" si="6"/>
        <v>102.17576261298956</v>
      </c>
      <c r="Y7" s="9">
        <f t="shared" si="7"/>
        <v>102.55470839694654</v>
      </c>
      <c r="Z7" s="7">
        <f t="shared" si="8"/>
        <v>110.60109537770956</v>
      </c>
    </row>
    <row r="8" spans="1:26" x14ac:dyDescent="0.25">
      <c r="A8" s="11" t="s">
        <v>80</v>
      </c>
      <c r="B8">
        <v>2.5154820769230772</v>
      </c>
      <c r="C8">
        <v>2.8162348333333331</v>
      </c>
      <c r="D8">
        <v>4.3329342142857143</v>
      </c>
      <c r="E8">
        <v>2.9847148666666663</v>
      </c>
      <c r="F8">
        <v>3.2990637272727272</v>
      </c>
      <c r="G8">
        <v>2.5962831874999996</v>
      </c>
      <c r="H8">
        <v>2.9245530999999998</v>
      </c>
      <c r="I8" s="3">
        <v>3.2231832727272729</v>
      </c>
      <c r="J8">
        <v>2.391316076923077</v>
      </c>
      <c r="K8">
        <v>2.3405514999999997</v>
      </c>
      <c r="L8">
        <v>3.5512745000000008</v>
      </c>
      <c r="M8">
        <v>2.7681064666666666</v>
      </c>
      <c r="N8">
        <v>2.9821065454545459</v>
      </c>
      <c r="O8">
        <v>2.5542744375000002</v>
      </c>
      <c r="P8">
        <v>2.6427654999999994</v>
      </c>
      <c r="Q8" s="3">
        <v>2.7381225454545453</v>
      </c>
      <c r="R8" s="4">
        <f t="shared" si="0"/>
        <v>95.063928256969362</v>
      </c>
      <c r="S8" s="4">
        <f t="shared" si="1"/>
        <v>83.109244736870608</v>
      </c>
      <c r="T8" s="4">
        <f t="shared" si="2"/>
        <v>81.960037341241502</v>
      </c>
      <c r="U8" s="4">
        <f t="shared" si="3"/>
        <v>92.742743957920908</v>
      </c>
      <c r="V8" s="4">
        <f t="shared" si="4"/>
        <v>90.392511087374359</v>
      </c>
      <c r="W8" s="4">
        <f t="shared" si="5"/>
        <v>98.381965796248508</v>
      </c>
      <c r="X8" s="4">
        <f t="shared" si="6"/>
        <v>90.364763765103106</v>
      </c>
      <c r="Y8" s="9">
        <f t="shared" si="7"/>
        <v>84.950879728837222</v>
      </c>
      <c r="Z8" s="7">
        <f t="shared" si="8"/>
        <v>89.6207593338207</v>
      </c>
    </row>
    <row r="9" spans="1:26" x14ac:dyDescent="0.25">
      <c r="A9" s="11" t="s">
        <v>81</v>
      </c>
      <c r="B9">
        <v>13</v>
      </c>
      <c r="C9">
        <v>12</v>
      </c>
      <c r="D9">
        <v>14</v>
      </c>
      <c r="E9">
        <v>15</v>
      </c>
      <c r="F9">
        <v>11</v>
      </c>
      <c r="G9">
        <v>16</v>
      </c>
      <c r="H9">
        <v>10</v>
      </c>
      <c r="I9" s="3">
        <v>11</v>
      </c>
      <c r="J9">
        <v>13</v>
      </c>
      <c r="K9">
        <v>12</v>
      </c>
      <c r="L9">
        <v>14</v>
      </c>
      <c r="M9">
        <v>15</v>
      </c>
      <c r="N9">
        <v>11</v>
      </c>
      <c r="O9">
        <v>16</v>
      </c>
      <c r="P9">
        <v>10</v>
      </c>
      <c r="Q9" s="3">
        <v>11</v>
      </c>
      <c r="R9" s="4">
        <f t="shared" si="0"/>
        <v>100</v>
      </c>
      <c r="S9" s="4">
        <f t="shared" si="1"/>
        <v>100</v>
      </c>
      <c r="T9" s="4">
        <f t="shared" si="2"/>
        <v>100</v>
      </c>
      <c r="U9" s="4">
        <f t="shared" si="3"/>
        <v>100</v>
      </c>
      <c r="V9" s="4">
        <f t="shared" si="4"/>
        <v>100</v>
      </c>
      <c r="W9" s="4">
        <f t="shared" si="5"/>
        <v>100</v>
      </c>
      <c r="X9" s="4">
        <f t="shared" si="6"/>
        <v>100</v>
      </c>
      <c r="Y9" s="9">
        <f t="shared" si="7"/>
        <v>100</v>
      </c>
      <c r="Z9" s="7">
        <f t="shared" si="8"/>
        <v>100</v>
      </c>
    </row>
    <row r="10" spans="1:26" x14ac:dyDescent="0.25">
      <c r="A10" s="11" t="s">
        <v>82</v>
      </c>
      <c r="B10" t="s">
        <v>114</v>
      </c>
      <c r="C10" t="s">
        <v>114</v>
      </c>
      <c r="D10" t="s">
        <v>114</v>
      </c>
      <c r="E10" t="s">
        <v>114</v>
      </c>
      <c r="F10" t="s">
        <v>114</v>
      </c>
      <c r="G10" t="s">
        <v>114</v>
      </c>
      <c r="H10" t="s">
        <v>114</v>
      </c>
      <c r="I10" s="3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s="3" t="s">
        <v>114</v>
      </c>
      <c r="R10" s="4" t="e">
        <f t="shared" si="0"/>
        <v>#VALUE!</v>
      </c>
      <c r="S10" s="4" t="e">
        <f t="shared" si="1"/>
        <v>#VALUE!</v>
      </c>
      <c r="T10" s="4" t="e">
        <f t="shared" si="2"/>
        <v>#VALUE!</v>
      </c>
      <c r="U10" s="4" t="e">
        <f t="shared" si="3"/>
        <v>#VALUE!</v>
      </c>
      <c r="V10" s="4" t="e">
        <f t="shared" si="4"/>
        <v>#VALUE!</v>
      </c>
      <c r="W10" s="4" t="e">
        <f t="shared" si="5"/>
        <v>#VALUE!</v>
      </c>
      <c r="X10" s="4" t="e">
        <f t="shared" si="6"/>
        <v>#VALUE!</v>
      </c>
      <c r="Y10" s="9" t="e">
        <f t="shared" si="7"/>
        <v>#VALUE!</v>
      </c>
      <c r="Z10" s="7" t="e">
        <f t="shared" si="8"/>
        <v>#VALUE!</v>
      </c>
    </row>
    <row r="11" spans="1:26" ht="15.75" x14ac:dyDescent="0.25">
      <c r="A11" s="13" t="s">
        <v>909</v>
      </c>
      <c r="I11" s="3"/>
      <c r="Q11" s="3"/>
      <c r="R11" s="4" t="str">
        <f t="shared" si="0"/>
        <v/>
      </c>
      <c r="S11" s="4" t="str">
        <f t="shared" si="1"/>
        <v/>
      </c>
      <c r="T11" s="4" t="str">
        <f t="shared" si="2"/>
        <v/>
      </c>
      <c r="U11" s="4" t="str">
        <f t="shared" si="3"/>
        <v/>
      </c>
      <c r="V11" s="4" t="str">
        <f t="shared" si="4"/>
        <v/>
      </c>
      <c r="W11" s="4" t="str">
        <f t="shared" si="5"/>
        <v/>
      </c>
      <c r="X11" s="4" t="str">
        <f t="shared" si="6"/>
        <v/>
      </c>
      <c r="Y11" s="9" t="str">
        <f t="shared" si="7"/>
        <v/>
      </c>
      <c r="Z11" s="7" t="e">
        <f t="shared" si="8"/>
        <v>#DIV/0!</v>
      </c>
    </row>
    <row r="12" spans="1:26" x14ac:dyDescent="0.25">
      <c r="A12" s="11" t="s">
        <v>84</v>
      </c>
      <c r="B12">
        <v>816</v>
      </c>
      <c r="C12">
        <v>434</v>
      </c>
      <c r="D12">
        <v>580</v>
      </c>
      <c r="E12">
        <v>877</v>
      </c>
      <c r="F12">
        <v>535</v>
      </c>
      <c r="G12">
        <v>699</v>
      </c>
      <c r="H12">
        <v>650</v>
      </c>
      <c r="I12" s="3">
        <v>919</v>
      </c>
      <c r="J12">
        <v>945</v>
      </c>
      <c r="K12">
        <v>427</v>
      </c>
      <c r="L12">
        <v>639</v>
      </c>
      <c r="M12">
        <v>867</v>
      </c>
      <c r="N12">
        <v>561</v>
      </c>
      <c r="O12">
        <v>699</v>
      </c>
      <c r="P12">
        <v>688</v>
      </c>
      <c r="Q12" s="3">
        <v>788</v>
      </c>
      <c r="R12" s="4">
        <f t="shared" si="0"/>
        <v>115.80882352941177</v>
      </c>
      <c r="S12" s="4">
        <f t="shared" si="1"/>
        <v>98.387096774193552</v>
      </c>
      <c r="T12" s="4">
        <f t="shared" si="2"/>
        <v>110.17241379310346</v>
      </c>
      <c r="U12" s="4">
        <f t="shared" si="3"/>
        <v>98.859749144811857</v>
      </c>
      <c r="V12" s="4">
        <f t="shared" si="4"/>
        <v>104.85981308411215</v>
      </c>
      <c r="W12" s="4">
        <f t="shared" si="5"/>
        <v>100</v>
      </c>
      <c r="X12" s="4">
        <f t="shared" si="6"/>
        <v>105.84615384615385</v>
      </c>
      <c r="Y12" s="9">
        <f t="shared" si="7"/>
        <v>85.745375408052226</v>
      </c>
      <c r="Z12" s="7">
        <f t="shared" si="8"/>
        <v>102.45992819747985</v>
      </c>
    </row>
    <row r="13" spans="1:26" x14ac:dyDescent="0.25">
      <c r="A13" s="11" t="s">
        <v>85</v>
      </c>
      <c r="B13">
        <v>12</v>
      </c>
      <c r="C13">
        <v>12</v>
      </c>
      <c r="D13">
        <v>14</v>
      </c>
      <c r="E13">
        <v>15</v>
      </c>
      <c r="F13">
        <v>11</v>
      </c>
      <c r="G13">
        <v>13</v>
      </c>
      <c r="H13">
        <v>9</v>
      </c>
      <c r="I13" s="3">
        <v>11</v>
      </c>
      <c r="J13">
        <v>12</v>
      </c>
      <c r="K13">
        <v>12</v>
      </c>
      <c r="L13">
        <v>14</v>
      </c>
      <c r="M13">
        <v>15</v>
      </c>
      <c r="N13">
        <v>11</v>
      </c>
      <c r="O13">
        <v>13</v>
      </c>
      <c r="P13">
        <v>9</v>
      </c>
      <c r="Q13" s="3">
        <v>11</v>
      </c>
      <c r="R13" s="4">
        <f t="shared" si="0"/>
        <v>100</v>
      </c>
      <c r="S13" s="4">
        <f t="shared" si="1"/>
        <v>100</v>
      </c>
      <c r="T13" s="4">
        <f t="shared" si="2"/>
        <v>100</v>
      </c>
      <c r="U13" s="4">
        <f t="shared" si="3"/>
        <v>100</v>
      </c>
      <c r="V13" s="4">
        <f t="shared" si="4"/>
        <v>100</v>
      </c>
      <c r="W13" s="4">
        <f t="shared" si="5"/>
        <v>100</v>
      </c>
      <c r="X13" s="4">
        <f t="shared" si="6"/>
        <v>100</v>
      </c>
      <c r="Y13" s="9">
        <f t="shared" si="7"/>
        <v>100</v>
      </c>
      <c r="Z13" s="7">
        <f t="shared" si="8"/>
        <v>100</v>
      </c>
    </row>
    <row r="14" spans="1:26" x14ac:dyDescent="0.25">
      <c r="A14" s="11" t="s">
        <v>86</v>
      </c>
      <c r="B14">
        <v>0.10890333333333331</v>
      </c>
      <c r="C14">
        <v>0.15223391666666666</v>
      </c>
      <c r="D14">
        <v>0.15350114285714286</v>
      </c>
      <c r="E14">
        <v>0.117123</v>
      </c>
      <c r="F14">
        <v>0.10768390909090909</v>
      </c>
      <c r="G14">
        <v>9.9240384615384619E-2</v>
      </c>
      <c r="H14">
        <v>7.4378444444444469E-2</v>
      </c>
      <c r="I14" s="3">
        <v>0.1201469090909091</v>
      </c>
      <c r="J14">
        <v>0.13818433333333333</v>
      </c>
      <c r="K14">
        <v>0.10082975</v>
      </c>
      <c r="L14">
        <v>0.14774742857142859</v>
      </c>
      <c r="M14">
        <v>0.15318480000000001</v>
      </c>
      <c r="N14">
        <v>9.5731000000000011E-2</v>
      </c>
      <c r="O14">
        <v>0.14690961538461539</v>
      </c>
      <c r="P14">
        <v>6.1105666666666676E-2</v>
      </c>
      <c r="Q14" s="3">
        <v>9.1040545454545457E-2</v>
      </c>
      <c r="R14" s="4">
        <f t="shared" si="0"/>
        <v>126.88714762327449</v>
      </c>
      <c r="S14" s="4">
        <f t="shared" si="1"/>
        <v>66.233433526365943</v>
      </c>
      <c r="T14" s="4">
        <f t="shared" si="2"/>
        <v>96.251679838586597</v>
      </c>
      <c r="U14" s="4">
        <f t="shared" si="3"/>
        <v>130.78968264132581</v>
      </c>
      <c r="V14" s="4">
        <f t="shared" si="4"/>
        <v>88.900004474374924</v>
      </c>
      <c r="W14" s="4">
        <f t="shared" si="5"/>
        <v>148.03410522236217</v>
      </c>
      <c r="X14" s="4">
        <f t="shared" si="6"/>
        <v>82.155074797656411</v>
      </c>
      <c r="Y14" s="9">
        <f t="shared" si="7"/>
        <v>75.774355032021404</v>
      </c>
      <c r="Z14" s="7">
        <f t="shared" si="8"/>
        <v>101.87818539449597</v>
      </c>
    </row>
    <row r="15" spans="1:26" x14ac:dyDescent="0.25">
      <c r="A15" s="11" t="s">
        <v>87</v>
      </c>
      <c r="B15">
        <v>10.985568083333334</v>
      </c>
      <c r="C15">
        <v>11.235147750000001</v>
      </c>
      <c r="D15">
        <v>17.616356571428572</v>
      </c>
      <c r="E15">
        <v>13.194902000000003</v>
      </c>
      <c r="F15">
        <v>14.081990090909089</v>
      </c>
      <c r="G15">
        <v>13.609673846153846</v>
      </c>
      <c r="H15">
        <v>12.570922444444443</v>
      </c>
      <c r="I15" s="3">
        <v>14.362300727272727</v>
      </c>
      <c r="J15">
        <v>11.053489000000001</v>
      </c>
      <c r="K15">
        <v>10.673843249999999</v>
      </c>
      <c r="L15">
        <v>17.3716285</v>
      </c>
      <c r="M15">
        <v>13.850089933333333</v>
      </c>
      <c r="N15">
        <v>14.148218000000002</v>
      </c>
      <c r="O15">
        <v>14.046652153846152</v>
      </c>
      <c r="P15">
        <v>12.183844555555556</v>
      </c>
      <c r="Q15" s="3">
        <v>13.713760272727269</v>
      </c>
      <c r="R15" s="4">
        <f t="shared" si="0"/>
        <v>100.61827404965713</v>
      </c>
      <c r="S15" s="4">
        <f t="shared" si="1"/>
        <v>95.004030988377508</v>
      </c>
      <c r="T15" s="4">
        <f t="shared" si="2"/>
        <v>98.610790656761054</v>
      </c>
      <c r="U15" s="4">
        <f t="shared" si="3"/>
        <v>104.96546267136604</v>
      </c>
      <c r="V15" s="4">
        <f t="shared" si="4"/>
        <v>100.47030219921591</v>
      </c>
      <c r="W15" s="4">
        <f t="shared" si="5"/>
        <v>103.21079191633822</v>
      </c>
      <c r="X15" s="4">
        <f t="shared" si="6"/>
        <v>96.920847371387993</v>
      </c>
      <c r="Y15" s="9">
        <f t="shared" si="7"/>
        <v>95.484425045397231</v>
      </c>
      <c r="Z15" s="7">
        <f t="shared" si="8"/>
        <v>99.410615612312611</v>
      </c>
    </row>
    <row r="16" spans="1:26" x14ac:dyDescent="0.25">
      <c r="A16" s="11" t="s">
        <v>88</v>
      </c>
      <c r="B16">
        <v>9.9412500000000004E-3</v>
      </c>
      <c r="C16">
        <v>1.5094416666666666E-2</v>
      </c>
      <c r="D16">
        <v>1.2145285714285714E-2</v>
      </c>
      <c r="E16">
        <v>9.0066E-3</v>
      </c>
      <c r="F16">
        <v>8.6093636363636372E-3</v>
      </c>
      <c r="G16">
        <v>8.5623846153846158E-3</v>
      </c>
      <c r="H16">
        <v>6.7999999999999996E-3</v>
      </c>
      <c r="I16" s="3">
        <v>9.9990909090909089E-3</v>
      </c>
      <c r="J16">
        <v>1.3455833333333328E-2</v>
      </c>
      <c r="K16">
        <v>1.0977000000000001E-2</v>
      </c>
      <c r="L16">
        <v>1.30005E-2</v>
      </c>
      <c r="M16">
        <v>9.6035999999999986E-3</v>
      </c>
      <c r="N16">
        <v>8.3157272727272732E-3</v>
      </c>
      <c r="O16">
        <v>9.0400769230769232E-3</v>
      </c>
      <c r="P16">
        <v>6.2833333333333335E-3</v>
      </c>
      <c r="Q16" s="3">
        <v>8.6384545454545447E-3</v>
      </c>
      <c r="R16" s="4">
        <f t="shared" si="0"/>
        <v>135.35353535353528</v>
      </c>
      <c r="S16" s="4">
        <f t="shared" si="1"/>
        <v>72.722253813496167</v>
      </c>
      <c r="T16" s="4">
        <f t="shared" si="2"/>
        <v>107.04153286989661</v>
      </c>
      <c r="U16" s="4">
        <f t="shared" si="3"/>
        <v>106.62847245353406</v>
      </c>
      <c r="V16" s="4">
        <f t="shared" si="4"/>
        <v>96.589337191007672</v>
      </c>
      <c r="W16" s="4">
        <f t="shared" si="5"/>
        <v>105.57896344476288</v>
      </c>
      <c r="X16" s="4">
        <f t="shared" si="6"/>
        <v>92.401960784313729</v>
      </c>
      <c r="Y16" s="9">
        <f t="shared" si="7"/>
        <v>86.392399309028093</v>
      </c>
      <c r="Z16" s="7">
        <f t="shared" si="8"/>
        <v>100.3385569024468</v>
      </c>
    </row>
    <row r="17" spans="1:26" x14ac:dyDescent="0.25">
      <c r="A17" s="11" t="s">
        <v>89</v>
      </c>
      <c r="B17">
        <v>7.3181666666666673E-3</v>
      </c>
      <c r="C17">
        <v>1.0944916666666667E-2</v>
      </c>
      <c r="D17">
        <v>9.1746428571428569E-3</v>
      </c>
      <c r="E17">
        <v>6.7647333333333342E-3</v>
      </c>
      <c r="F17">
        <v>6.7768181818181816E-3</v>
      </c>
      <c r="G17">
        <v>6.4900769230769231E-3</v>
      </c>
      <c r="H17">
        <v>5.2892222222222221E-3</v>
      </c>
      <c r="I17" s="3">
        <v>6.894E-3</v>
      </c>
      <c r="J17">
        <v>7.8872500000000002E-3</v>
      </c>
      <c r="K17">
        <v>7.9354999999999998E-3</v>
      </c>
      <c r="L17">
        <v>8.5548571428571436E-3</v>
      </c>
      <c r="M17">
        <v>6.8117333333333335E-3</v>
      </c>
      <c r="N17">
        <v>6.5725454545454533E-3</v>
      </c>
      <c r="O17">
        <v>6.9716923076923072E-3</v>
      </c>
      <c r="P17">
        <v>5.0114444444444451E-3</v>
      </c>
      <c r="Q17" s="3">
        <v>6.9410000000000001E-3</v>
      </c>
      <c r="R17" s="4">
        <f t="shared" si="0"/>
        <v>107.77631009588011</v>
      </c>
      <c r="S17" s="4">
        <f t="shared" si="1"/>
        <v>72.503978254745348</v>
      </c>
      <c r="T17" s="4">
        <f t="shared" si="2"/>
        <v>93.244579391957657</v>
      </c>
      <c r="U17" s="4">
        <f t="shared" si="3"/>
        <v>100.69477978929939</v>
      </c>
      <c r="V17" s="4">
        <f t="shared" si="4"/>
        <v>96.985713327520273</v>
      </c>
      <c r="W17" s="4">
        <f t="shared" si="5"/>
        <v>107.42079624515533</v>
      </c>
      <c r="X17" s="4">
        <f t="shared" si="6"/>
        <v>94.748230153561764</v>
      </c>
      <c r="Y17" s="9">
        <f t="shared" si="7"/>
        <v>100.68175224833189</v>
      </c>
      <c r="Z17" s="7">
        <f t="shared" si="8"/>
        <v>96.757017438306477</v>
      </c>
    </row>
    <row r="18" spans="1:26" x14ac:dyDescent="0.25">
      <c r="A18" s="11" t="s">
        <v>90</v>
      </c>
      <c r="B18">
        <v>0.81816633333333322</v>
      </c>
      <c r="C18">
        <v>0.80094008333333322</v>
      </c>
      <c r="D18">
        <v>0.79029628571428578</v>
      </c>
      <c r="E18">
        <v>0.80341019999999996</v>
      </c>
      <c r="F18">
        <v>0.81541227272727279</v>
      </c>
      <c r="G18">
        <v>0.79751492307692307</v>
      </c>
      <c r="H18">
        <v>0.81895944444444446</v>
      </c>
      <c r="I18" s="3">
        <v>0.79967099999999991</v>
      </c>
      <c r="J18">
        <v>0.78240674999999993</v>
      </c>
      <c r="K18">
        <v>0.7887303333333332</v>
      </c>
      <c r="L18">
        <v>0.76588321428571415</v>
      </c>
      <c r="M18">
        <v>0.79419339999999994</v>
      </c>
      <c r="N18">
        <v>0.80695572727272724</v>
      </c>
      <c r="O18">
        <v>0.79868430769230758</v>
      </c>
      <c r="P18">
        <v>0.81446966666666676</v>
      </c>
      <c r="Q18" s="3">
        <v>0.80153963636363634</v>
      </c>
      <c r="R18" s="4">
        <f t="shared" si="0"/>
        <v>95.629301539743963</v>
      </c>
      <c r="S18" s="4">
        <f t="shared" si="1"/>
        <v>98.475572610976627</v>
      </c>
      <c r="T18" s="4">
        <f t="shared" si="2"/>
        <v>96.910896347373495</v>
      </c>
      <c r="U18" s="4">
        <f t="shared" si="3"/>
        <v>98.852790268283869</v>
      </c>
      <c r="V18" s="4">
        <f t="shared" si="4"/>
        <v>98.962911678253093</v>
      </c>
      <c r="W18" s="4">
        <f t="shared" si="5"/>
        <v>100.14662855597396</v>
      </c>
      <c r="X18" s="4">
        <f t="shared" si="6"/>
        <v>99.451770437689575</v>
      </c>
      <c r="Y18" s="9">
        <f t="shared" si="7"/>
        <v>100.23367564456338</v>
      </c>
      <c r="Z18" s="7">
        <f t="shared" si="8"/>
        <v>98.58294338535724</v>
      </c>
    </row>
    <row r="19" spans="1:26" x14ac:dyDescent="0.25">
      <c r="A19" s="11" t="s">
        <v>91</v>
      </c>
      <c r="B19">
        <v>34.267665416666667</v>
      </c>
      <c r="C19">
        <v>30.626944249999998</v>
      </c>
      <c r="D19">
        <v>23.352609499999996</v>
      </c>
      <c r="E19">
        <v>15.270443799999999</v>
      </c>
      <c r="F19">
        <v>22.928489636363636</v>
      </c>
      <c r="G19">
        <v>20.711618230769229</v>
      </c>
      <c r="H19">
        <v>22.54934011111111</v>
      </c>
      <c r="I19" s="3">
        <v>21.892392272727271</v>
      </c>
      <c r="J19">
        <v>15.989212666666665</v>
      </c>
      <c r="K19">
        <v>30.817182416666672</v>
      </c>
      <c r="L19">
        <v>23.177516428571419</v>
      </c>
      <c r="M19">
        <v>16.540312266666668</v>
      </c>
      <c r="N19">
        <v>24.128856909090914</v>
      </c>
      <c r="O19">
        <v>15.409912076923076</v>
      </c>
      <c r="P19">
        <v>14.962965555555554</v>
      </c>
      <c r="Q19" s="3">
        <v>32.080468727272724</v>
      </c>
      <c r="R19" s="4">
        <f t="shared" si="0"/>
        <v>46.659766494889489</v>
      </c>
      <c r="S19" s="4">
        <f t="shared" si="1"/>
        <v>100.62114641641624</v>
      </c>
      <c r="T19" s="4">
        <f t="shared" si="2"/>
        <v>99.250220531334719</v>
      </c>
      <c r="U19" s="4">
        <f t="shared" si="3"/>
        <v>108.31585829002999</v>
      </c>
      <c r="V19" s="4">
        <f t="shared" si="4"/>
        <v>105.23526534789079</v>
      </c>
      <c r="W19" s="4">
        <f t="shared" si="5"/>
        <v>74.402260148026841</v>
      </c>
      <c r="X19" s="4">
        <f t="shared" si="6"/>
        <v>66.356556253203195</v>
      </c>
      <c r="Y19" s="9">
        <f t="shared" si="7"/>
        <v>146.53706332147803</v>
      </c>
      <c r="Z19" s="7">
        <f t="shared" si="8"/>
        <v>93.422267100408661</v>
      </c>
    </row>
    <row r="20" spans="1:26" x14ac:dyDescent="0.25">
      <c r="A20" s="11" t="s">
        <v>92</v>
      </c>
      <c r="B20">
        <v>0.11333341666666664</v>
      </c>
      <c r="C20">
        <v>6.0277833333333336E-2</v>
      </c>
      <c r="D20">
        <v>6.904757142857143E-2</v>
      </c>
      <c r="E20">
        <v>9.7444333333333313E-2</v>
      </c>
      <c r="F20">
        <v>8.1060636363636362E-2</v>
      </c>
      <c r="G20">
        <v>8.9615384615384625E-2</v>
      </c>
      <c r="H20">
        <v>0.12037033333333332</v>
      </c>
      <c r="I20" s="3">
        <v>0.13924245454545459</v>
      </c>
      <c r="J20">
        <v>0.13124983333333334</v>
      </c>
      <c r="K20">
        <v>5.9305583333333328E-2</v>
      </c>
      <c r="L20">
        <v>7.60715E-2</v>
      </c>
      <c r="M20">
        <v>9.6333199999999994E-2</v>
      </c>
      <c r="N20">
        <v>8.5000000000000006E-2</v>
      </c>
      <c r="O20">
        <v>8.9615384615384638E-2</v>
      </c>
      <c r="P20">
        <v>0.12740744444444446</v>
      </c>
      <c r="Q20" s="3">
        <v>0.1193938181818182</v>
      </c>
      <c r="R20" s="4">
        <f t="shared" si="0"/>
        <v>115.8085913172123</v>
      </c>
      <c r="S20" s="4">
        <f t="shared" si="1"/>
        <v>98.387052177832075</v>
      </c>
      <c r="T20" s="4">
        <f t="shared" si="2"/>
        <v>110.17259322247807</v>
      </c>
      <c r="U20" s="4">
        <f t="shared" si="3"/>
        <v>98.859725039595276</v>
      </c>
      <c r="V20" s="4">
        <f t="shared" si="4"/>
        <v>104.8597738841967</v>
      </c>
      <c r="W20" s="4">
        <f t="shared" si="5"/>
        <v>100.00000000000003</v>
      </c>
      <c r="X20" s="4">
        <f t="shared" si="6"/>
        <v>105.84621718345146</v>
      </c>
      <c r="Y20" s="9">
        <f t="shared" si="7"/>
        <v>85.745269696350434</v>
      </c>
      <c r="Z20" s="7">
        <f t="shared" si="8"/>
        <v>102.45990281513954</v>
      </c>
    </row>
    <row r="21" spans="1:26" x14ac:dyDescent="0.25">
      <c r="A21" s="11" t="s">
        <v>93</v>
      </c>
      <c r="B21">
        <v>0.68274075000000012</v>
      </c>
      <c r="C21">
        <v>0.65269458333333341</v>
      </c>
      <c r="D21">
        <v>0.76120178571428565</v>
      </c>
      <c r="E21">
        <v>0.66540313333333334</v>
      </c>
      <c r="F21">
        <v>0.85715918181818185</v>
      </c>
      <c r="G21">
        <v>0.51560769230769232</v>
      </c>
      <c r="H21">
        <v>0.5945961111111111</v>
      </c>
      <c r="I21" s="3">
        <v>0.61855409090909097</v>
      </c>
      <c r="J21">
        <v>0.70721483333333346</v>
      </c>
      <c r="K21">
        <v>0.53345866666666675</v>
      </c>
      <c r="L21">
        <v>0.65087992857142862</v>
      </c>
      <c r="M21">
        <v>0.58422546666666653</v>
      </c>
      <c r="N21">
        <v>0.66704890909090908</v>
      </c>
      <c r="O21">
        <v>0.51027030769230763</v>
      </c>
      <c r="P21">
        <v>0.58087966666666668</v>
      </c>
      <c r="Q21" s="3">
        <v>0.46724972727272734</v>
      </c>
      <c r="R21" s="4">
        <f t="shared" si="0"/>
        <v>103.58468178929311</v>
      </c>
      <c r="S21" s="4">
        <f t="shared" si="1"/>
        <v>81.731744109515233</v>
      </c>
      <c r="T21" s="4">
        <f t="shared" si="2"/>
        <v>85.506884086020008</v>
      </c>
      <c r="U21" s="4">
        <f t="shared" si="3"/>
        <v>87.800227771695674</v>
      </c>
      <c r="V21" s="4">
        <f t="shared" si="4"/>
        <v>77.820890593038257</v>
      </c>
      <c r="W21" s="4">
        <f t="shared" si="5"/>
        <v>98.964836115711094</v>
      </c>
      <c r="X21" s="4">
        <f t="shared" si="6"/>
        <v>97.693149317977756</v>
      </c>
      <c r="Y21" s="9">
        <f t="shared" si="7"/>
        <v>75.539024660884365</v>
      </c>
      <c r="Z21" s="7">
        <f t="shared" si="8"/>
        <v>88.580179805516934</v>
      </c>
    </row>
    <row r="22" spans="1:26" x14ac:dyDescent="0.25">
      <c r="A22" s="11" t="s">
        <v>94</v>
      </c>
      <c r="B22">
        <v>56.485320916666666</v>
      </c>
      <c r="C22">
        <v>66.322914249999982</v>
      </c>
      <c r="D22">
        <v>81.749092857142841</v>
      </c>
      <c r="E22">
        <v>70.340576600000006</v>
      </c>
      <c r="F22">
        <v>74.112832727272732</v>
      </c>
      <c r="G22">
        <v>66.688189307692312</v>
      </c>
      <c r="H22">
        <v>71.588318333333333</v>
      </c>
      <c r="I22" s="3">
        <v>66.499919545454546</v>
      </c>
      <c r="J22">
        <v>55.098711666666667</v>
      </c>
      <c r="K22">
        <v>55.407761250000014</v>
      </c>
      <c r="L22">
        <v>77.604795214285716</v>
      </c>
      <c r="M22">
        <v>63.755669733333335</v>
      </c>
      <c r="N22">
        <v>69.814145818181814</v>
      </c>
      <c r="O22">
        <v>64.585027153846156</v>
      </c>
      <c r="P22">
        <v>72.345210111111101</v>
      </c>
      <c r="Q22" s="3">
        <v>55.93854372727273</v>
      </c>
      <c r="R22" s="4">
        <f t="shared" si="0"/>
        <v>97.545186559096166</v>
      </c>
      <c r="S22" s="4">
        <f t="shared" si="1"/>
        <v>83.542410457333048</v>
      </c>
      <c r="T22" s="4">
        <f t="shared" si="2"/>
        <v>94.930466506705685</v>
      </c>
      <c r="U22" s="4">
        <f t="shared" si="3"/>
        <v>90.638537264042469</v>
      </c>
      <c r="V22" s="4">
        <f t="shared" si="4"/>
        <v>94.199807575957024</v>
      </c>
      <c r="W22" s="4">
        <f t="shared" si="5"/>
        <v>96.846274916623713</v>
      </c>
      <c r="X22" s="4">
        <f t="shared" si="6"/>
        <v>101.05728391921917</v>
      </c>
      <c r="Y22" s="9">
        <f t="shared" si="7"/>
        <v>84.118212637892256</v>
      </c>
      <c r="Z22" s="7">
        <f t="shared" si="8"/>
        <v>92.859772479608679</v>
      </c>
    </row>
    <row r="23" spans="1:26" ht="15.75" x14ac:dyDescent="0.25">
      <c r="A23" s="13" t="s">
        <v>910</v>
      </c>
      <c r="I23" s="3"/>
      <c r="Q23" s="3"/>
      <c r="R23" s="4" t="str">
        <f t="shared" si="0"/>
        <v/>
      </c>
      <c r="S23" s="4" t="str">
        <f t="shared" si="1"/>
        <v/>
      </c>
      <c r="T23" s="4" t="str">
        <f t="shared" si="2"/>
        <v/>
      </c>
      <c r="U23" s="4" t="str">
        <f t="shared" si="3"/>
        <v/>
      </c>
      <c r="V23" s="4" t="str">
        <f t="shared" si="4"/>
        <v/>
      </c>
      <c r="W23" s="4" t="str">
        <f t="shared" si="5"/>
        <v/>
      </c>
      <c r="X23" s="4" t="str">
        <f t="shared" si="6"/>
        <v/>
      </c>
      <c r="Y23" s="9" t="str">
        <f t="shared" si="7"/>
        <v/>
      </c>
      <c r="Z23" s="7" t="e">
        <f t="shared" si="8"/>
        <v>#DIV/0!</v>
      </c>
    </row>
    <row r="24" spans="1:26" x14ac:dyDescent="0.25">
      <c r="A24" s="11" t="s">
        <v>96</v>
      </c>
      <c r="B24">
        <v>156</v>
      </c>
      <c r="C24">
        <v>67</v>
      </c>
      <c r="D24">
        <v>55</v>
      </c>
      <c r="E24">
        <v>106</v>
      </c>
      <c r="F24">
        <v>86</v>
      </c>
      <c r="G24">
        <v>100</v>
      </c>
      <c r="H24">
        <v>117</v>
      </c>
      <c r="I24" s="3">
        <v>134</v>
      </c>
      <c r="J24">
        <v>201</v>
      </c>
      <c r="K24">
        <v>64</v>
      </c>
      <c r="L24">
        <v>75</v>
      </c>
      <c r="M24">
        <v>123</v>
      </c>
      <c r="N24">
        <v>86</v>
      </c>
      <c r="O24">
        <v>102</v>
      </c>
      <c r="P24">
        <v>121</v>
      </c>
      <c r="Q24" s="3">
        <v>134</v>
      </c>
      <c r="R24" s="4">
        <f t="shared" si="0"/>
        <v>128.84615384615387</v>
      </c>
      <c r="S24" s="4">
        <f t="shared" si="1"/>
        <v>95.522388059701484</v>
      </c>
      <c r="T24" s="4">
        <f t="shared" si="2"/>
        <v>136.36363636363635</v>
      </c>
      <c r="U24" s="4">
        <f t="shared" si="3"/>
        <v>116.03773584905662</v>
      </c>
      <c r="V24" s="4">
        <f t="shared" si="4"/>
        <v>100</v>
      </c>
      <c r="W24" s="4">
        <f t="shared" si="5"/>
        <v>102</v>
      </c>
      <c r="X24" s="4">
        <f t="shared" si="6"/>
        <v>103.41880341880344</v>
      </c>
      <c r="Y24" s="9">
        <f t="shared" si="7"/>
        <v>100</v>
      </c>
      <c r="Z24" s="7">
        <f t="shared" si="8"/>
        <v>110.27358969216897</v>
      </c>
    </row>
    <row r="25" spans="1:26" x14ac:dyDescent="0.25">
      <c r="A25" s="11" t="s">
        <v>97</v>
      </c>
      <c r="B25">
        <v>0.26</v>
      </c>
      <c r="C25">
        <v>0.111667</v>
      </c>
      <c r="D25">
        <v>9.1666999999999998E-2</v>
      </c>
      <c r="E25">
        <v>0.17666699999999999</v>
      </c>
      <c r="F25">
        <v>0.14333299999999999</v>
      </c>
      <c r="G25">
        <v>0.16666700000000001</v>
      </c>
      <c r="H25">
        <v>0.19500000000000001</v>
      </c>
      <c r="I25" s="3">
        <v>0.223333</v>
      </c>
      <c r="J25">
        <v>0.33500000000000002</v>
      </c>
      <c r="K25">
        <v>0.106667</v>
      </c>
      <c r="L25">
        <v>0.125</v>
      </c>
      <c r="M25">
        <v>0.20499999999999999</v>
      </c>
      <c r="N25">
        <v>0.14333299999999999</v>
      </c>
      <c r="O25">
        <v>0.17</v>
      </c>
      <c r="P25">
        <v>0.20166700000000001</v>
      </c>
      <c r="Q25" s="3">
        <v>0.223333</v>
      </c>
      <c r="R25" s="4">
        <f t="shared" si="0"/>
        <v>128.84615384615387</v>
      </c>
      <c r="S25" s="4">
        <f t="shared" si="1"/>
        <v>95.522401425667383</v>
      </c>
      <c r="T25" s="4">
        <f t="shared" si="2"/>
        <v>136.36314049767091</v>
      </c>
      <c r="U25" s="4">
        <f t="shared" si="3"/>
        <v>116.03751691034545</v>
      </c>
      <c r="V25" s="4">
        <f t="shared" si="4"/>
        <v>100</v>
      </c>
      <c r="W25" s="4">
        <f t="shared" si="5"/>
        <v>101.99979600040801</v>
      </c>
      <c r="X25" s="4">
        <f t="shared" si="6"/>
        <v>103.41897435897435</v>
      </c>
      <c r="Y25" s="9">
        <f t="shared" si="7"/>
        <v>100</v>
      </c>
      <c r="Z25" s="7">
        <f t="shared" si="8"/>
        <v>110.27349787990249</v>
      </c>
    </row>
    <row r="26" spans="1:26" x14ac:dyDescent="0.25">
      <c r="A26" s="11" t="s">
        <v>98</v>
      </c>
      <c r="B26">
        <v>0.14097399999999999</v>
      </c>
      <c r="C26">
        <v>0.219746</v>
      </c>
      <c r="D26">
        <v>0.48871399999999998</v>
      </c>
      <c r="E26">
        <v>0.24374299999999999</v>
      </c>
      <c r="F26">
        <v>0.22867199999999999</v>
      </c>
      <c r="G26">
        <v>0.34443499999999999</v>
      </c>
      <c r="H26">
        <v>0.25935900000000001</v>
      </c>
      <c r="I26" s="3">
        <v>0.25986799999999999</v>
      </c>
      <c r="J26">
        <v>0.21676899999999999</v>
      </c>
      <c r="K26">
        <v>0.29205199999999998</v>
      </c>
      <c r="L26">
        <v>0.33152599999999999</v>
      </c>
      <c r="M26">
        <v>0.27839700000000001</v>
      </c>
      <c r="N26">
        <v>0.27204699999999998</v>
      </c>
      <c r="O26">
        <v>0.28054400000000002</v>
      </c>
      <c r="P26">
        <v>0.236427</v>
      </c>
      <c r="Q26" s="3">
        <v>0.46930699999999997</v>
      </c>
      <c r="R26" s="4">
        <f t="shared" si="0"/>
        <v>153.76523330543222</v>
      </c>
      <c r="S26" s="4">
        <f t="shared" si="1"/>
        <v>132.90435320779443</v>
      </c>
      <c r="T26" s="4">
        <f t="shared" si="2"/>
        <v>67.836403295178769</v>
      </c>
      <c r="U26" s="4">
        <f t="shared" si="3"/>
        <v>114.21743393656433</v>
      </c>
      <c r="V26" s="4">
        <f t="shared" si="4"/>
        <v>118.96821648474672</v>
      </c>
      <c r="W26" s="4">
        <f t="shared" si="5"/>
        <v>81.450491384441193</v>
      </c>
      <c r="X26" s="4">
        <f t="shared" si="6"/>
        <v>91.158201566168898</v>
      </c>
      <c r="Y26" s="9">
        <f t="shared" si="7"/>
        <v>180.59437868456294</v>
      </c>
      <c r="Z26" s="7">
        <f t="shared" si="8"/>
        <v>117.61183898311118</v>
      </c>
    </row>
    <row r="27" spans="1:26" x14ac:dyDescent="0.25">
      <c r="A27" s="11" t="s">
        <v>99</v>
      </c>
      <c r="B27">
        <v>96.538461999999996</v>
      </c>
      <c r="C27">
        <v>104.283582</v>
      </c>
      <c r="D27">
        <v>229.94545500000001</v>
      </c>
      <c r="E27">
        <v>152.13207499999999</v>
      </c>
      <c r="F27">
        <v>124.488372</v>
      </c>
      <c r="G27">
        <v>147.57</v>
      </c>
      <c r="H27">
        <v>99.794871999999998</v>
      </c>
      <c r="I27" s="3">
        <v>142</v>
      </c>
      <c r="J27">
        <v>89.935322999999997</v>
      </c>
      <c r="K27">
        <v>102.859375</v>
      </c>
      <c r="L27">
        <v>191.70666700000001</v>
      </c>
      <c r="M27">
        <v>140.05691100000001</v>
      </c>
      <c r="N27">
        <v>130.89534900000001</v>
      </c>
      <c r="O27">
        <v>139.93137300000001</v>
      </c>
      <c r="P27">
        <v>94.975206999999997</v>
      </c>
      <c r="Q27" s="3">
        <v>131.32835800000001</v>
      </c>
      <c r="R27" s="4">
        <f t="shared" si="0"/>
        <v>93.160095092461702</v>
      </c>
      <c r="S27" s="4">
        <f t="shared" si="1"/>
        <v>98.634294130786571</v>
      </c>
      <c r="T27" s="4">
        <f t="shared" si="2"/>
        <v>83.370496277041013</v>
      </c>
      <c r="U27" s="4">
        <f t="shared" si="3"/>
        <v>92.062709984071418</v>
      </c>
      <c r="V27" s="4">
        <f t="shared" si="4"/>
        <v>105.14664694948377</v>
      </c>
      <c r="W27" s="4">
        <f t="shared" si="5"/>
        <v>94.823726367147813</v>
      </c>
      <c r="X27" s="4">
        <f t="shared" si="6"/>
        <v>95.170428195949782</v>
      </c>
      <c r="Y27" s="9">
        <f t="shared" si="7"/>
        <v>92.484759154929591</v>
      </c>
      <c r="Z27" s="7">
        <f t="shared" si="8"/>
        <v>94.35664451898397</v>
      </c>
    </row>
    <row r="28" spans="1:26" x14ac:dyDescent="0.25">
      <c r="A28" s="11" t="s">
        <v>100</v>
      </c>
      <c r="B28">
        <v>1.4710000000000001E-3</v>
      </c>
      <c r="C28">
        <v>1.9919999999999998E-3</v>
      </c>
      <c r="D28">
        <v>2.1930000000000001E-3</v>
      </c>
      <c r="E28">
        <v>1.776E-3</v>
      </c>
      <c r="F28">
        <v>1.7260000000000001E-3</v>
      </c>
      <c r="G28">
        <v>2.6380000000000002E-3</v>
      </c>
      <c r="H28">
        <v>2.745E-3</v>
      </c>
      <c r="I28" s="3">
        <v>1.8159999999999999E-3</v>
      </c>
      <c r="J28">
        <v>2.5110000000000002E-3</v>
      </c>
      <c r="K28">
        <v>3.2439999999999999E-3</v>
      </c>
      <c r="L28">
        <v>2.0739999999999999E-3</v>
      </c>
      <c r="M28">
        <v>2.5119999999999999E-3</v>
      </c>
      <c r="N28">
        <v>2.4489999999999998E-3</v>
      </c>
      <c r="O28">
        <v>2.3570000000000002E-3</v>
      </c>
      <c r="P28">
        <v>2.8609999999999998E-3</v>
      </c>
      <c r="Q28" s="3">
        <v>4.1840000000000002E-3</v>
      </c>
      <c r="R28" s="4">
        <f t="shared" si="0"/>
        <v>170.700203942896</v>
      </c>
      <c r="S28" s="4">
        <f t="shared" si="1"/>
        <v>162.85140562248998</v>
      </c>
      <c r="T28" s="4">
        <f t="shared" si="2"/>
        <v>94.573643410852696</v>
      </c>
      <c r="U28" s="4">
        <f t="shared" si="3"/>
        <v>141.44144144144144</v>
      </c>
      <c r="V28" s="4">
        <f t="shared" si="4"/>
        <v>141.88876013904979</v>
      </c>
      <c r="W28" s="4">
        <f t="shared" si="5"/>
        <v>89.347990902198632</v>
      </c>
      <c r="X28" s="4">
        <f t="shared" si="6"/>
        <v>104.22586520947176</v>
      </c>
      <c r="Y28" s="9">
        <f t="shared" si="7"/>
        <v>230.39647577092515</v>
      </c>
      <c r="Z28" s="7">
        <f t="shared" si="8"/>
        <v>141.92822330491566</v>
      </c>
    </row>
    <row r="29" spans="1:26" x14ac:dyDescent="0.25">
      <c r="A29" s="11" t="s">
        <v>101</v>
      </c>
      <c r="B29">
        <v>7.2300000000000001E-4</v>
      </c>
      <c r="C29">
        <v>9.41E-4</v>
      </c>
      <c r="D29">
        <v>6.0099999999999997E-4</v>
      </c>
      <c r="E29">
        <v>6.9499999999999998E-4</v>
      </c>
      <c r="F29">
        <v>8.2600000000000002E-4</v>
      </c>
      <c r="G29">
        <v>9.0300000000000005E-4</v>
      </c>
      <c r="H29">
        <v>9.3700000000000001E-4</v>
      </c>
      <c r="I29" s="3">
        <v>6.8000000000000005E-4</v>
      </c>
      <c r="J29">
        <v>8.3900000000000001E-4</v>
      </c>
      <c r="K29">
        <v>1.1720000000000001E-3</v>
      </c>
      <c r="L29">
        <v>8.4699999999999999E-4</v>
      </c>
      <c r="M29">
        <v>7.45E-4</v>
      </c>
      <c r="N29">
        <v>9.9500000000000001E-4</v>
      </c>
      <c r="O29">
        <v>8.7399999999999999E-4</v>
      </c>
      <c r="P29">
        <v>8.9499999999999996E-4</v>
      </c>
      <c r="Q29" s="3">
        <v>1.0250000000000001E-3</v>
      </c>
      <c r="R29" s="4">
        <f t="shared" si="0"/>
        <v>116.04426002766253</v>
      </c>
      <c r="S29" s="4">
        <f t="shared" si="1"/>
        <v>124.54835281615304</v>
      </c>
      <c r="T29" s="4">
        <f t="shared" si="2"/>
        <v>140.93178036605659</v>
      </c>
      <c r="U29" s="4">
        <f t="shared" si="3"/>
        <v>107.19424460431655</v>
      </c>
      <c r="V29" s="4">
        <f t="shared" si="4"/>
        <v>120.46004842615012</v>
      </c>
      <c r="W29" s="4">
        <f t="shared" si="5"/>
        <v>96.788482834994454</v>
      </c>
      <c r="X29" s="4">
        <f t="shared" si="6"/>
        <v>95.517609391675549</v>
      </c>
      <c r="Y29" s="9">
        <f t="shared" si="7"/>
        <v>150.73529411764704</v>
      </c>
      <c r="Z29" s="7">
        <f t="shared" si="8"/>
        <v>119.02750907308199</v>
      </c>
    </row>
    <row r="30" spans="1:26" x14ac:dyDescent="0.25">
      <c r="A30" s="11" t="s">
        <v>102</v>
      </c>
      <c r="B30">
        <v>0.52317599999999997</v>
      </c>
      <c r="C30">
        <v>0.52266400000000002</v>
      </c>
      <c r="D30">
        <v>0.30929899999999999</v>
      </c>
      <c r="E30">
        <v>0.43651400000000001</v>
      </c>
      <c r="F30">
        <v>0.51660399999999995</v>
      </c>
      <c r="G30">
        <v>0.36428899999999997</v>
      </c>
      <c r="H30">
        <v>0.44305600000000001</v>
      </c>
      <c r="I30" s="3">
        <v>0.42873299999999998</v>
      </c>
      <c r="J30">
        <v>0.40586800000000001</v>
      </c>
      <c r="K30">
        <v>0.39726600000000001</v>
      </c>
      <c r="L30">
        <v>0.40644599999999997</v>
      </c>
      <c r="M30">
        <v>0.38427499999999998</v>
      </c>
      <c r="N30">
        <v>0.44411099999999998</v>
      </c>
      <c r="O30">
        <v>0.39539600000000003</v>
      </c>
      <c r="P30">
        <v>0.41932599999999998</v>
      </c>
      <c r="Q30" s="3">
        <v>0.249635</v>
      </c>
      <c r="R30" s="4">
        <f t="shared" si="0"/>
        <v>77.577717632307298</v>
      </c>
      <c r="S30" s="4">
        <f t="shared" si="1"/>
        <v>76.007913305680134</v>
      </c>
      <c r="T30" s="4">
        <f t="shared" si="2"/>
        <v>131.40876627470504</v>
      </c>
      <c r="U30" s="4">
        <f t="shared" si="3"/>
        <v>88.032686236867548</v>
      </c>
      <c r="V30" s="4">
        <f t="shared" si="4"/>
        <v>85.967394754976738</v>
      </c>
      <c r="W30" s="4">
        <f t="shared" si="5"/>
        <v>108.53909945125986</v>
      </c>
      <c r="X30" s="4">
        <f t="shared" si="6"/>
        <v>94.644017911956951</v>
      </c>
      <c r="Y30" s="9">
        <f t="shared" si="7"/>
        <v>58.226215383467107</v>
      </c>
      <c r="Z30" s="7">
        <f t="shared" si="8"/>
        <v>90.050476368902579</v>
      </c>
    </row>
    <row r="31" spans="1:26" x14ac:dyDescent="0.25">
      <c r="A31" s="11" t="s">
        <v>103</v>
      </c>
      <c r="B31">
        <v>11.160256</v>
      </c>
      <c r="C31">
        <v>11.686567</v>
      </c>
      <c r="D31">
        <v>13.927273</v>
      </c>
      <c r="E31">
        <v>15.009434000000001</v>
      </c>
      <c r="F31">
        <v>11.05814</v>
      </c>
      <c r="G31">
        <v>13.68</v>
      </c>
      <c r="H31">
        <v>9.0427350000000004</v>
      </c>
      <c r="I31" s="3">
        <v>10.753731</v>
      </c>
      <c r="J31">
        <v>10.985075</v>
      </c>
      <c r="K31">
        <v>11.65625</v>
      </c>
      <c r="L31">
        <v>13.133333</v>
      </c>
      <c r="M31">
        <v>15.162602</v>
      </c>
      <c r="N31">
        <v>11.697673999999999</v>
      </c>
      <c r="O31">
        <v>13.303922</v>
      </c>
      <c r="P31">
        <v>9.0413219999999992</v>
      </c>
      <c r="Q31" s="3">
        <v>10.492537</v>
      </c>
      <c r="R31" s="4">
        <f t="shared" si="0"/>
        <v>98.430313784916763</v>
      </c>
      <c r="S31" s="4">
        <f t="shared" si="1"/>
        <v>99.74058249954841</v>
      </c>
      <c r="T31" s="4">
        <f t="shared" si="2"/>
        <v>94.299386534607322</v>
      </c>
      <c r="U31" s="4">
        <f t="shared" si="3"/>
        <v>101.02047818725208</v>
      </c>
      <c r="V31" s="4">
        <f t="shared" si="4"/>
        <v>105.78337767472648</v>
      </c>
      <c r="W31" s="4">
        <f t="shared" si="5"/>
        <v>97.250891812865504</v>
      </c>
      <c r="X31" s="4">
        <f t="shared" si="6"/>
        <v>99.98437419652349</v>
      </c>
      <c r="Y31" s="9">
        <f t="shared" si="7"/>
        <v>97.571131358967406</v>
      </c>
      <c r="Z31" s="7">
        <f t="shared" si="8"/>
        <v>99.26006700617593</v>
      </c>
    </row>
    <row r="32" spans="1:26" x14ac:dyDescent="0.25">
      <c r="A32" s="11" t="s">
        <v>104</v>
      </c>
      <c r="B32">
        <v>8.534516</v>
      </c>
      <c r="C32">
        <v>8.7096520000000002</v>
      </c>
      <c r="D32">
        <v>16.206154999999999</v>
      </c>
      <c r="E32">
        <v>9.9954769999999993</v>
      </c>
      <c r="F32">
        <v>10.504586</v>
      </c>
      <c r="G32">
        <v>10.384859000000001</v>
      </c>
      <c r="H32">
        <v>10.848093</v>
      </c>
      <c r="I32" s="3">
        <v>13.071465999999999</v>
      </c>
      <c r="J32">
        <v>8.0200949999999995</v>
      </c>
      <c r="K32">
        <v>8.6623339999999995</v>
      </c>
      <c r="L32">
        <v>13.901685000000001</v>
      </c>
      <c r="M32">
        <v>9.0535160000000001</v>
      </c>
      <c r="N32">
        <v>10.548492</v>
      </c>
      <c r="O32">
        <v>10.0395</v>
      </c>
      <c r="P32">
        <v>10.351461</v>
      </c>
      <c r="Q32" s="3">
        <v>12.357828</v>
      </c>
      <c r="R32" s="4">
        <f t="shared" si="0"/>
        <v>93.972464285027996</v>
      </c>
      <c r="S32" s="4">
        <f t="shared" si="1"/>
        <v>99.456717673679719</v>
      </c>
      <c r="T32" s="4">
        <f t="shared" si="2"/>
        <v>85.780279159368774</v>
      </c>
      <c r="U32" s="4">
        <f t="shared" si="3"/>
        <v>90.576127582505578</v>
      </c>
      <c r="V32" s="4">
        <f t="shared" si="4"/>
        <v>100.41796982765432</v>
      </c>
      <c r="W32" s="4">
        <f t="shared" si="5"/>
        <v>96.674398756882496</v>
      </c>
      <c r="X32" s="4">
        <f t="shared" si="6"/>
        <v>95.421941902599841</v>
      </c>
      <c r="Y32" s="9">
        <f t="shared" si="7"/>
        <v>94.540489949635344</v>
      </c>
      <c r="Z32" s="7">
        <f t="shared" si="8"/>
        <v>94.605048642169265</v>
      </c>
    </row>
    <row r="33" spans="1:26" x14ac:dyDescent="0.25">
      <c r="A33" s="11" t="s">
        <v>105</v>
      </c>
      <c r="B33">
        <v>94.372727999999995</v>
      </c>
      <c r="C33">
        <v>96.412308999999993</v>
      </c>
      <c r="D33">
        <v>98.835573999999994</v>
      </c>
      <c r="E33">
        <v>98.341261000000003</v>
      </c>
      <c r="F33">
        <v>98.763838000000007</v>
      </c>
      <c r="G33">
        <v>95.188028000000003</v>
      </c>
      <c r="H33">
        <v>98.890489000000002</v>
      </c>
      <c r="I33" s="3">
        <v>96.388227999999998</v>
      </c>
      <c r="J33">
        <v>94.510378000000003</v>
      </c>
      <c r="K33">
        <v>78.989681000000004</v>
      </c>
      <c r="L33">
        <v>99.343604999999997</v>
      </c>
      <c r="M33">
        <v>94.993106999999995</v>
      </c>
      <c r="N33">
        <v>92.270492000000004</v>
      </c>
      <c r="O33">
        <v>84.107247999999998</v>
      </c>
      <c r="P33">
        <v>95.480226000000002</v>
      </c>
      <c r="Q33" s="3">
        <v>86.805109999999999</v>
      </c>
      <c r="R33" s="4">
        <f t="shared" si="0"/>
        <v>100.14585781604195</v>
      </c>
      <c r="S33" s="4">
        <f t="shared" si="1"/>
        <v>81.929041861242027</v>
      </c>
      <c r="T33" s="4">
        <f t="shared" si="2"/>
        <v>100.51401633990611</v>
      </c>
      <c r="U33" s="4">
        <f t="shared" si="3"/>
        <v>96.595372109373287</v>
      </c>
      <c r="V33" s="4">
        <f t="shared" si="4"/>
        <v>93.425381059006639</v>
      </c>
      <c r="W33" s="4">
        <f t="shared" si="5"/>
        <v>88.359061288673828</v>
      </c>
      <c r="X33" s="4">
        <f t="shared" si="6"/>
        <v>96.551475238432687</v>
      </c>
      <c r="Y33" s="9">
        <f t="shared" si="7"/>
        <v>90.057792119593699</v>
      </c>
      <c r="Z33" s="7">
        <f t="shared" si="8"/>
        <v>93.447249729033771</v>
      </c>
    </row>
    <row r="34" spans="1:26" x14ac:dyDescent="0.25">
      <c r="A34" s="11" t="s">
        <v>106</v>
      </c>
      <c r="B34">
        <v>0.46843400000000002</v>
      </c>
      <c r="C34">
        <v>0.44028499999999998</v>
      </c>
      <c r="D34">
        <v>0.54658099999999998</v>
      </c>
      <c r="E34">
        <v>0.36262800000000001</v>
      </c>
      <c r="F34">
        <v>0.36063099999999998</v>
      </c>
      <c r="G34">
        <v>0.38969799999999999</v>
      </c>
      <c r="H34">
        <v>0.29661399999999999</v>
      </c>
      <c r="I34" s="3">
        <v>0.36829499999999998</v>
      </c>
      <c r="J34">
        <v>0.42449300000000001</v>
      </c>
      <c r="K34">
        <v>0.47675499999999998</v>
      </c>
      <c r="L34">
        <v>0.30007499999999998</v>
      </c>
      <c r="M34">
        <v>0.47611399999999998</v>
      </c>
      <c r="N34">
        <v>0.43004700000000001</v>
      </c>
      <c r="O34">
        <v>0.38647399999999998</v>
      </c>
      <c r="P34">
        <v>0.35472999999999999</v>
      </c>
      <c r="Q34" s="3">
        <v>0.31735200000000002</v>
      </c>
      <c r="R34" s="4">
        <f t="shared" si="0"/>
        <v>90.619596357224282</v>
      </c>
      <c r="S34" s="4">
        <f t="shared" si="1"/>
        <v>108.28327106306143</v>
      </c>
      <c r="T34" s="4">
        <f t="shared" si="2"/>
        <v>54.900371582619954</v>
      </c>
      <c r="U34" s="4">
        <f t="shared" si="3"/>
        <v>131.29543223358374</v>
      </c>
      <c r="V34" s="4">
        <f t="shared" si="4"/>
        <v>119.24848390737348</v>
      </c>
      <c r="W34" s="4">
        <f t="shared" si="5"/>
        <v>99.172692700501415</v>
      </c>
      <c r="X34" s="4">
        <f t="shared" si="6"/>
        <v>119.59314125429007</v>
      </c>
      <c r="Y34" s="9">
        <f t="shared" si="7"/>
        <v>86.167881725247426</v>
      </c>
      <c r="Z34" s="7">
        <f t="shared" si="8"/>
        <v>101.16010885298773</v>
      </c>
    </row>
    <row r="35" spans="1:26" x14ac:dyDescent="0.25">
      <c r="A35" s="11" t="s">
        <v>107</v>
      </c>
      <c r="B35">
        <v>0.65363899999999997</v>
      </c>
      <c r="C35">
        <v>0.548794</v>
      </c>
      <c r="D35">
        <v>0.94508400000000004</v>
      </c>
      <c r="E35">
        <v>0.46721200000000002</v>
      </c>
      <c r="F35">
        <v>1.4920519999999999</v>
      </c>
      <c r="G35">
        <v>0.80487900000000001</v>
      </c>
      <c r="H35">
        <v>1.530786</v>
      </c>
      <c r="I35" s="3">
        <v>0.91073700000000002</v>
      </c>
      <c r="J35">
        <v>0.90597399999999995</v>
      </c>
      <c r="K35">
        <v>0.72789499999999996</v>
      </c>
      <c r="L35">
        <v>0.857823</v>
      </c>
      <c r="M35">
        <v>1.1606129999999999</v>
      </c>
      <c r="N35">
        <v>0.77927199999999996</v>
      </c>
      <c r="O35">
        <v>0.62607299999999999</v>
      </c>
      <c r="P35">
        <v>0.98160000000000003</v>
      </c>
      <c r="Q35" s="3">
        <v>0.44144</v>
      </c>
      <c r="R35" s="4">
        <f t="shared" si="0"/>
        <v>138.60464262383366</v>
      </c>
      <c r="S35" s="4">
        <f t="shared" si="1"/>
        <v>132.63537866667639</v>
      </c>
      <c r="T35" s="4">
        <f t="shared" si="2"/>
        <v>90.766852470256609</v>
      </c>
      <c r="U35" s="4">
        <f t="shared" si="3"/>
        <v>248.41249796666182</v>
      </c>
      <c r="V35" s="4">
        <f t="shared" si="4"/>
        <v>52.228206523633226</v>
      </c>
      <c r="W35" s="4">
        <f t="shared" si="5"/>
        <v>77.784735345312768</v>
      </c>
      <c r="X35" s="4">
        <f t="shared" si="6"/>
        <v>64.123920652527531</v>
      </c>
      <c r="Y35" s="9">
        <f t="shared" si="7"/>
        <v>48.470634222613114</v>
      </c>
      <c r="Z35" s="7">
        <f t="shared" si="8"/>
        <v>106.6283585589394</v>
      </c>
    </row>
    <row r="36" spans="1:26" ht="15.75" x14ac:dyDescent="0.25">
      <c r="A36" s="13" t="s">
        <v>911</v>
      </c>
      <c r="I36" s="3"/>
      <c r="Q36" s="3"/>
      <c r="R36" s="4" t="str">
        <f t="shared" si="0"/>
        <v/>
      </c>
      <c r="S36" s="4" t="str">
        <f t="shared" si="1"/>
        <v/>
      </c>
      <c r="T36" s="4" t="str">
        <f t="shared" si="2"/>
        <v/>
      </c>
      <c r="U36" s="4" t="str">
        <f t="shared" si="3"/>
        <v/>
      </c>
      <c r="V36" s="4" t="str">
        <f t="shared" si="4"/>
        <v/>
      </c>
      <c r="W36" s="4" t="str">
        <f t="shared" si="5"/>
        <v/>
      </c>
      <c r="X36" s="4" t="str">
        <f t="shared" si="6"/>
        <v/>
      </c>
      <c r="Y36" s="9" t="str">
        <f t="shared" si="7"/>
        <v/>
      </c>
      <c r="Z36" s="7" t="e">
        <f t="shared" si="8"/>
        <v>#DIV/0!</v>
      </c>
    </row>
    <row r="37" spans="1:26" x14ac:dyDescent="0.25">
      <c r="A37" s="11" t="s">
        <v>109</v>
      </c>
      <c r="B37">
        <v>0.40377400000000002</v>
      </c>
      <c r="C37">
        <v>0.40455999999999998</v>
      </c>
      <c r="D37">
        <v>0.53648099999999999</v>
      </c>
      <c r="E37">
        <v>0.55176400000000003</v>
      </c>
      <c r="F37">
        <v>0.38126700000000002</v>
      </c>
      <c r="G37">
        <v>0.42094599999999999</v>
      </c>
      <c r="H37">
        <v>0.31872499999999998</v>
      </c>
      <c r="I37" s="3">
        <v>0.33481699999999998</v>
      </c>
      <c r="J37">
        <v>0.37417899999999998</v>
      </c>
      <c r="K37">
        <v>0.41457100000000002</v>
      </c>
      <c r="L37">
        <v>0.52881</v>
      </c>
      <c r="M37">
        <v>0.57667000000000002</v>
      </c>
      <c r="N37">
        <v>0.391542</v>
      </c>
      <c r="O37">
        <v>0.40837000000000001</v>
      </c>
      <c r="P37">
        <v>0.33212799999999998</v>
      </c>
      <c r="Q37" s="3">
        <v>0.28981499999999999</v>
      </c>
      <c r="R37" s="4">
        <f t="shared" si="0"/>
        <v>92.670404731359611</v>
      </c>
      <c r="S37" s="4">
        <f t="shared" si="1"/>
        <v>102.47454024124976</v>
      </c>
      <c r="T37" s="4">
        <f t="shared" si="2"/>
        <v>98.570126435046163</v>
      </c>
      <c r="U37" s="4">
        <f t="shared" si="3"/>
        <v>104.51388637170965</v>
      </c>
      <c r="V37" s="4">
        <f t="shared" si="4"/>
        <v>102.69496179842473</v>
      </c>
      <c r="W37" s="4">
        <f t="shared" si="5"/>
        <v>97.012443401291378</v>
      </c>
      <c r="X37" s="4">
        <f t="shared" si="6"/>
        <v>104.20519256412268</v>
      </c>
      <c r="Y37" s="9">
        <f t="shared" si="7"/>
        <v>86.559224890014548</v>
      </c>
      <c r="Z37" s="7">
        <f t="shared" si="8"/>
        <v>98.587597554152325</v>
      </c>
    </row>
    <row r="38" spans="1:26" x14ac:dyDescent="0.25">
      <c r="A38" s="11" t="s">
        <v>110</v>
      </c>
      <c r="B38">
        <v>3.948375</v>
      </c>
      <c r="C38">
        <v>1.6306670000000001</v>
      </c>
      <c r="D38">
        <v>4.9565970000000004</v>
      </c>
      <c r="E38">
        <v>5.8716249999999999</v>
      </c>
      <c r="F38">
        <v>2.8429030000000002</v>
      </c>
      <c r="G38">
        <v>4.6605280000000002</v>
      </c>
      <c r="H38">
        <v>2.948264</v>
      </c>
      <c r="I38" s="3">
        <v>5.674944</v>
      </c>
      <c r="J38">
        <v>4.2475560000000003</v>
      </c>
      <c r="K38">
        <v>1.784764</v>
      </c>
      <c r="L38">
        <v>5.9160000000000004</v>
      </c>
      <c r="M38">
        <v>6.3522920000000003</v>
      </c>
      <c r="N38">
        <v>3.2533470000000002</v>
      </c>
      <c r="O38">
        <v>4.6784030000000003</v>
      </c>
      <c r="P38">
        <v>3.1074860000000002</v>
      </c>
      <c r="Q38" s="3">
        <v>4.5145140000000001</v>
      </c>
      <c r="R38" s="4">
        <f t="shared" si="0"/>
        <v>107.57731978345524</v>
      </c>
      <c r="S38" s="4">
        <f t="shared" si="1"/>
        <v>109.44993674367605</v>
      </c>
      <c r="T38" s="4">
        <f t="shared" si="2"/>
        <v>119.35608240895921</v>
      </c>
      <c r="U38" s="4">
        <f t="shared" si="3"/>
        <v>108.18626870755541</v>
      </c>
      <c r="V38" s="4">
        <f t="shared" si="4"/>
        <v>114.437495756978</v>
      </c>
      <c r="W38" s="4">
        <f t="shared" si="5"/>
        <v>100.38354023406791</v>
      </c>
      <c r="X38" s="4">
        <f t="shared" si="6"/>
        <v>105.40053400916607</v>
      </c>
      <c r="Y38" s="9">
        <f t="shared" si="7"/>
        <v>79.551692492472171</v>
      </c>
      <c r="Z38" s="7">
        <f t="shared" si="8"/>
        <v>105.54285876704127</v>
      </c>
    </row>
    <row r="39" spans="1:26" x14ac:dyDescent="0.25">
      <c r="A39" s="11" t="s">
        <v>111</v>
      </c>
      <c r="B39">
        <v>17</v>
      </c>
      <c r="C39">
        <v>25</v>
      </c>
      <c r="D39">
        <v>27</v>
      </c>
      <c r="E39">
        <v>19</v>
      </c>
      <c r="F39">
        <v>23</v>
      </c>
      <c r="G39">
        <v>18</v>
      </c>
      <c r="H39">
        <v>19</v>
      </c>
      <c r="I39" s="3">
        <v>18</v>
      </c>
      <c r="J39">
        <v>16</v>
      </c>
      <c r="K39">
        <v>21</v>
      </c>
      <c r="L39">
        <v>25</v>
      </c>
      <c r="M39">
        <v>20</v>
      </c>
      <c r="N39">
        <v>25</v>
      </c>
      <c r="O39">
        <v>16</v>
      </c>
      <c r="P39">
        <v>17</v>
      </c>
      <c r="Q39" s="3">
        <v>24</v>
      </c>
      <c r="R39" s="4">
        <f t="shared" si="0"/>
        <v>94.117647058823522</v>
      </c>
      <c r="S39" s="4">
        <f t="shared" si="1"/>
        <v>84</v>
      </c>
      <c r="T39" s="4">
        <f t="shared" si="2"/>
        <v>92.592592592592595</v>
      </c>
      <c r="U39" s="4">
        <f t="shared" si="3"/>
        <v>105.26315789473684</v>
      </c>
      <c r="V39" s="4">
        <f t="shared" si="4"/>
        <v>108.69565217391303</v>
      </c>
      <c r="W39" s="4">
        <f t="shared" si="5"/>
        <v>88.888888888888886</v>
      </c>
      <c r="X39" s="4">
        <f t="shared" si="6"/>
        <v>89.473684210526315</v>
      </c>
      <c r="Y39" s="9">
        <f t="shared" si="7"/>
        <v>133.33333333333331</v>
      </c>
      <c r="Z39" s="7">
        <f t="shared" si="8"/>
        <v>99.54561951910182</v>
      </c>
    </row>
    <row r="40" spans="1:26" x14ac:dyDescent="0.25">
      <c r="A40" s="11" t="s">
        <v>112</v>
      </c>
      <c r="B40">
        <v>59</v>
      </c>
      <c r="C40">
        <v>76</v>
      </c>
      <c r="D40">
        <v>104</v>
      </c>
      <c r="E40">
        <v>77</v>
      </c>
      <c r="F40">
        <v>88</v>
      </c>
      <c r="G40">
        <v>85</v>
      </c>
      <c r="H40">
        <v>67</v>
      </c>
      <c r="I40" s="3">
        <v>83</v>
      </c>
      <c r="J40">
        <v>62</v>
      </c>
      <c r="K40">
        <v>71</v>
      </c>
      <c r="L40">
        <v>106</v>
      </c>
      <c r="M40">
        <v>68</v>
      </c>
      <c r="N40">
        <v>86</v>
      </c>
      <c r="O40">
        <v>80</v>
      </c>
      <c r="P40">
        <v>64</v>
      </c>
      <c r="Q40" s="3">
        <v>87</v>
      </c>
      <c r="R40" s="4">
        <f t="shared" si="0"/>
        <v>105.08474576271188</v>
      </c>
      <c r="S40" s="4">
        <f t="shared" si="1"/>
        <v>93.421052631578945</v>
      </c>
      <c r="T40" s="4">
        <f t="shared" si="2"/>
        <v>101.92307692307692</v>
      </c>
      <c r="U40" s="4">
        <f t="shared" si="3"/>
        <v>88.311688311688314</v>
      </c>
      <c r="V40" s="4">
        <f t="shared" si="4"/>
        <v>97.727272727272734</v>
      </c>
      <c r="W40" s="4">
        <f t="shared" si="5"/>
        <v>94.117647058823522</v>
      </c>
      <c r="X40" s="4">
        <f t="shared" si="6"/>
        <v>95.522388059701484</v>
      </c>
      <c r="Y40" s="9">
        <f t="shared" si="7"/>
        <v>104.81927710843372</v>
      </c>
      <c r="Z40" s="7">
        <f t="shared" si="8"/>
        <v>97.615893572910949</v>
      </c>
    </row>
    <row r="41" spans="1:26" x14ac:dyDescent="0.25">
      <c r="A41" s="11" t="s">
        <v>113</v>
      </c>
      <c r="B41" t="s">
        <v>114</v>
      </c>
      <c r="C41" t="s">
        <v>114</v>
      </c>
      <c r="D41" t="s">
        <v>114</v>
      </c>
      <c r="E41" t="s">
        <v>114</v>
      </c>
      <c r="F41" t="s">
        <v>114</v>
      </c>
      <c r="G41" t="s">
        <v>114</v>
      </c>
      <c r="H41" t="s">
        <v>114</v>
      </c>
      <c r="I41" s="3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s="3" t="s">
        <v>114</v>
      </c>
      <c r="R41" s="4" t="e">
        <f t="shared" si="0"/>
        <v>#VALUE!</v>
      </c>
      <c r="S41" s="4" t="e">
        <f t="shared" si="1"/>
        <v>#VALUE!</v>
      </c>
      <c r="T41" s="4" t="e">
        <f t="shared" si="2"/>
        <v>#VALUE!</v>
      </c>
      <c r="U41" s="4" t="e">
        <f t="shared" si="3"/>
        <v>#VALUE!</v>
      </c>
      <c r="V41" s="4" t="e">
        <f t="shared" si="4"/>
        <v>#VALUE!</v>
      </c>
      <c r="W41" s="4" t="e">
        <f t="shared" si="5"/>
        <v>#VALUE!</v>
      </c>
      <c r="X41" s="4" t="e">
        <f t="shared" si="6"/>
        <v>#VALUE!</v>
      </c>
      <c r="Y41" s="9" t="e">
        <f t="shared" si="7"/>
        <v>#VALUE!</v>
      </c>
      <c r="Z41" s="7" t="e">
        <f t="shared" si="8"/>
        <v>#VALUE!</v>
      </c>
    </row>
    <row r="42" spans="1:26" x14ac:dyDescent="0.25">
      <c r="A42" s="11" t="s">
        <v>115</v>
      </c>
      <c r="B42" t="s">
        <v>114</v>
      </c>
      <c r="C42" t="s">
        <v>114</v>
      </c>
      <c r="D42" t="s">
        <v>114</v>
      </c>
      <c r="E42" t="s">
        <v>114</v>
      </c>
      <c r="F42" t="s">
        <v>114</v>
      </c>
      <c r="G42" t="s">
        <v>114</v>
      </c>
      <c r="H42" t="s">
        <v>114</v>
      </c>
      <c r="I42" s="3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114</v>
      </c>
      <c r="P42" t="s">
        <v>114</v>
      </c>
      <c r="Q42" s="3" t="s">
        <v>114</v>
      </c>
      <c r="R42" s="4" t="e">
        <f t="shared" si="0"/>
        <v>#VALUE!</v>
      </c>
      <c r="S42" s="4" t="e">
        <f t="shared" si="1"/>
        <v>#VALUE!</v>
      </c>
      <c r="T42" s="4" t="e">
        <f t="shared" si="2"/>
        <v>#VALUE!</v>
      </c>
      <c r="U42" s="4" t="e">
        <f t="shared" si="3"/>
        <v>#VALUE!</v>
      </c>
      <c r="V42" s="4" t="e">
        <f t="shared" si="4"/>
        <v>#VALUE!</v>
      </c>
      <c r="W42" s="4" t="e">
        <f t="shared" si="5"/>
        <v>#VALUE!</v>
      </c>
      <c r="X42" s="4" t="e">
        <f t="shared" si="6"/>
        <v>#VALUE!</v>
      </c>
      <c r="Y42" s="9" t="e">
        <f t="shared" si="7"/>
        <v>#VALUE!</v>
      </c>
      <c r="Z42" s="7" t="e">
        <f t="shared" si="8"/>
        <v>#VALUE!</v>
      </c>
    </row>
    <row r="43" spans="1:26" x14ac:dyDescent="0.25">
      <c r="A43" s="11" t="s">
        <v>116</v>
      </c>
      <c r="I43" s="3"/>
      <c r="Q43" s="3"/>
      <c r="R43" s="4" t="str">
        <f t="shared" si="0"/>
        <v/>
      </c>
      <c r="S43" s="4" t="str">
        <f t="shared" si="1"/>
        <v/>
      </c>
      <c r="T43" s="4" t="str">
        <f t="shared" si="2"/>
        <v/>
      </c>
      <c r="U43" s="4" t="str">
        <f t="shared" si="3"/>
        <v/>
      </c>
      <c r="V43" s="4" t="str">
        <f t="shared" si="4"/>
        <v/>
      </c>
      <c r="W43" s="4" t="str">
        <f t="shared" si="5"/>
        <v/>
      </c>
      <c r="X43" s="4" t="str">
        <f t="shared" si="6"/>
        <v/>
      </c>
      <c r="Y43" s="9" t="str">
        <f t="shared" si="7"/>
        <v/>
      </c>
      <c r="Z43" s="7" t="e">
        <f t="shared" si="8"/>
        <v>#DIV/0!</v>
      </c>
    </row>
    <row r="44" spans="1:26" x14ac:dyDescent="0.25">
      <c r="A44" s="11" t="s">
        <v>117</v>
      </c>
      <c r="B44">
        <v>12</v>
      </c>
      <c r="C44">
        <v>31</v>
      </c>
      <c r="D44">
        <v>42</v>
      </c>
      <c r="E44">
        <v>24</v>
      </c>
      <c r="F44">
        <v>31</v>
      </c>
      <c r="G44">
        <v>13</v>
      </c>
      <c r="H44">
        <v>24</v>
      </c>
      <c r="I44" s="3">
        <v>11</v>
      </c>
      <c r="J44">
        <v>12</v>
      </c>
      <c r="K44">
        <v>11</v>
      </c>
      <c r="L44">
        <v>42</v>
      </c>
      <c r="M44">
        <v>11</v>
      </c>
      <c r="N44">
        <v>31</v>
      </c>
      <c r="O44">
        <v>13</v>
      </c>
      <c r="P44">
        <v>42</v>
      </c>
      <c r="Q44" s="3">
        <v>11</v>
      </c>
      <c r="R44" s="4">
        <f t="shared" si="0"/>
        <v>100</v>
      </c>
      <c r="S44" s="4">
        <f t="shared" si="1"/>
        <v>35.483870967741936</v>
      </c>
      <c r="T44" s="4">
        <f t="shared" si="2"/>
        <v>100</v>
      </c>
      <c r="U44" s="4">
        <f t="shared" si="3"/>
        <v>45.833333333333329</v>
      </c>
      <c r="V44" s="4">
        <f t="shared" si="4"/>
        <v>100</v>
      </c>
      <c r="W44" s="4">
        <f t="shared" si="5"/>
        <v>100</v>
      </c>
      <c r="X44" s="4">
        <f t="shared" si="6"/>
        <v>175</v>
      </c>
      <c r="Y44" s="9">
        <f t="shared" si="7"/>
        <v>100</v>
      </c>
      <c r="Z44" s="7">
        <f t="shared" si="8"/>
        <v>94.539650537634401</v>
      </c>
    </row>
    <row r="45" spans="1:26" x14ac:dyDescent="0.25">
      <c r="A45" s="11" t="s">
        <v>118</v>
      </c>
      <c r="B45">
        <v>51.282051000000003</v>
      </c>
      <c r="C45">
        <v>22.388059999999999</v>
      </c>
      <c r="D45">
        <v>27.272727</v>
      </c>
      <c r="E45">
        <v>23.584906</v>
      </c>
      <c r="F45">
        <v>31.395349</v>
      </c>
      <c r="G45">
        <v>18</v>
      </c>
      <c r="H45">
        <v>29.914529999999999</v>
      </c>
      <c r="I45" s="3">
        <v>35.820895999999998</v>
      </c>
      <c r="J45">
        <v>33.333333000000003</v>
      </c>
      <c r="K45">
        <v>18.75</v>
      </c>
      <c r="L45">
        <v>44</v>
      </c>
      <c r="M45">
        <v>25.203251999999999</v>
      </c>
      <c r="N45">
        <v>31.395349</v>
      </c>
      <c r="O45">
        <v>34.313724999999998</v>
      </c>
      <c r="P45">
        <v>33.057850999999999</v>
      </c>
      <c r="Q45" s="3">
        <v>73.134327999999996</v>
      </c>
      <c r="R45" s="4">
        <f t="shared" si="0"/>
        <v>64.999999707499995</v>
      </c>
      <c r="S45" s="4">
        <f t="shared" si="1"/>
        <v>83.749998883333348</v>
      </c>
      <c r="T45" s="4">
        <f t="shared" si="2"/>
        <v>161.3333349466667</v>
      </c>
      <c r="U45" s="4">
        <f t="shared" si="3"/>
        <v>106.86178694119026</v>
      </c>
      <c r="V45" s="4">
        <f t="shared" si="4"/>
        <v>100</v>
      </c>
      <c r="W45" s="4">
        <f t="shared" si="5"/>
        <v>190.63180555555556</v>
      </c>
      <c r="X45" s="4">
        <f t="shared" si="6"/>
        <v>110.50767302712094</v>
      </c>
      <c r="Y45" s="9">
        <f t="shared" si="7"/>
        <v>204.16666294444448</v>
      </c>
      <c r="Z45" s="7">
        <f t="shared" si="8"/>
        <v>127.78140775072642</v>
      </c>
    </row>
    <row r="46" spans="1:26" x14ac:dyDescent="0.25">
      <c r="A46" s="11" t="s">
        <v>119</v>
      </c>
      <c r="B46">
        <v>1192.3076920000001</v>
      </c>
      <c r="C46">
        <v>1402.9850750000001</v>
      </c>
      <c r="D46">
        <v>2254.5454549999999</v>
      </c>
      <c r="E46">
        <v>1528.3018870000001</v>
      </c>
      <c r="F46">
        <v>1290.697674</v>
      </c>
      <c r="G46">
        <v>1240</v>
      </c>
      <c r="H46">
        <v>1196.581197</v>
      </c>
      <c r="I46" s="3">
        <v>1179.104478</v>
      </c>
      <c r="J46">
        <v>741.29353200000003</v>
      </c>
      <c r="K46">
        <v>1031.25</v>
      </c>
      <c r="L46">
        <v>1373.333333</v>
      </c>
      <c r="M46">
        <v>1195.1219510000001</v>
      </c>
      <c r="N46">
        <v>1348.837209</v>
      </c>
      <c r="O46">
        <v>1019.607843</v>
      </c>
      <c r="P46">
        <v>1033.057851</v>
      </c>
      <c r="Q46" s="3">
        <v>37.313433000000003</v>
      </c>
      <c r="R46" s="4">
        <f t="shared" si="0"/>
        <v>62.173005925722066</v>
      </c>
      <c r="S46" s="4">
        <f t="shared" si="1"/>
        <v>73.50398934215319</v>
      </c>
      <c r="T46" s="4">
        <f t="shared" si="2"/>
        <v>60.913978467557669</v>
      </c>
      <c r="U46" s="4">
        <f t="shared" si="3"/>
        <v>78.199337523948245</v>
      </c>
      <c r="V46" s="4">
        <f t="shared" si="4"/>
        <v>104.50450451497444</v>
      </c>
      <c r="W46" s="4">
        <f t="shared" si="5"/>
        <v>82.226438951612906</v>
      </c>
      <c r="X46" s="4">
        <f t="shared" si="6"/>
        <v>86.334120374783069</v>
      </c>
      <c r="Y46" s="9">
        <f t="shared" si="7"/>
        <v>3.1645569749078679</v>
      </c>
      <c r="Z46" s="7">
        <f t="shared" si="8"/>
        <v>68.877491509457442</v>
      </c>
    </row>
    <row r="47" spans="1:26" x14ac:dyDescent="0.25">
      <c r="A47" s="11" t="s">
        <v>120</v>
      </c>
      <c r="B47">
        <v>22.5</v>
      </c>
      <c r="C47">
        <v>43.5</v>
      </c>
      <c r="D47">
        <v>56.5</v>
      </c>
      <c r="E47">
        <v>76.5</v>
      </c>
      <c r="F47">
        <v>56.5</v>
      </c>
      <c r="G47">
        <v>72.5</v>
      </c>
      <c r="H47">
        <v>54.5</v>
      </c>
      <c r="I47" s="3">
        <v>74.5</v>
      </c>
      <c r="J47">
        <v>16.5</v>
      </c>
      <c r="K47">
        <v>38.5</v>
      </c>
      <c r="L47">
        <v>56.5</v>
      </c>
      <c r="M47">
        <v>38.5</v>
      </c>
      <c r="N47">
        <v>34.5</v>
      </c>
      <c r="O47">
        <v>76.5</v>
      </c>
      <c r="P47">
        <v>38.5</v>
      </c>
      <c r="Q47" s="3">
        <v>68.5</v>
      </c>
      <c r="R47" s="4">
        <f t="shared" si="0"/>
        <v>73.333333333333329</v>
      </c>
      <c r="S47" s="4">
        <f t="shared" si="1"/>
        <v>88.505747126436788</v>
      </c>
      <c r="T47" s="4">
        <f t="shared" si="2"/>
        <v>100</v>
      </c>
      <c r="U47" s="4">
        <f t="shared" si="3"/>
        <v>50.326797385620914</v>
      </c>
      <c r="V47" s="4">
        <f t="shared" si="4"/>
        <v>61.06194690265486</v>
      </c>
      <c r="W47" s="4">
        <f t="shared" si="5"/>
        <v>105.51724137931035</v>
      </c>
      <c r="X47" s="4">
        <f t="shared" si="6"/>
        <v>70.642201834862391</v>
      </c>
      <c r="Y47" s="9">
        <f t="shared" si="7"/>
        <v>91.946308724832221</v>
      </c>
      <c r="Z47" s="7">
        <f t="shared" si="8"/>
        <v>80.166697085881353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"/>
  <sheetViews>
    <sheetView zoomScale="75" zoomScaleNormal="75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48.7109375" style="12" bestFit="1" customWidth="1"/>
    <col min="2" max="17" width="9.28515625" bestFit="1" customWidth="1"/>
    <col min="18" max="25" width="10.5703125" bestFit="1" customWidth="1"/>
    <col min="34" max="34" width="10.5703125" bestFit="1" customWidth="1"/>
  </cols>
  <sheetData>
    <row r="1" spans="1:35" x14ac:dyDescent="0.25">
      <c r="A1" s="10" t="s">
        <v>912</v>
      </c>
      <c r="B1" t="s">
        <v>902</v>
      </c>
    </row>
    <row r="2" spans="1:35" x14ac:dyDescent="0.25">
      <c r="A2" s="11"/>
      <c r="B2" t="s">
        <v>903</v>
      </c>
      <c r="I2" s="3"/>
      <c r="J2" t="s">
        <v>904</v>
      </c>
      <c r="Q2" s="3"/>
      <c r="R2" t="s">
        <v>905</v>
      </c>
      <c r="Y2" s="3"/>
      <c r="Z2" t="s">
        <v>913</v>
      </c>
      <c r="AI2" s="3"/>
    </row>
    <row r="3" spans="1:35" ht="15.75" x14ac:dyDescent="0.25">
      <c r="A3" s="13"/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s="3" t="s">
        <v>75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s="3" t="s">
        <v>75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 t="s">
        <v>73</v>
      </c>
      <c r="X3" t="s">
        <v>74</v>
      </c>
      <c r="Y3" s="3" t="s">
        <v>75</v>
      </c>
      <c r="Z3" t="s">
        <v>68</v>
      </c>
      <c r="AA3" t="s">
        <v>69</v>
      </c>
      <c r="AB3" t="s">
        <v>70</v>
      </c>
      <c r="AC3" t="s">
        <v>71</v>
      </c>
      <c r="AD3" t="s">
        <v>72</v>
      </c>
      <c r="AE3" t="s">
        <v>73</v>
      </c>
      <c r="AF3" t="s">
        <v>74</v>
      </c>
      <c r="AG3" s="8" t="s">
        <v>75</v>
      </c>
      <c r="AH3" s="6" t="s">
        <v>907</v>
      </c>
      <c r="AI3" s="3" t="s">
        <v>914</v>
      </c>
    </row>
    <row r="4" spans="1:35" x14ac:dyDescent="0.25">
      <c r="A4" s="11" t="s">
        <v>76</v>
      </c>
      <c r="I4" s="3"/>
      <c r="Q4" s="3"/>
      <c r="Y4" s="3"/>
      <c r="AG4" s="8"/>
      <c r="AH4" s="6"/>
      <c r="AI4" s="3"/>
    </row>
    <row r="5" spans="1:35" ht="15.75" x14ac:dyDescent="0.25">
      <c r="A5" s="13" t="s">
        <v>908</v>
      </c>
      <c r="I5" s="3"/>
      <c r="Q5" s="3"/>
      <c r="R5" s="4" t="str">
        <f t="shared" ref="R5:R47" si="0">IF(ISBLANK(J5),"",J5/B5*100)</f>
        <v/>
      </c>
      <c r="S5" s="4" t="str">
        <f t="shared" ref="S5:S47" si="1">IF(ISBLANK(K5),"",K5/C5*100)</f>
        <v/>
      </c>
      <c r="T5" s="4" t="str">
        <f t="shared" ref="T5:T47" si="2">IF(ISBLANK(L5),"",L5/D5*100)</f>
        <v/>
      </c>
      <c r="U5" s="4" t="str">
        <f t="shared" ref="U5:U47" si="3">IF(ISBLANK(M5),"",M5/E5*100)</f>
        <v/>
      </c>
      <c r="V5" s="4" t="str">
        <f t="shared" ref="V5:V47" si="4">IF(ISBLANK(N5),"",N5/F5*100)</f>
        <v/>
      </c>
      <c r="W5" s="4" t="str">
        <f t="shared" ref="W5:W47" si="5">IF(ISBLANK(O5),"",O5/G5*100)</f>
        <v/>
      </c>
      <c r="X5" s="4" t="str">
        <f t="shared" ref="X5:X47" si="6">IF(ISBLANK(P5),"",P5/H5*100)</f>
        <v/>
      </c>
      <c r="Y5" s="5" t="str">
        <f t="shared" ref="Y5:Y47" si="7">IF(ISBLANK(Q5),"",Q5/I5*100)</f>
        <v/>
      </c>
      <c r="Z5" s="4" t="e">
        <f>IF(ISBLANK(R5),"",R5/RelMean*100)</f>
        <v>#VALUE!</v>
      </c>
      <c r="AA5" s="4" t="e">
        <f>IF(ISBLANK(S5),"",S5/RelMean*100)</f>
        <v>#VALUE!</v>
      </c>
      <c r="AB5" s="4" t="e">
        <f>IF(ISBLANK(T5),"",T5/RelMean*100)</f>
        <v>#VALUE!</v>
      </c>
      <c r="AC5" s="4" t="e">
        <f>IF(ISBLANK(U5),"",U5/RelMean*100)</f>
        <v>#VALUE!</v>
      </c>
      <c r="AD5" s="4" t="e">
        <f>IF(ISBLANK(V5),"",V5/RelMean*100)</f>
        <v>#VALUE!</v>
      </c>
      <c r="AE5" s="4" t="e">
        <f>IF(ISBLANK(W5),"",W5/RelMean*100)</f>
        <v>#VALUE!</v>
      </c>
      <c r="AF5" s="4" t="e">
        <f>IF(ISBLANK(X5),"",X5/RelMean*100)</f>
        <v>#VALUE!</v>
      </c>
      <c r="AG5" s="9" t="e">
        <f>IF(ISBLANK(Y5),"",Y5/RelMean*100)</f>
        <v>#VALUE!</v>
      </c>
      <c r="AH5" s="7" t="e">
        <f t="shared" ref="AH5:AH47" si="8">AVERAGE(Z5:AG5)</f>
        <v>#VALUE!</v>
      </c>
      <c r="AI5" s="5" t="e">
        <f t="shared" ref="AI5:AI47" si="9">STDEV(Z5:AG5)</f>
        <v>#VALUE!</v>
      </c>
    </row>
    <row r="6" spans="1:35" x14ac:dyDescent="0.25">
      <c r="A6" s="11" t="s">
        <v>78</v>
      </c>
      <c r="B6">
        <v>14799</v>
      </c>
      <c r="C6">
        <v>18621</v>
      </c>
      <c r="D6">
        <v>12097</v>
      </c>
      <c r="E6">
        <v>6595</v>
      </c>
      <c r="F6">
        <v>7778</v>
      </c>
      <c r="G6">
        <v>11643</v>
      </c>
      <c r="H6">
        <v>8227</v>
      </c>
      <c r="I6" s="3">
        <v>14445</v>
      </c>
      <c r="J6">
        <v>14335</v>
      </c>
      <c r="K6">
        <v>21212</v>
      </c>
      <c r="L6">
        <v>10886</v>
      </c>
      <c r="M6">
        <v>5913</v>
      </c>
      <c r="N6">
        <v>9791</v>
      </c>
      <c r="O6">
        <v>12510</v>
      </c>
      <c r="P6">
        <v>9592</v>
      </c>
      <c r="Q6" s="3">
        <v>15724</v>
      </c>
      <c r="R6" s="4">
        <f t="shared" si="0"/>
        <v>96.864653017095748</v>
      </c>
      <c r="S6" s="4">
        <f t="shared" si="1"/>
        <v>113.91439772300092</v>
      </c>
      <c r="T6" s="4">
        <f t="shared" si="2"/>
        <v>89.989253533934033</v>
      </c>
      <c r="U6" s="4">
        <f t="shared" si="3"/>
        <v>89.658832448824867</v>
      </c>
      <c r="V6" s="4">
        <f t="shared" si="4"/>
        <v>125.8806891231679</v>
      </c>
      <c r="W6" s="4">
        <f t="shared" si="5"/>
        <v>107.44653439835095</v>
      </c>
      <c r="X6" s="4">
        <f t="shared" si="6"/>
        <v>116.59171022243831</v>
      </c>
      <c r="Y6" s="5">
        <f t="shared" si="7"/>
        <v>108.85427483558325</v>
      </c>
      <c r="Z6" s="4">
        <f>IF(ISBLANK(R6),"",R6/RelMean*100)</f>
        <v>87.580191946173215</v>
      </c>
      <c r="AA6" s="4">
        <f>IF(ISBLANK(S6),"",S6/RelMean*100)</f>
        <v>102.99572142432956</v>
      </c>
      <c r="AB6" s="4">
        <f>IF(ISBLANK(T6),"",T6/RelMean*100)</f>
        <v>81.363798373425382</v>
      </c>
      <c r="AC6" s="4">
        <f>IF(ISBLANK(U6),"",U6/RelMean*100)</f>
        <v>81.065048095015598</v>
      </c>
      <c r="AD6" s="4">
        <f>IF(ISBLANK(V6),"",V6/RelMean*100)</f>
        <v>113.81504576058153</v>
      </c>
      <c r="AE6" s="4">
        <f>IF(ISBLANK(W6),"",W6/RelMean*100)</f>
        <v>97.147801736283142</v>
      </c>
      <c r="AF6" s="4">
        <f>IF(ISBLANK(X6),"",X6/RelMean*100)</f>
        <v>105.41641396074148</v>
      </c>
      <c r="AG6" s="9">
        <f>IF(ISBLANK(Y6),"",Y6/RelMean*100)</f>
        <v>98.420610483984277</v>
      </c>
      <c r="AH6" s="7">
        <f t="shared" si="8"/>
        <v>95.97557897256678</v>
      </c>
      <c r="AI6" s="5">
        <f t="shared" si="9"/>
        <v>11.773585523462799</v>
      </c>
    </row>
    <row r="7" spans="1:35" x14ac:dyDescent="0.25">
      <c r="A7" s="11" t="s">
        <v>79</v>
      </c>
      <c r="B7">
        <v>2.2422725454545454</v>
      </c>
      <c r="C7">
        <v>3.4483333333333328</v>
      </c>
      <c r="D7">
        <v>1.3441110000000003</v>
      </c>
      <c r="E7">
        <v>1.2212963333333331</v>
      </c>
      <c r="F7">
        <v>1.1784849090909089</v>
      </c>
      <c r="G7">
        <v>1.9405000000000001</v>
      </c>
      <c r="H7">
        <v>1.9588094285714288</v>
      </c>
      <c r="I7" s="3">
        <v>2.6749999999999998</v>
      </c>
      <c r="J7">
        <v>2.1719696363636363</v>
      </c>
      <c r="K7">
        <v>3.9281480000000002</v>
      </c>
      <c r="L7">
        <v>1.2095555333333332</v>
      </c>
      <c r="M7">
        <v>1.0949999999999998</v>
      </c>
      <c r="N7">
        <v>1.483484909090909</v>
      </c>
      <c r="O7">
        <v>2.085</v>
      </c>
      <c r="P7">
        <v>2.2838095714285713</v>
      </c>
      <c r="Q7" s="3">
        <v>2.9118520000000001</v>
      </c>
      <c r="R7" s="4">
        <f t="shared" si="0"/>
        <v>96.864658168632317</v>
      </c>
      <c r="S7" s="4">
        <f t="shared" si="1"/>
        <v>113.91439342677626</v>
      </c>
      <c r="T7" s="4">
        <f t="shared" si="2"/>
        <v>89.98925931960477</v>
      </c>
      <c r="U7" s="4">
        <f t="shared" si="3"/>
        <v>89.658829729830785</v>
      </c>
      <c r="V7" s="4">
        <f t="shared" si="4"/>
        <v>125.88068779219917</v>
      </c>
      <c r="W7" s="4">
        <f t="shared" si="5"/>
        <v>107.44653439835092</v>
      </c>
      <c r="X7" s="4">
        <f t="shared" si="6"/>
        <v>116.59171832219366</v>
      </c>
      <c r="Y7" s="5">
        <f t="shared" si="7"/>
        <v>108.85428037383178</v>
      </c>
      <c r="Z7" s="4">
        <f>IF(ISBLANK(R7),"",R7/RelMean*100)</f>
        <v>87.580197861362535</v>
      </c>
      <c r="AA7" s="4">
        <f>IF(ISBLANK(S7),"",S7/RelMean*100)</f>
        <v>102.9957190186513</v>
      </c>
      <c r="AB7" s="4">
        <f>IF(ISBLANK(T7),"",T7/RelMean*100)</f>
        <v>81.363804772715781</v>
      </c>
      <c r="AC7" s="4">
        <f>IF(ISBLANK(U7),"",U7/RelMean*100)</f>
        <v>81.065046800522509</v>
      </c>
      <c r="AD7" s="4">
        <f>IF(ISBLANK(V7),"",V7/RelMean*100)</f>
        <v>113.81504619127764</v>
      </c>
      <c r="AE7" s="4">
        <f>IF(ISBLANK(W7),"",W7/RelMean*100)</f>
        <v>97.147803131076031</v>
      </c>
      <c r="AF7" s="4">
        <f>IF(ISBLANK(X7),"",X7/RelMean*100)</f>
        <v>105.41642279764567</v>
      </c>
      <c r="AG7" s="9">
        <f>IF(ISBLANK(Y7),"",Y7/RelMean*100)</f>
        <v>98.420616904459862</v>
      </c>
      <c r="AH7" s="7">
        <f t="shared" si="8"/>
        <v>95.975582184713915</v>
      </c>
      <c r="AI7" s="5">
        <f t="shared" si="9"/>
        <v>11.773585131453665</v>
      </c>
    </row>
    <row r="8" spans="1:35" x14ac:dyDescent="0.25">
      <c r="A8" s="11" t="s">
        <v>80</v>
      </c>
      <c r="B8">
        <v>2.9963438181818178</v>
      </c>
      <c r="C8">
        <v>3.7064398888888892</v>
      </c>
      <c r="D8">
        <v>2.2058916666666666</v>
      </c>
      <c r="E8">
        <v>2.3109666666666668</v>
      </c>
      <c r="F8">
        <v>2.1334477272727272</v>
      </c>
      <c r="G8">
        <v>2.8553172</v>
      </c>
      <c r="H8">
        <v>2.4635964285714285</v>
      </c>
      <c r="I8" s="3">
        <v>2.4838830000000005</v>
      </c>
      <c r="J8">
        <v>2.4530753636363638</v>
      </c>
      <c r="K8">
        <v>2.9949362222222229</v>
      </c>
      <c r="L8">
        <v>1.86232</v>
      </c>
      <c r="M8">
        <v>2.1119192222222218</v>
      </c>
      <c r="N8">
        <v>2.1336430909090911</v>
      </c>
      <c r="O8">
        <v>2.6185182999999999</v>
      </c>
      <c r="P8">
        <v>2.587888142857143</v>
      </c>
      <c r="Q8" s="3">
        <v>2.3327156666666666</v>
      </c>
      <c r="R8" s="4">
        <f t="shared" si="0"/>
        <v>81.868954715780589</v>
      </c>
      <c r="S8" s="4">
        <f t="shared" si="1"/>
        <v>80.803582737181273</v>
      </c>
      <c r="T8" s="4">
        <f t="shared" si="2"/>
        <v>84.424816872995422</v>
      </c>
      <c r="U8" s="4">
        <f t="shared" si="3"/>
        <v>91.386831869299499</v>
      </c>
      <c r="V8" s="4">
        <f t="shared" si="4"/>
        <v>100.00915717942682</v>
      </c>
      <c r="W8" s="4">
        <f t="shared" si="5"/>
        <v>91.70673927226018</v>
      </c>
      <c r="X8" s="4">
        <f t="shared" si="6"/>
        <v>105.04513291398901</v>
      </c>
      <c r="Y8" s="5">
        <f t="shared" si="7"/>
        <v>93.914071905426553</v>
      </c>
      <c r="Z8" s="4">
        <f>IF(ISBLANK(R8),"",R8/RelMean*100)</f>
        <v>91.350436354632876</v>
      </c>
      <c r="AA8" s="4">
        <f>IF(ISBLANK(S8),"",S8/RelMean*100)</f>
        <v>90.161680550153477</v>
      </c>
      <c r="AB8" s="4">
        <f>IF(ISBLANK(T8),"",T8/RelMean*100)</f>
        <v>94.202300338171256</v>
      </c>
      <c r="AC8" s="4">
        <f>IF(ISBLANK(U8),"",U8/RelMean*100)</f>
        <v>101.97060652978904</v>
      </c>
      <c r="AD8" s="4">
        <f>IF(ISBLANK(V8),"",V8/RelMean*100)</f>
        <v>111.59150839919943</v>
      </c>
      <c r="AE8" s="4">
        <f>IF(ISBLANK(W8),"",W8/RelMean*100)</f>
        <v>102.32756333905809</v>
      </c>
      <c r="AF8" s="4">
        <f>IF(ISBLANK(X8),"",X8/RelMean*100)</f>
        <v>117.21071512317293</v>
      </c>
      <c r="AG8" s="9">
        <f>IF(ISBLANK(Y8),"",Y8/RelMean*100)</f>
        <v>104.79053358119191</v>
      </c>
      <c r="AH8" s="7">
        <f t="shared" si="8"/>
        <v>101.70066802692112</v>
      </c>
      <c r="AI8" s="5">
        <f t="shared" si="9"/>
        <v>9.5983961720081563</v>
      </c>
    </row>
    <row r="9" spans="1:35" x14ac:dyDescent="0.25">
      <c r="A9" s="11" t="s">
        <v>81</v>
      </c>
      <c r="B9">
        <v>11</v>
      </c>
      <c r="C9">
        <v>9</v>
      </c>
      <c r="D9">
        <v>15</v>
      </c>
      <c r="E9">
        <v>9</v>
      </c>
      <c r="F9">
        <v>11</v>
      </c>
      <c r="G9">
        <v>10</v>
      </c>
      <c r="H9">
        <v>7</v>
      </c>
      <c r="I9" s="3">
        <v>9</v>
      </c>
      <c r="J9">
        <v>11</v>
      </c>
      <c r="K9">
        <v>9</v>
      </c>
      <c r="L9">
        <v>15</v>
      </c>
      <c r="M9">
        <v>9</v>
      </c>
      <c r="N9">
        <v>11</v>
      </c>
      <c r="O9">
        <v>10</v>
      </c>
      <c r="P9">
        <v>7</v>
      </c>
      <c r="Q9" s="3">
        <v>9</v>
      </c>
      <c r="R9" s="4">
        <f t="shared" si="0"/>
        <v>100</v>
      </c>
      <c r="S9" s="4">
        <f t="shared" si="1"/>
        <v>100</v>
      </c>
      <c r="T9" s="4">
        <f t="shared" si="2"/>
        <v>100</v>
      </c>
      <c r="U9" s="4">
        <f t="shared" si="3"/>
        <v>100</v>
      </c>
      <c r="V9" s="4">
        <f t="shared" si="4"/>
        <v>100</v>
      </c>
      <c r="W9" s="4">
        <f t="shared" si="5"/>
        <v>100</v>
      </c>
      <c r="X9" s="4">
        <f t="shared" si="6"/>
        <v>100</v>
      </c>
      <c r="Y9" s="5">
        <f t="shared" si="7"/>
        <v>100</v>
      </c>
      <c r="Z9" s="4">
        <f>IF(ISBLANK(R9),"",R9/RelMean*100)</f>
        <v>100</v>
      </c>
      <c r="AA9" s="4">
        <f>IF(ISBLANK(S9),"",S9/RelMean*100)</f>
        <v>100</v>
      </c>
      <c r="AB9" s="4">
        <f>IF(ISBLANK(T9),"",T9/RelMean*100)</f>
        <v>100</v>
      </c>
      <c r="AC9" s="4">
        <f>IF(ISBLANK(U9),"",U9/RelMean*100)</f>
        <v>100</v>
      </c>
      <c r="AD9" s="4">
        <f>IF(ISBLANK(V9),"",V9/RelMean*100)</f>
        <v>100</v>
      </c>
      <c r="AE9" s="4">
        <f>IF(ISBLANK(W9),"",W9/RelMean*100)</f>
        <v>100</v>
      </c>
      <c r="AF9" s="4">
        <f>IF(ISBLANK(X9),"",X9/RelMean*100)</f>
        <v>100</v>
      </c>
      <c r="AG9" s="9">
        <f>IF(ISBLANK(Y9),"",Y9/RelMean*100)</f>
        <v>100</v>
      </c>
      <c r="AH9" s="7">
        <f t="shared" si="8"/>
        <v>100</v>
      </c>
      <c r="AI9" s="5">
        <f t="shared" si="9"/>
        <v>0</v>
      </c>
    </row>
    <row r="10" spans="1:35" x14ac:dyDescent="0.25">
      <c r="A10" s="11" t="s">
        <v>82</v>
      </c>
      <c r="B10" t="s">
        <v>114</v>
      </c>
      <c r="C10" t="s">
        <v>114</v>
      </c>
      <c r="D10" t="s">
        <v>114</v>
      </c>
      <c r="E10" t="s">
        <v>114</v>
      </c>
      <c r="F10" t="s">
        <v>114</v>
      </c>
      <c r="G10" t="s">
        <v>114</v>
      </c>
      <c r="H10" t="s">
        <v>114</v>
      </c>
      <c r="I10" s="3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s="3" t="s">
        <v>114</v>
      </c>
      <c r="R10" s="4" t="e">
        <f t="shared" si="0"/>
        <v>#VALUE!</v>
      </c>
      <c r="S10" s="4" t="e">
        <f t="shared" si="1"/>
        <v>#VALUE!</v>
      </c>
      <c r="T10" s="4" t="e">
        <f t="shared" si="2"/>
        <v>#VALUE!</v>
      </c>
      <c r="U10" s="4" t="e">
        <f t="shared" si="3"/>
        <v>#VALUE!</v>
      </c>
      <c r="V10" s="4" t="e">
        <f t="shared" si="4"/>
        <v>#VALUE!</v>
      </c>
      <c r="W10" s="4" t="e">
        <f t="shared" si="5"/>
        <v>#VALUE!</v>
      </c>
      <c r="X10" s="4" t="e">
        <f t="shared" si="6"/>
        <v>#VALUE!</v>
      </c>
      <c r="Y10" s="5" t="e">
        <f t="shared" si="7"/>
        <v>#VALUE!</v>
      </c>
      <c r="Z10" s="4" t="e">
        <f>IF(ISBLANK(R10),"",R10/RelMean*100)</f>
        <v>#VALUE!</v>
      </c>
      <c r="AA10" s="4" t="e">
        <f>IF(ISBLANK(S10),"",S10/RelMean*100)</f>
        <v>#VALUE!</v>
      </c>
      <c r="AB10" s="4" t="e">
        <f>IF(ISBLANK(T10),"",T10/RelMean*100)</f>
        <v>#VALUE!</v>
      </c>
      <c r="AC10" s="4" t="e">
        <f>IF(ISBLANK(U10),"",U10/RelMean*100)</f>
        <v>#VALUE!</v>
      </c>
      <c r="AD10" s="4" t="e">
        <f>IF(ISBLANK(V10),"",V10/RelMean*100)</f>
        <v>#VALUE!</v>
      </c>
      <c r="AE10" s="4" t="e">
        <f>IF(ISBLANK(W10),"",W10/RelMean*100)</f>
        <v>#VALUE!</v>
      </c>
      <c r="AF10" s="4" t="e">
        <f>IF(ISBLANK(X10),"",X10/RelMean*100)</f>
        <v>#VALUE!</v>
      </c>
      <c r="AG10" s="9" t="e">
        <f>IF(ISBLANK(Y10),"",Y10/RelMean*100)</f>
        <v>#VALUE!</v>
      </c>
      <c r="AH10" s="7" t="e">
        <f t="shared" si="8"/>
        <v>#VALUE!</v>
      </c>
      <c r="AI10" s="5" t="e">
        <f t="shared" si="9"/>
        <v>#VALUE!</v>
      </c>
    </row>
    <row r="11" spans="1:35" ht="15.75" x14ac:dyDescent="0.25">
      <c r="A11" s="13" t="s">
        <v>909</v>
      </c>
      <c r="I11" s="3"/>
      <c r="Q11" s="3"/>
      <c r="R11" s="4" t="str">
        <f t="shared" si="0"/>
        <v/>
      </c>
      <c r="S11" s="4" t="str">
        <f t="shared" si="1"/>
        <v/>
      </c>
      <c r="T11" s="4" t="str">
        <f t="shared" si="2"/>
        <v/>
      </c>
      <c r="U11" s="4" t="str">
        <f t="shared" si="3"/>
        <v/>
      </c>
      <c r="V11" s="4" t="str">
        <f t="shared" si="4"/>
        <v/>
      </c>
      <c r="W11" s="4" t="str">
        <f t="shared" si="5"/>
        <v/>
      </c>
      <c r="X11" s="4" t="str">
        <f t="shared" si="6"/>
        <v/>
      </c>
      <c r="Y11" s="5" t="str">
        <f t="shared" si="7"/>
        <v/>
      </c>
      <c r="Z11" s="4" t="e">
        <f>IF(ISBLANK(R11),"",R11/RelMean*100)</f>
        <v>#VALUE!</v>
      </c>
      <c r="AA11" s="4" t="e">
        <f>IF(ISBLANK(S11),"",S11/RelMean*100)</f>
        <v>#VALUE!</v>
      </c>
      <c r="AB11" s="4" t="e">
        <f>IF(ISBLANK(T11),"",T11/RelMean*100)</f>
        <v>#VALUE!</v>
      </c>
      <c r="AC11" s="4" t="e">
        <f>IF(ISBLANK(U11),"",U11/RelMean*100)</f>
        <v>#VALUE!</v>
      </c>
      <c r="AD11" s="4" t="e">
        <f>IF(ISBLANK(V11),"",V11/RelMean*100)</f>
        <v>#VALUE!</v>
      </c>
      <c r="AE11" s="4" t="e">
        <f>IF(ISBLANK(W11),"",W11/RelMean*100)</f>
        <v>#VALUE!</v>
      </c>
      <c r="AF11" s="4" t="e">
        <f>IF(ISBLANK(X11),"",X11/RelMean*100)</f>
        <v>#VALUE!</v>
      </c>
      <c r="AG11" s="9" t="e">
        <f>IF(ISBLANK(Y11),"",Y11/RelMean*100)</f>
        <v>#VALUE!</v>
      </c>
      <c r="AH11" s="7" t="e">
        <f t="shared" si="8"/>
        <v>#VALUE!</v>
      </c>
      <c r="AI11" s="5" t="e">
        <f t="shared" si="9"/>
        <v>#VALUE!</v>
      </c>
    </row>
    <row r="12" spans="1:35" x14ac:dyDescent="0.25">
      <c r="A12" s="11" t="s">
        <v>84</v>
      </c>
      <c r="B12">
        <v>632</v>
      </c>
      <c r="C12">
        <v>848</v>
      </c>
      <c r="D12">
        <v>630</v>
      </c>
      <c r="E12">
        <v>283</v>
      </c>
      <c r="F12">
        <v>356</v>
      </c>
      <c r="G12">
        <v>578</v>
      </c>
      <c r="H12">
        <v>370</v>
      </c>
      <c r="I12" s="3">
        <v>741</v>
      </c>
      <c r="J12">
        <v>541</v>
      </c>
      <c r="K12">
        <v>938</v>
      </c>
      <c r="L12">
        <v>497</v>
      </c>
      <c r="M12">
        <v>234</v>
      </c>
      <c r="N12">
        <v>380</v>
      </c>
      <c r="O12">
        <v>567</v>
      </c>
      <c r="P12">
        <v>369</v>
      </c>
      <c r="Q12" s="3">
        <v>650</v>
      </c>
      <c r="R12" s="4">
        <f t="shared" si="0"/>
        <v>85.601265822784811</v>
      </c>
      <c r="S12" s="4">
        <f t="shared" si="1"/>
        <v>110.61320754716981</v>
      </c>
      <c r="T12" s="4">
        <f t="shared" si="2"/>
        <v>78.888888888888886</v>
      </c>
      <c r="U12" s="4">
        <f t="shared" si="3"/>
        <v>82.685512367491171</v>
      </c>
      <c r="V12" s="4">
        <f t="shared" si="4"/>
        <v>106.74157303370787</v>
      </c>
      <c r="W12" s="4">
        <f t="shared" si="5"/>
        <v>98.096885813148788</v>
      </c>
      <c r="X12" s="4">
        <f t="shared" si="6"/>
        <v>99.729729729729726</v>
      </c>
      <c r="Y12" s="5">
        <f t="shared" si="7"/>
        <v>87.719298245614027</v>
      </c>
      <c r="Z12" s="4">
        <f>IF(ISBLANK(R12),"",R12/RelMean*100)</f>
        <v>83.546091949037987</v>
      </c>
      <c r="AA12" s="4">
        <f>IF(ISBLANK(S12),"",S12/RelMean*100)</f>
        <v>107.95752982958902</v>
      </c>
      <c r="AB12" s="4">
        <f>IF(ISBLANK(T12),"",T12/RelMean*100)</f>
        <v>76.994870362235204</v>
      </c>
      <c r="AC12" s="4">
        <f>IF(ISBLANK(U12),"",U12/RelMean*100)</f>
        <v>80.700341901591273</v>
      </c>
      <c r="AD12" s="4">
        <f>IF(ISBLANK(V12),"",V12/RelMean*100)</f>
        <v>104.17884817172197</v>
      </c>
      <c r="AE12" s="4">
        <f>IF(ISBLANK(W12),"",W12/RelMean*100)</f>
        <v>95.741708528311861</v>
      </c>
      <c r="AF12" s="4">
        <f>IF(ISBLANK(X12),"",X12/RelMean*100)</f>
        <v>97.335350008748804</v>
      </c>
      <c r="AG12" s="9">
        <f>IF(ISBLANK(Y12),"",Y12/RelMean*100)</f>
        <v>85.613273197444627</v>
      </c>
      <c r="AH12" s="7">
        <f t="shared" si="8"/>
        <v>91.5085017435851</v>
      </c>
      <c r="AI12" s="5">
        <f t="shared" si="9"/>
        <v>11.392954642246188</v>
      </c>
    </row>
    <row r="13" spans="1:35" x14ac:dyDescent="0.25">
      <c r="A13" s="11" t="s">
        <v>85</v>
      </c>
      <c r="B13">
        <v>11</v>
      </c>
      <c r="C13">
        <v>9</v>
      </c>
      <c r="D13">
        <v>11</v>
      </c>
      <c r="E13">
        <v>8</v>
      </c>
      <c r="F13">
        <v>9</v>
      </c>
      <c r="G13">
        <v>8</v>
      </c>
      <c r="H13">
        <v>6</v>
      </c>
      <c r="I13" s="3">
        <v>7</v>
      </c>
      <c r="J13">
        <v>11</v>
      </c>
      <c r="K13">
        <v>9</v>
      </c>
      <c r="L13">
        <v>11</v>
      </c>
      <c r="M13">
        <v>8</v>
      </c>
      <c r="N13">
        <v>9</v>
      </c>
      <c r="O13">
        <v>8</v>
      </c>
      <c r="P13">
        <v>6</v>
      </c>
      <c r="Q13" s="3">
        <v>7</v>
      </c>
      <c r="R13" s="4">
        <f t="shared" si="0"/>
        <v>100</v>
      </c>
      <c r="S13" s="4">
        <f t="shared" si="1"/>
        <v>100</v>
      </c>
      <c r="T13" s="4">
        <f t="shared" si="2"/>
        <v>100</v>
      </c>
      <c r="U13" s="4">
        <f t="shared" si="3"/>
        <v>100</v>
      </c>
      <c r="V13" s="4">
        <f t="shared" si="4"/>
        <v>100</v>
      </c>
      <c r="W13" s="4">
        <f t="shared" si="5"/>
        <v>100</v>
      </c>
      <c r="X13" s="4">
        <f t="shared" si="6"/>
        <v>100</v>
      </c>
      <c r="Y13" s="5">
        <f t="shared" si="7"/>
        <v>100</v>
      </c>
      <c r="Z13" s="4">
        <f>IF(ISBLANK(R13),"",R13/RelMean*100)</f>
        <v>100</v>
      </c>
      <c r="AA13" s="4">
        <f>IF(ISBLANK(S13),"",S13/RelMean*100)</f>
        <v>100</v>
      </c>
      <c r="AB13" s="4">
        <f>IF(ISBLANK(T13),"",T13/RelMean*100)</f>
        <v>100</v>
      </c>
      <c r="AC13" s="4">
        <f>IF(ISBLANK(U13),"",U13/RelMean*100)</f>
        <v>100</v>
      </c>
      <c r="AD13" s="4">
        <f>IF(ISBLANK(V13),"",V13/RelMean*100)</f>
        <v>100</v>
      </c>
      <c r="AE13" s="4">
        <f>IF(ISBLANK(W13),"",W13/RelMean*100)</f>
        <v>100</v>
      </c>
      <c r="AF13" s="4">
        <f>IF(ISBLANK(X13),"",X13/RelMean*100)</f>
        <v>100</v>
      </c>
      <c r="AG13" s="9">
        <f>IF(ISBLANK(Y13),"",Y13/RelMean*100)</f>
        <v>100</v>
      </c>
      <c r="AH13" s="7">
        <f t="shared" si="8"/>
        <v>100</v>
      </c>
      <c r="AI13" s="5">
        <f t="shared" si="9"/>
        <v>0</v>
      </c>
    </row>
    <row r="14" spans="1:35" x14ac:dyDescent="0.25">
      <c r="A14" s="11" t="s">
        <v>86</v>
      </c>
      <c r="B14">
        <v>0.15699445454545455</v>
      </c>
      <c r="C14">
        <v>0.20023633333333332</v>
      </c>
      <c r="D14">
        <v>0.17338618181818183</v>
      </c>
      <c r="E14">
        <v>0.32548749999999999</v>
      </c>
      <c r="F14">
        <v>0.10241622222222223</v>
      </c>
      <c r="G14">
        <v>8.4328500000000001E-2</v>
      </c>
      <c r="H14">
        <v>8.710083333333335E-2</v>
      </c>
      <c r="I14" s="3">
        <v>0.12714642857142858</v>
      </c>
      <c r="J14">
        <v>0.11643263636363638</v>
      </c>
      <c r="K14">
        <v>0.12377477777777779</v>
      </c>
      <c r="L14">
        <v>0.14596218181818185</v>
      </c>
      <c r="M14">
        <v>0.16821987499999999</v>
      </c>
      <c r="N14">
        <v>0.14225144444444446</v>
      </c>
      <c r="O14">
        <v>9.1485999999999984E-2</v>
      </c>
      <c r="P14">
        <v>0.15944916666666664</v>
      </c>
      <c r="Q14" s="3">
        <v>0.11930585714285716</v>
      </c>
      <c r="R14" s="4">
        <f t="shared" si="0"/>
        <v>74.16353443868023</v>
      </c>
      <c r="S14" s="4">
        <f t="shared" si="1"/>
        <v>61.814344937953877</v>
      </c>
      <c r="T14" s="4">
        <f t="shared" si="2"/>
        <v>84.183283977752254</v>
      </c>
      <c r="U14" s="4">
        <f t="shared" si="3"/>
        <v>51.682437881639075</v>
      </c>
      <c r="V14" s="4">
        <f t="shared" si="4"/>
        <v>138.89542238317281</v>
      </c>
      <c r="W14" s="4">
        <f t="shared" si="5"/>
        <v>108.48764059600251</v>
      </c>
      <c r="X14" s="4">
        <f t="shared" si="6"/>
        <v>183.06273380468991</v>
      </c>
      <c r="Y14" s="5">
        <f t="shared" si="7"/>
        <v>93.833431645178507</v>
      </c>
      <c r="Z14" s="4">
        <f>IF(ISBLANK(R14),"",R14/RelMean*100)</f>
        <v>72.796285241538044</v>
      </c>
      <c r="AA14" s="4">
        <f>IF(ISBLANK(S14),"",S14/RelMean*100)</f>
        <v>60.674760449054318</v>
      </c>
      <c r="AB14" s="4">
        <f>IF(ISBLANK(T14),"",T14/RelMean*100)</f>
        <v>82.631314693891582</v>
      </c>
      <c r="AC14" s="4">
        <f>IF(ISBLANK(U14),"",U14/RelMean*100)</f>
        <v>50.729641170494631</v>
      </c>
      <c r="AD14" s="4">
        <f>IF(ISBLANK(V14),"",V14/RelMean*100)</f>
        <v>136.33480204357537</v>
      </c>
      <c r="AE14" s="4">
        <f>IF(ISBLANK(W14),"",W14/RelMean*100)</f>
        <v>106.48760593439428</v>
      </c>
      <c r="AF14" s="4">
        <f>IF(ISBLANK(X14),"",X14/RelMean*100)</f>
        <v>179.68786261340298</v>
      </c>
      <c r="AG14" s="9">
        <f>IF(ISBLANK(Y14),"",Y14/RelMean*100)</f>
        <v>92.103556106573436</v>
      </c>
      <c r="AH14" s="7">
        <f t="shared" si="8"/>
        <v>97.680728531615586</v>
      </c>
      <c r="AI14" s="5">
        <f t="shared" si="9"/>
        <v>42.674080514084181</v>
      </c>
    </row>
    <row r="15" spans="1:35" x14ac:dyDescent="0.25">
      <c r="A15" s="11" t="s">
        <v>87</v>
      </c>
      <c r="B15">
        <v>15.055844454545456</v>
      </c>
      <c r="C15">
        <v>18.699992333333331</v>
      </c>
      <c r="D15">
        <v>12.263536545454548</v>
      </c>
      <c r="E15">
        <v>13.913521625000001</v>
      </c>
      <c r="F15">
        <v>10.055462222222221</v>
      </c>
      <c r="G15">
        <v>13.678672875</v>
      </c>
      <c r="H15">
        <v>12.7190885</v>
      </c>
      <c r="I15" s="3">
        <v>14.029436142857142</v>
      </c>
      <c r="J15">
        <v>13.004610909090907</v>
      </c>
      <c r="K15">
        <v>15.650148777777778</v>
      </c>
      <c r="L15">
        <v>10.987111272727274</v>
      </c>
      <c r="M15">
        <v>11.371883125</v>
      </c>
      <c r="N15">
        <v>12.582619888888891</v>
      </c>
      <c r="O15">
        <v>14.054850999999999</v>
      </c>
      <c r="P15">
        <v>15.091011833333335</v>
      </c>
      <c r="Q15" s="3">
        <v>14.519431142857144</v>
      </c>
      <c r="R15" s="4">
        <f t="shared" si="0"/>
        <v>86.375831979087238</v>
      </c>
      <c r="S15" s="4">
        <f t="shared" si="1"/>
        <v>83.690669486964921</v>
      </c>
      <c r="T15" s="4">
        <f t="shared" si="2"/>
        <v>89.591703274204562</v>
      </c>
      <c r="U15" s="4">
        <f t="shared" si="3"/>
        <v>81.732601073238342</v>
      </c>
      <c r="V15" s="4">
        <f t="shared" si="4"/>
        <v>125.13218796726954</v>
      </c>
      <c r="W15" s="4">
        <f t="shared" si="5"/>
        <v>102.75010688856759</v>
      </c>
      <c r="X15" s="4">
        <f t="shared" si="6"/>
        <v>118.64853234831516</v>
      </c>
      <c r="Y15" s="5">
        <f t="shared" si="7"/>
        <v>103.49262076544305</v>
      </c>
      <c r="Z15" s="4">
        <f>IF(ISBLANK(R15),"",R15/RelMean*100)</f>
        <v>86.887935908113477</v>
      </c>
      <c r="AA15" s="4">
        <f>IF(ISBLANK(S15),"",S15/RelMean*100)</f>
        <v>84.186853658915808</v>
      </c>
      <c r="AB15" s="4">
        <f>IF(ISBLANK(T15),"",T15/RelMean*100)</f>
        <v>90.122873419876584</v>
      </c>
      <c r="AC15" s="4">
        <f>IF(ISBLANK(U15),"",U15/RelMean*100)</f>
        <v>82.217176274195864</v>
      </c>
      <c r="AD15" s="4">
        <f>IF(ISBLANK(V15),"",V15/RelMean*100)</f>
        <v>125.87407008449422</v>
      </c>
      <c r="AE15" s="4">
        <f>IF(ISBLANK(W15),"",W15/RelMean*100)</f>
        <v>103.35929040946546</v>
      </c>
      <c r="AF15" s="4">
        <f>IF(ISBLANK(X15),"",X15/RelMean*100)</f>
        <v>119.3519742509469</v>
      </c>
      <c r="AG15" s="9">
        <f>IF(ISBLANK(Y15),"",Y15/RelMean*100)</f>
        <v>104.10620649312715</v>
      </c>
      <c r="AH15" s="7">
        <f t="shared" si="8"/>
        <v>99.513297562391941</v>
      </c>
      <c r="AI15" s="5">
        <f t="shared" si="9"/>
        <v>16.50101906359917</v>
      </c>
    </row>
    <row r="16" spans="1:35" x14ac:dyDescent="0.25">
      <c r="A16" s="11" t="s">
        <v>88</v>
      </c>
      <c r="B16">
        <v>9.1981818181818172E-3</v>
      </c>
      <c r="C16">
        <v>7.2283333333333331E-3</v>
      </c>
      <c r="D16">
        <v>1.412109090909091E-2</v>
      </c>
      <c r="E16">
        <v>1.8201625000000003E-2</v>
      </c>
      <c r="F16">
        <v>1.1673777777777776E-2</v>
      </c>
      <c r="G16">
        <v>7.343124999999999E-3</v>
      </c>
      <c r="H16">
        <v>7.9368333333333322E-3</v>
      </c>
      <c r="I16" s="3">
        <v>8.5195714285714284E-3</v>
      </c>
      <c r="J16">
        <v>9.9854545454545439E-3</v>
      </c>
      <c r="K16">
        <v>7.2063333333333328E-3</v>
      </c>
      <c r="L16">
        <v>1.4800181818181818E-2</v>
      </c>
      <c r="M16">
        <v>1.515525E-2</v>
      </c>
      <c r="N16">
        <v>1.2140333333333331E-2</v>
      </c>
      <c r="O16">
        <v>8.9396249999999997E-3</v>
      </c>
      <c r="P16">
        <v>9.2558333333333347E-3</v>
      </c>
      <c r="Q16" s="3">
        <v>8.6901428571428564E-3</v>
      </c>
      <c r="R16" s="4">
        <f t="shared" si="0"/>
        <v>108.55900375568292</v>
      </c>
      <c r="S16" s="4">
        <f t="shared" si="1"/>
        <v>99.695642148950881</v>
      </c>
      <c r="T16" s="4">
        <f t="shared" si="2"/>
        <v>104.80905415497128</v>
      </c>
      <c r="U16" s="4">
        <f t="shared" si="3"/>
        <v>83.263170183980819</v>
      </c>
      <c r="V16" s="4">
        <f t="shared" si="4"/>
        <v>103.99661158912663</v>
      </c>
      <c r="W16" s="4">
        <f t="shared" si="5"/>
        <v>121.74142480211083</v>
      </c>
      <c r="X16" s="4">
        <f t="shared" si="6"/>
        <v>116.6187186325361</v>
      </c>
      <c r="Y16" s="5">
        <f t="shared" si="7"/>
        <v>102.00211278233311</v>
      </c>
      <c r="Z16" s="4">
        <f>IF(ISBLANK(R16),"",R16/RelMean*100)</f>
        <v>108.19270986847896</v>
      </c>
      <c r="AA16" s="4">
        <f>IF(ISBLANK(S16),"",S16/RelMean*100)</f>
        <v>99.359254534504643</v>
      </c>
      <c r="AB16" s="4">
        <f>IF(ISBLANK(T16),"",T16/RelMean*100)</f>
        <v>104.45541314379365</v>
      </c>
      <c r="AC16" s="4">
        <f>IF(ISBLANK(U16),"",U16/RelMean*100)</f>
        <v>82.982228122866701</v>
      </c>
      <c r="AD16" s="4">
        <f>IF(ISBLANK(V16),"",V16/RelMean*100)</f>
        <v>103.64571187747531</v>
      </c>
      <c r="AE16" s="4">
        <f>IF(ISBLANK(W16),"",W16/RelMean*100)</f>
        <v>121.33065150665139</v>
      </c>
      <c r="AF16" s="4">
        <f>IF(ISBLANK(X16),"",X16/RelMean*100)</f>
        <v>116.22523009366932</v>
      </c>
      <c r="AG16" s="9">
        <f>IF(ISBLANK(Y16),"",Y16/RelMean*100)</f>
        <v>101.65794280009797</v>
      </c>
      <c r="AH16" s="7">
        <f t="shared" si="8"/>
        <v>104.73114274344225</v>
      </c>
      <c r="AI16" s="5">
        <f t="shared" si="9"/>
        <v>11.540063116482132</v>
      </c>
    </row>
    <row r="17" spans="1:35" x14ac:dyDescent="0.25">
      <c r="A17" s="11" t="s">
        <v>89</v>
      </c>
      <c r="B17">
        <v>7.3859090909090905E-3</v>
      </c>
      <c r="C17">
        <v>5.1810000000000007E-3</v>
      </c>
      <c r="D17">
        <v>1.1168636363636363E-2</v>
      </c>
      <c r="E17">
        <v>1.3190374999999999E-2</v>
      </c>
      <c r="F17">
        <v>9.1558888888888888E-3</v>
      </c>
      <c r="G17">
        <v>5.9788750000000007E-3</v>
      </c>
      <c r="H17">
        <v>6.1830000000000001E-3</v>
      </c>
      <c r="I17" s="3">
        <v>5.903857142857143E-3</v>
      </c>
      <c r="J17">
        <v>7.5759090909090915E-3</v>
      </c>
      <c r="K17">
        <v>5.3010000000000002E-3</v>
      </c>
      <c r="L17">
        <v>1.1618272727272727E-2</v>
      </c>
      <c r="M17">
        <v>1.2162124999999999E-2</v>
      </c>
      <c r="N17">
        <v>9.8024444444444452E-3</v>
      </c>
      <c r="O17">
        <v>6.2907499999999995E-3</v>
      </c>
      <c r="P17">
        <v>7.0604999999999999E-3</v>
      </c>
      <c r="Q17" s="3">
        <v>6.0355714285714292E-3</v>
      </c>
      <c r="R17" s="4">
        <f t="shared" si="0"/>
        <v>102.57246599790757</v>
      </c>
      <c r="S17" s="4">
        <f t="shared" si="1"/>
        <v>102.31615518239721</v>
      </c>
      <c r="T17" s="4">
        <f t="shared" si="2"/>
        <v>104.02588417239835</v>
      </c>
      <c r="U17" s="4">
        <f t="shared" si="3"/>
        <v>92.204543085393709</v>
      </c>
      <c r="V17" s="4">
        <f t="shared" si="4"/>
        <v>107.06163610548161</v>
      </c>
      <c r="W17" s="4">
        <f t="shared" si="5"/>
        <v>105.21628232736089</v>
      </c>
      <c r="X17" s="4">
        <f t="shared" si="6"/>
        <v>114.19213973799127</v>
      </c>
      <c r="Y17" s="5">
        <f t="shared" si="7"/>
        <v>102.23098700607352</v>
      </c>
      <c r="Z17" s="4">
        <f>IF(ISBLANK(R17),"",R17/RelMean*100)</f>
        <v>106.01036360314549</v>
      </c>
      <c r="AA17" s="4">
        <f>IF(ISBLANK(S17),"",S17/RelMean*100)</f>
        <v>105.74546207734782</v>
      </c>
      <c r="AB17" s="4">
        <f>IF(ISBLANK(T17),"",T17/RelMean*100)</f>
        <v>107.51249565823646</v>
      </c>
      <c r="AC17" s="4">
        <f>IF(ISBLANK(U17),"",U17/RelMean*100)</f>
        <v>95.29494141774731</v>
      </c>
      <c r="AD17" s="4">
        <f>IF(ISBLANK(V17),"",V17/RelMean*100)</f>
        <v>110.64999618631848</v>
      </c>
      <c r="AE17" s="4">
        <f>IF(ISBLANK(W17),"",W17/RelMean*100)</f>
        <v>108.74279211267353</v>
      </c>
      <c r="AF17" s="4">
        <f>IF(ISBLANK(X17),"",X17/RelMean*100)</f>
        <v>118.01949125891737</v>
      </c>
      <c r="AG17" s="9">
        <f>IF(ISBLANK(Y17),"",Y17/RelMean*100)</f>
        <v>105.65743933896816</v>
      </c>
      <c r="AH17" s="7">
        <f t="shared" si="8"/>
        <v>107.20412270666934</v>
      </c>
      <c r="AI17" s="5">
        <f t="shared" si="9"/>
        <v>6.3141837886510848</v>
      </c>
    </row>
    <row r="18" spans="1:35" x14ac:dyDescent="0.25">
      <c r="A18" s="11" t="s">
        <v>90</v>
      </c>
      <c r="B18">
        <v>0.83536109090909083</v>
      </c>
      <c r="C18">
        <v>0.76279299999999994</v>
      </c>
      <c r="D18">
        <v>0.81287227272727269</v>
      </c>
      <c r="E18">
        <v>0.77695249999999993</v>
      </c>
      <c r="F18">
        <v>0.80148300000000006</v>
      </c>
      <c r="G18">
        <v>0.81956037500000012</v>
      </c>
      <c r="H18">
        <v>0.81770366666666661</v>
      </c>
      <c r="I18" s="3">
        <v>0.75198828571428578</v>
      </c>
      <c r="J18">
        <v>0.80625872727272707</v>
      </c>
      <c r="K18">
        <v>0.77090522222222224</v>
      </c>
      <c r="L18">
        <v>0.80976563636363641</v>
      </c>
      <c r="M18">
        <v>0.81240037499999995</v>
      </c>
      <c r="N18">
        <v>0.82228722222222217</v>
      </c>
      <c r="O18">
        <v>0.77327275000000006</v>
      </c>
      <c r="P18">
        <v>0.80533833333333338</v>
      </c>
      <c r="Q18" s="3">
        <v>0.75315128571428569</v>
      </c>
      <c r="R18" s="4">
        <f t="shared" si="0"/>
        <v>96.516193541562629</v>
      </c>
      <c r="S18" s="4">
        <f t="shared" si="1"/>
        <v>101.0634893375034</v>
      </c>
      <c r="T18" s="4">
        <f t="shared" si="2"/>
        <v>99.617819863234701</v>
      </c>
      <c r="U18" s="4">
        <f t="shared" si="3"/>
        <v>104.56242498737053</v>
      </c>
      <c r="V18" s="4">
        <f t="shared" si="4"/>
        <v>102.59571596929969</v>
      </c>
      <c r="W18" s="4">
        <f t="shared" si="5"/>
        <v>94.352139706607943</v>
      </c>
      <c r="X18" s="4">
        <f t="shared" si="6"/>
        <v>98.487797739278832</v>
      </c>
      <c r="Y18" s="5">
        <f t="shared" si="7"/>
        <v>100.15465666448451</v>
      </c>
      <c r="Z18" s="4">
        <f>IF(ISBLANK(R18),"",R18/RelMean*100)</f>
        <v>97.903542161735061</v>
      </c>
      <c r="AA18" s="4">
        <f>IF(ISBLANK(S18),"",S18/RelMean*100)</f>
        <v>102.51620195843594</v>
      </c>
      <c r="AB18" s="4">
        <f>IF(ISBLANK(T18),"",T18/RelMean*100)</f>
        <v>101.04975205886495</v>
      </c>
      <c r="AC18" s="4">
        <f>IF(ISBLANK(U18),"",U18/RelMean*100)</f>
        <v>106.06543221035682</v>
      </c>
      <c r="AD18" s="4">
        <f>IF(ISBLANK(V18),"",V18/RelMean*100)</f>
        <v>104.07045321040644</v>
      </c>
      <c r="AE18" s="4">
        <f>IF(ISBLANK(W18),"",W18/RelMean*100)</f>
        <v>95.708381659684036</v>
      </c>
      <c r="AF18" s="4">
        <f>IF(ISBLANK(X18),"",X18/RelMean*100)</f>
        <v>99.903486705903589</v>
      </c>
      <c r="AG18" s="9">
        <f>IF(ISBLANK(Y18),"",Y18/RelMean*100)</f>
        <v>101.59430549053856</v>
      </c>
      <c r="AH18" s="7">
        <f t="shared" si="8"/>
        <v>101.10144443199067</v>
      </c>
      <c r="AI18" s="5">
        <f t="shared" si="9"/>
        <v>3.3047610348625742</v>
      </c>
    </row>
    <row r="19" spans="1:35" x14ac:dyDescent="0.25">
      <c r="A19" s="11" t="s">
        <v>91</v>
      </c>
      <c r="B19">
        <v>19.683441999999999</v>
      </c>
      <c r="C19">
        <v>8.8583874444444444</v>
      </c>
      <c r="D19">
        <v>29.077002545454544</v>
      </c>
      <c r="E19">
        <v>38.608103249999999</v>
      </c>
      <c r="F19">
        <v>27.775593222222223</v>
      </c>
      <c r="G19">
        <v>25.088365375000002</v>
      </c>
      <c r="H19">
        <v>38.529541666666667</v>
      </c>
      <c r="I19" s="3">
        <v>12.654399285714286</v>
      </c>
      <c r="J19">
        <v>26.571632727272721</v>
      </c>
      <c r="K19">
        <v>7.6864638888888885</v>
      </c>
      <c r="L19">
        <v>23.920434272727274</v>
      </c>
      <c r="M19">
        <v>57.007789375000002</v>
      </c>
      <c r="N19">
        <v>25.660879777777772</v>
      </c>
      <c r="O19">
        <v>18.233974374999999</v>
      </c>
      <c r="P19">
        <v>20.067199166666665</v>
      </c>
      <c r="Q19" s="3">
        <v>24.428071428571428</v>
      </c>
      <c r="R19" s="4">
        <f t="shared" si="0"/>
        <v>134.99484860052792</v>
      </c>
      <c r="S19" s="4">
        <f t="shared" si="1"/>
        <v>86.77046400481693</v>
      </c>
      <c r="T19" s="4">
        <f t="shared" si="2"/>
        <v>82.265818958930595</v>
      </c>
      <c r="U19" s="4">
        <f t="shared" si="3"/>
        <v>147.65757593906145</v>
      </c>
      <c r="V19" s="4">
        <f t="shared" si="4"/>
        <v>92.386432838624131</v>
      </c>
      <c r="W19" s="4">
        <f t="shared" si="5"/>
        <v>72.679005198041907</v>
      </c>
      <c r="X19" s="4">
        <f t="shared" si="6"/>
        <v>52.082631400797432</v>
      </c>
      <c r="Y19" s="5">
        <f t="shared" si="7"/>
        <v>193.04015052021151</v>
      </c>
      <c r="Z19" s="4">
        <f>IF(ISBLANK(R19),"",R19/RelMean*100)</f>
        <v>144.49964959150236</v>
      </c>
      <c r="AA19" s="4">
        <f>IF(ISBLANK(S19),"",S19/RelMean*100)</f>
        <v>92.879852628236378</v>
      </c>
      <c r="AB19" s="4">
        <f>IF(ISBLANK(T19),"",T19/RelMean*100)</f>
        <v>88.058041741282835</v>
      </c>
      <c r="AC19" s="4">
        <f>IF(ISBLANK(U19),"",U19/RelMean*100)</f>
        <v>158.05394208680633</v>
      </c>
      <c r="AD19" s="4">
        <f>IF(ISBLANK(V19),"",V19/RelMean*100)</f>
        <v>98.891234077341295</v>
      </c>
      <c r="AE19" s="4">
        <f>IF(ISBLANK(W19),"",W19/RelMean*100)</f>
        <v>77.796233653725992</v>
      </c>
      <c r="AF19" s="4">
        <f>IF(ISBLANK(X19),"",X19/RelMean*100)</f>
        <v>55.749697601343698</v>
      </c>
      <c r="AG19" s="9">
        <f>IF(ISBLANK(Y19),"",Y19/RelMean*100)</f>
        <v>206.63184111421236</v>
      </c>
      <c r="AH19" s="7">
        <f t="shared" si="8"/>
        <v>115.3200615618064</v>
      </c>
      <c r="AI19" s="5">
        <f t="shared" si="9"/>
        <v>49.984036001197957</v>
      </c>
    </row>
    <row r="20" spans="1:35" x14ac:dyDescent="0.25">
      <c r="A20" s="11" t="s">
        <v>92</v>
      </c>
      <c r="B20">
        <v>9.5757636363636364E-2</v>
      </c>
      <c r="C20">
        <v>0.15703699999999998</v>
      </c>
      <c r="D20">
        <v>9.5454454545454551E-2</v>
      </c>
      <c r="E20">
        <v>5.8958375E-2</v>
      </c>
      <c r="F20">
        <v>6.5925888888888895E-2</v>
      </c>
      <c r="G20">
        <v>0.12041650000000001</v>
      </c>
      <c r="H20">
        <v>0.10277766666666666</v>
      </c>
      <c r="I20" s="3">
        <v>0.17642828571428568</v>
      </c>
      <c r="J20">
        <v>8.196963636363637E-2</v>
      </c>
      <c r="K20">
        <v>0.17370366666666667</v>
      </c>
      <c r="L20">
        <v>7.5302909090909087E-2</v>
      </c>
      <c r="M20">
        <v>4.8749874999999998E-2</v>
      </c>
      <c r="N20">
        <v>7.0370333333333354E-2</v>
      </c>
      <c r="O20">
        <v>0.118125125</v>
      </c>
      <c r="P20">
        <v>0.10249983333333333</v>
      </c>
      <c r="Q20" s="3">
        <v>0.15476185714285712</v>
      </c>
      <c r="R20" s="4">
        <f t="shared" si="0"/>
        <v>85.601148353703579</v>
      </c>
      <c r="S20" s="4">
        <f t="shared" si="1"/>
        <v>110.61321005028542</v>
      </c>
      <c r="T20" s="4">
        <f t="shared" si="2"/>
        <v>78.888837036987653</v>
      </c>
      <c r="U20" s="4">
        <f t="shared" si="3"/>
        <v>82.68524191855694</v>
      </c>
      <c r="V20" s="4">
        <f t="shared" si="4"/>
        <v>106.74157682111061</v>
      </c>
      <c r="W20" s="4">
        <f t="shared" si="5"/>
        <v>98.097125393945177</v>
      </c>
      <c r="X20" s="4">
        <f t="shared" si="6"/>
        <v>99.729675383432863</v>
      </c>
      <c r="Y20" s="5">
        <f t="shared" si="7"/>
        <v>87.719413310790799</v>
      </c>
      <c r="Z20" s="4">
        <f>IF(ISBLANK(R20),"",R20/RelMean*100)</f>
        <v>83.545997997038015</v>
      </c>
      <c r="AA20" s="4">
        <f>IF(ISBLANK(S20),"",S20/RelMean*100)</f>
        <v>107.9575590168734</v>
      </c>
      <c r="AB20" s="4">
        <f>IF(ISBLANK(T20),"",T20/RelMean*100)</f>
        <v>76.994838829118024</v>
      </c>
      <c r="AC20" s="4">
        <f>IF(ISBLANK(U20),"",U20/RelMean*100)</f>
        <v>80.700097937570277</v>
      </c>
      <c r="AD20" s="4">
        <f>IF(ISBLANK(V20),"",V20/RelMean*100)</f>
        <v>104.17887767636884</v>
      </c>
      <c r="AE20" s="4">
        <f>IF(ISBLANK(W20),"",W20/RelMean*100)</f>
        <v>95.741966075191598</v>
      </c>
      <c r="AF20" s="4">
        <f>IF(ISBLANK(X20),"",X20/RelMean*100)</f>
        <v>97.335321080059373</v>
      </c>
      <c r="AG20" s="9">
        <f>IF(ISBLANK(Y20),"",Y20/RelMean*100)</f>
        <v>85.613406709018776</v>
      </c>
      <c r="AH20" s="7">
        <f t="shared" si="8"/>
        <v>91.50850816515478</v>
      </c>
      <c r="AI20" s="5">
        <f t="shared" si="9"/>
        <v>11.393015220448342</v>
      </c>
    </row>
    <row r="21" spans="1:35" x14ac:dyDescent="0.25">
      <c r="A21" s="11" t="s">
        <v>93</v>
      </c>
      <c r="B21">
        <v>0.76944363636363644</v>
      </c>
      <c r="C21">
        <v>0.61883766666666662</v>
      </c>
      <c r="D21">
        <v>0.75068718181818184</v>
      </c>
      <c r="E21">
        <v>0.63950512500000001</v>
      </c>
      <c r="F21">
        <v>0.82026444444444424</v>
      </c>
      <c r="G21">
        <v>0.50016075000000004</v>
      </c>
      <c r="H21">
        <v>0.69263166666666665</v>
      </c>
      <c r="I21" s="3">
        <v>0.66433014285714287</v>
      </c>
      <c r="J21">
        <v>0.70538345454545459</v>
      </c>
      <c r="K21">
        <v>0.57571466666666671</v>
      </c>
      <c r="L21">
        <v>0.65297890909090917</v>
      </c>
      <c r="M21">
        <v>0.61034287499999995</v>
      </c>
      <c r="N21">
        <v>0.74433788888888897</v>
      </c>
      <c r="O21">
        <v>0.46856575</v>
      </c>
      <c r="P21">
        <v>0.64275800000000005</v>
      </c>
      <c r="Q21" s="3">
        <v>0.65529599999999988</v>
      </c>
      <c r="R21" s="4">
        <f t="shared" si="0"/>
        <v>91.674480262007492</v>
      </c>
      <c r="S21" s="4">
        <f t="shared" si="1"/>
        <v>93.03161356801705</v>
      </c>
      <c r="T21" s="4">
        <f t="shared" si="2"/>
        <v>86.984155971516529</v>
      </c>
      <c r="U21" s="4">
        <f t="shared" si="3"/>
        <v>95.439872354424054</v>
      </c>
      <c r="V21" s="4">
        <f t="shared" si="4"/>
        <v>90.74364906710305</v>
      </c>
      <c r="W21" s="4">
        <f t="shared" si="5"/>
        <v>93.683030905563854</v>
      </c>
      <c r="X21" s="4">
        <f t="shared" si="6"/>
        <v>92.799395542123165</v>
      </c>
      <c r="Y21" s="5">
        <f t="shared" si="7"/>
        <v>98.640112456994785</v>
      </c>
      <c r="Z21" s="4">
        <f>IF(ISBLANK(R21),"",R21/RelMean*100)</f>
        <v>103.49321988653024</v>
      </c>
      <c r="AA21" s="4">
        <f>IF(ISBLANK(S21),"",S21/RelMean*100)</f>
        <v>105.02531578991317</v>
      </c>
      <c r="AB21" s="4">
        <f>IF(ISBLANK(T21),"",T21/RelMean*100)</f>
        <v>98.198215630737522</v>
      </c>
      <c r="AC21" s="4">
        <f>IF(ISBLANK(U21),"",U21/RelMean*100)</f>
        <v>107.74404902312004</v>
      </c>
      <c r="AD21" s="4">
        <f>IF(ISBLANK(V21),"",V21/RelMean*100)</f>
        <v>102.44238526760292</v>
      </c>
      <c r="AE21" s="4">
        <f>IF(ISBLANK(W21),"",W21/RelMean*100)</f>
        <v>105.7607143169618</v>
      </c>
      <c r="AF21" s="4">
        <f>IF(ISBLANK(X21),"",X21/RelMean*100)</f>
        <v>104.76316004987771</v>
      </c>
      <c r="AG21" s="9">
        <f>IF(ISBLANK(Y21),"",Y21/RelMean*100)</f>
        <v>111.3568663707446</v>
      </c>
      <c r="AH21" s="7">
        <f t="shared" si="8"/>
        <v>104.84799079193598</v>
      </c>
      <c r="AI21" s="5">
        <f t="shared" si="9"/>
        <v>3.8445912110575948</v>
      </c>
    </row>
    <row r="22" spans="1:35" x14ac:dyDescent="0.25">
      <c r="A22" s="11" t="s">
        <v>94</v>
      </c>
      <c r="B22">
        <v>63.447963636363646</v>
      </c>
      <c r="C22">
        <v>80.880284333333336</v>
      </c>
      <c r="D22">
        <v>56.028454454545461</v>
      </c>
      <c r="E22">
        <v>52.908109125000003</v>
      </c>
      <c r="F22">
        <v>46.644601333333334</v>
      </c>
      <c r="G22">
        <v>74.577948875000004</v>
      </c>
      <c r="H22">
        <v>54.923418500000004</v>
      </c>
      <c r="I22" s="3">
        <v>66.17254057142857</v>
      </c>
      <c r="J22">
        <v>49.813452909090913</v>
      </c>
      <c r="K22">
        <v>69.220675333333347</v>
      </c>
      <c r="L22">
        <v>53.055934454545451</v>
      </c>
      <c r="M22">
        <v>41.711636750000004</v>
      </c>
      <c r="N22">
        <v>48.237791333333334</v>
      </c>
      <c r="O22">
        <v>67.749732124999994</v>
      </c>
      <c r="P22">
        <v>55.061740000000007</v>
      </c>
      <c r="Q22" s="3">
        <v>54.806126571428571</v>
      </c>
      <c r="R22" s="4">
        <f t="shared" si="0"/>
        <v>78.510719736545724</v>
      </c>
      <c r="S22" s="4">
        <f t="shared" si="1"/>
        <v>85.584114724489552</v>
      </c>
      <c r="T22" s="4">
        <f t="shared" si="2"/>
        <v>94.694624313773375</v>
      </c>
      <c r="U22" s="4">
        <f t="shared" si="3"/>
        <v>78.837889767431761</v>
      </c>
      <c r="V22" s="4">
        <f t="shared" si="4"/>
        <v>103.41559356165291</v>
      </c>
      <c r="W22" s="4">
        <f t="shared" si="5"/>
        <v>90.844188056921794</v>
      </c>
      <c r="X22" s="4">
        <f t="shared" si="6"/>
        <v>100.25184430208036</v>
      </c>
      <c r="Y22" s="5">
        <f t="shared" si="7"/>
        <v>82.823065425860804</v>
      </c>
      <c r="Z22" s="4">
        <f>IF(ISBLANK(R22),"",R22/RelMean*100)</f>
        <v>84.54761156536982</v>
      </c>
      <c r="AA22" s="4">
        <f>IF(ISBLANK(S22),"",S22/RelMean*100)</f>
        <v>92.164898146054782</v>
      </c>
      <c r="AB22" s="4">
        <f>IF(ISBLANK(T22),"",T22/RelMean*100)</f>
        <v>101.97593832632705</v>
      </c>
      <c r="AC22" s="4">
        <f>IF(ISBLANK(U22),"",U22/RelMean*100)</f>
        <v>84.899938544156967</v>
      </c>
      <c r="AD22" s="4">
        <f>IF(ISBLANK(V22),"",V22/RelMean*100)</f>
        <v>111.36748540317845</v>
      </c>
      <c r="AE22" s="4">
        <f>IF(ISBLANK(W22),"",W22/RelMean*100)</f>
        <v>97.829432090058702</v>
      </c>
      <c r="AF22" s="4">
        <f>IF(ISBLANK(X22),"",X22/RelMean*100)</f>
        <v>107.9604672993302</v>
      </c>
      <c r="AG22" s="9">
        <f>IF(ISBLANK(Y22),"",Y22/RelMean*100)</f>
        <v>89.191544642270287</v>
      </c>
      <c r="AH22" s="7">
        <f t="shared" si="8"/>
        <v>96.242164502093274</v>
      </c>
      <c r="AI22" s="5">
        <f t="shared" si="9"/>
        <v>10.234629820148665</v>
      </c>
    </row>
    <row r="23" spans="1:35" ht="15.75" x14ac:dyDescent="0.25">
      <c r="A23" s="13" t="s">
        <v>910</v>
      </c>
      <c r="I23" s="3"/>
      <c r="Q23" s="3"/>
      <c r="R23" s="4" t="str">
        <f t="shared" si="0"/>
        <v/>
      </c>
      <c r="S23" s="4" t="str">
        <f t="shared" si="1"/>
        <v/>
      </c>
      <c r="T23" s="4" t="str">
        <f t="shared" si="2"/>
        <v/>
      </c>
      <c r="U23" s="4" t="str">
        <f t="shared" si="3"/>
        <v/>
      </c>
      <c r="V23" s="4" t="str">
        <f t="shared" si="4"/>
        <v/>
      </c>
      <c r="W23" s="4" t="str">
        <f t="shared" si="5"/>
        <v/>
      </c>
      <c r="X23" s="4" t="str">
        <f t="shared" si="6"/>
        <v/>
      </c>
      <c r="Y23" s="5" t="str">
        <f t="shared" si="7"/>
        <v/>
      </c>
      <c r="Z23" s="4" t="e">
        <f>IF(ISBLANK(R23),"",R23/RelMean*100)</f>
        <v>#VALUE!</v>
      </c>
      <c r="AA23" s="4" t="e">
        <f>IF(ISBLANK(S23),"",S23/RelMean*100)</f>
        <v>#VALUE!</v>
      </c>
      <c r="AB23" s="4" t="e">
        <f>IF(ISBLANK(T23),"",T23/RelMean*100)</f>
        <v>#VALUE!</v>
      </c>
      <c r="AC23" s="4" t="e">
        <f>IF(ISBLANK(U23),"",U23/RelMean*100)</f>
        <v>#VALUE!</v>
      </c>
      <c r="AD23" s="4" t="e">
        <f>IF(ISBLANK(V23),"",V23/RelMean*100)</f>
        <v>#VALUE!</v>
      </c>
      <c r="AE23" s="4" t="e">
        <f>IF(ISBLANK(W23),"",W23/RelMean*100)</f>
        <v>#VALUE!</v>
      </c>
      <c r="AF23" s="4" t="e">
        <f>IF(ISBLANK(X23),"",X23/RelMean*100)</f>
        <v>#VALUE!</v>
      </c>
      <c r="AG23" s="9" t="e">
        <f>IF(ISBLANK(Y23),"",Y23/RelMean*100)</f>
        <v>#VALUE!</v>
      </c>
      <c r="AH23" s="7" t="e">
        <f t="shared" si="8"/>
        <v>#VALUE!</v>
      </c>
      <c r="AI23" s="5" t="e">
        <f t="shared" si="9"/>
        <v>#VALUE!</v>
      </c>
    </row>
    <row r="24" spans="1:35" x14ac:dyDescent="0.25">
      <c r="A24" s="11" t="s">
        <v>96</v>
      </c>
      <c r="B24">
        <v>126</v>
      </c>
      <c r="C24">
        <v>119</v>
      </c>
      <c r="D24">
        <v>141</v>
      </c>
      <c r="E24">
        <v>62</v>
      </c>
      <c r="F24">
        <v>98</v>
      </c>
      <c r="G24">
        <v>115</v>
      </c>
      <c r="H24">
        <v>91</v>
      </c>
      <c r="I24" s="3">
        <v>163</v>
      </c>
      <c r="J24">
        <v>126</v>
      </c>
      <c r="K24">
        <v>167</v>
      </c>
      <c r="L24">
        <v>100</v>
      </c>
      <c r="M24">
        <v>45</v>
      </c>
      <c r="N24">
        <v>104</v>
      </c>
      <c r="O24">
        <v>116</v>
      </c>
      <c r="P24">
        <v>100</v>
      </c>
      <c r="Q24" s="3">
        <v>170</v>
      </c>
      <c r="R24" s="4">
        <f t="shared" si="0"/>
        <v>100</v>
      </c>
      <c r="S24" s="4">
        <f t="shared" si="1"/>
        <v>140.33613445378151</v>
      </c>
      <c r="T24" s="4">
        <f t="shared" si="2"/>
        <v>70.921985815602838</v>
      </c>
      <c r="U24" s="4">
        <f t="shared" si="3"/>
        <v>72.58064516129032</v>
      </c>
      <c r="V24" s="4">
        <f t="shared" si="4"/>
        <v>106.12244897959184</v>
      </c>
      <c r="W24" s="4">
        <f t="shared" si="5"/>
        <v>100.8695652173913</v>
      </c>
      <c r="X24" s="4">
        <f t="shared" si="6"/>
        <v>109.8901098901099</v>
      </c>
      <c r="Y24" s="5">
        <f t="shared" si="7"/>
        <v>104.29447852760735</v>
      </c>
      <c r="Z24" s="4">
        <f>IF(ISBLANK(R24),"",R24/RelMean*100)</f>
        <v>90.6835446992812</v>
      </c>
      <c r="AA24" s="4">
        <f>IF(ISBLANK(S24),"",S24/RelMean*100)</f>
        <v>127.26178121663834</v>
      </c>
      <c r="AB24" s="4">
        <f>IF(ISBLANK(T24),"",T24/RelMean*100)</f>
        <v>64.314570708710079</v>
      </c>
      <c r="AC24" s="4">
        <f>IF(ISBLANK(U24),"",U24/RelMean*100)</f>
        <v>65.818701797865387</v>
      </c>
      <c r="AD24" s="4">
        <f>IF(ISBLANK(V24),"",V24/RelMean*100)</f>
        <v>96.23559845638006</v>
      </c>
      <c r="AE24" s="4">
        <f>IF(ISBLANK(W24),"",W24/RelMean*100)</f>
        <v>91.472097261883647</v>
      </c>
      <c r="AF24" s="4">
        <f>IF(ISBLANK(X24),"",X24/RelMean*100)</f>
        <v>99.652246922287048</v>
      </c>
      <c r="AG24" s="9">
        <f>IF(ISBLANK(Y24),"",Y24/RelMean*100)</f>
        <v>94.577930054465057</v>
      </c>
      <c r="AH24" s="7">
        <f t="shared" si="8"/>
        <v>91.252058889688854</v>
      </c>
      <c r="AI24" s="5">
        <f t="shared" si="9"/>
        <v>19.914158259873421</v>
      </c>
    </row>
    <row r="25" spans="1:35" x14ac:dyDescent="0.25">
      <c r="A25" s="11" t="s">
        <v>97</v>
      </c>
      <c r="B25">
        <v>0.21</v>
      </c>
      <c r="C25">
        <v>0.19833300000000001</v>
      </c>
      <c r="D25">
        <v>0.23499999999999999</v>
      </c>
      <c r="E25">
        <v>0.10333299999999999</v>
      </c>
      <c r="F25">
        <v>0.16333300000000001</v>
      </c>
      <c r="G25">
        <v>0.191667</v>
      </c>
      <c r="H25">
        <v>0.151667</v>
      </c>
      <c r="I25" s="3">
        <v>0.27166699999999999</v>
      </c>
      <c r="J25">
        <v>0.21</v>
      </c>
      <c r="K25">
        <v>0.278333</v>
      </c>
      <c r="L25">
        <v>0.16666700000000001</v>
      </c>
      <c r="M25">
        <v>7.4999999999999997E-2</v>
      </c>
      <c r="N25">
        <v>0.17333299999999999</v>
      </c>
      <c r="O25">
        <v>0.193333</v>
      </c>
      <c r="P25">
        <v>0.16666700000000001</v>
      </c>
      <c r="Q25" s="3">
        <v>0.283333</v>
      </c>
      <c r="R25" s="4">
        <f t="shared" si="0"/>
        <v>100</v>
      </c>
      <c r="S25" s="4">
        <f t="shared" si="1"/>
        <v>140.33620224571806</v>
      </c>
      <c r="T25" s="4">
        <f t="shared" si="2"/>
        <v>70.922127659574471</v>
      </c>
      <c r="U25" s="4">
        <f t="shared" si="3"/>
        <v>72.580879293159001</v>
      </c>
      <c r="V25" s="4">
        <f t="shared" si="4"/>
        <v>106.12246147441115</v>
      </c>
      <c r="W25" s="4">
        <f t="shared" si="5"/>
        <v>100.86921587962456</v>
      </c>
      <c r="X25" s="4">
        <f t="shared" si="6"/>
        <v>109.89008815365241</v>
      </c>
      <c r="Y25" s="5">
        <f t="shared" si="7"/>
        <v>104.29422785984312</v>
      </c>
      <c r="Z25" s="4">
        <f>IF(ISBLANK(R25),"",R25/RelMean*100)</f>
        <v>90.683620201209877</v>
      </c>
      <c r="AA25" s="4">
        <f>IF(ISBLANK(S25),"",S25/RelMean*100)</f>
        <v>127.26194864930874</v>
      </c>
      <c r="AB25" s="4">
        <f>IF(ISBLANK(T25),"",T25/RelMean*100)</f>
        <v>64.314752885425733</v>
      </c>
      <c r="AC25" s="4">
        <f>IF(ISBLANK(U25),"",U25/RelMean*100)</f>
        <v>65.818968916906897</v>
      </c>
      <c r="AD25" s="4">
        <f>IF(ISBLANK(V25),"",V25/RelMean*100)</f>
        <v>96.235689911630288</v>
      </c>
      <c r="AE25" s="4">
        <f>IF(ISBLANK(W25),"",W25/RelMean*100)</f>
        <v>91.471856628217225</v>
      </c>
      <c r="AF25" s="4">
        <f>IF(ISBLANK(X25),"",X25/RelMean*100)</f>
        <v>99.65231018003287</v>
      </c>
      <c r="AG25" s="9">
        <f>IF(ISBLANK(Y25),"",Y25/RelMean*100)</f>
        <v>94.57778148420455</v>
      </c>
      <c r="AH25" s="7">
        <f t="shared" si="8"/>
        <v>91.252116107117018</v>
      </c>
      <c r="AI25" s="5">
        <f t="shared" si="9"/>
        <v>19.914120421279677</v>
      </c>
    </row>
    <row r="26" spans="1:35" x14ac:dyDescent="0.25">
      <c r="A26" s="11" t="s">
        <v>98</v>
      </c>
      <c r="B26">
        <v>0.230267</v>
      </c>
      <c r="C26">
        <v>0.37886300000000001</v>
      </c>
      <c r="D26">
        <v>0.158578</v>
      </c>
      <c r="E26">
        <v>0.40105200000000002</v>
      </c>
      <c r="F26">
        <v>0.20286000000000001</v>
      </c>
      <c r="G26">
        <v>0.33722600000000003</v>
      </c>
      <c r="H26">
        <v>0.20996300000000001</v>
      </c>
      <c r="I26" s="3">
        <v>0.31562099999999998</v>
      </c>
      <c r="J26">
        <v>0.28431499999999998</v>
      </c>
      <c r="K26">
        <v>0.22772700000000001</v>
      </c>
      <c r="L26">
        <v>0.260662</v>
      </c>
      <c r="M26">
        <v>0.33456399999999997</v>
      </c>
      <c r="N26">
        <v>0.33738000000000001</v>
      </c>
      <c r="O26">
        <v>0.45821000000000001</v>
      </c>
      <c r="P26">
        <v>0.31352200000000002</v>
      </c>
      <c r="Q26" s="3">
        <v>0.337978</v>
      </c>
      <c r="R26" s="4">
        <f t="shared" si="0"/>
        <v>123.4718826405868</v>
      </c>
      <c r="S26" s="4">
        <f t="shared" si="1"/>
        <v>60.108007379976399</v>
      </c>
      <c r="T26" s="4">
        <f t="shared" si="2"/>
        <v>164.37462951985776</v>
      </c>
      <c r="U26" s="4">
        <f t="shared" si="3"/>
        <v>83.421601188873254</v>
      </c>
      <c r="V26" s="4">
        <f t="shared" si="4"/>
        <v>166.3117420881396</v>
      </c>
      <c r="W26" s="4">
        <f t="shared" si="5"/>
        <v>135.87623730080122</v>
      </c>
      <c r="X26" s="4">
        <f t="shared" si="6"/>
        <v>149.32249967851479</v>
      </c>
      <c r="Y26" s="5">
        <f t="shared" si="7"/>
        <v>107.08349571162883</v>
      </c>
      <c r="Z26" s="4">
        <f>IF(ISBLANK(R26),"",R26/RelMean*100)</f>
        <v>104.98252872171916</v>
      </c>
      <c r="AA26" s="4">
        <f>IF(ISBLANK(S26),"",S26/RelMean*100)</f>
        <v>51.107106138020498</v>
      </c>
      <c r="AB26" s="4">
        <f>IF(ISBLANK(T26),"",T26/RelMean*100)</f>
        <v>139.76027493580949</v>
      </c>
      <c r="AC26" s="4">
        <f>IF(ISBLANK(U26),"",U26/RelMean*100)</f>
        <v>70.929595107217409</v>
      </c>
      <c r="AD26" s="4">
        <f>IF(ISBLANK(V26),"",V26/RelMean*100)</f>
        <v>141.40731369060694</v>
      </c>
      <c r="AE26" s="4">
        <f>IF(ISBLANK(W26),"",W26/RelMean*100)</f>
        <v>115.52938758173212</v>
      </c>
      <c r="AF26" s="4">
        <f>IF(ISBLANK(X26),"",X26/RelMean*100)</f>
        <v>126.962133208339</v>
      </c>
      <c r="AG26" s="9">
        <f>IF(ISBLANK(Y26),"",Y26/RelMean*100)</f>
        <v>91.048228339500582</v>
      </c>
      <c r="AH26" s="7">
        <f t="shared" si="8"/>
        <v>105.21582096536815</v>
      </c>
      <c r="AI26" s="5">
        <f t="shared" si="9"/>
        <v>32.484036977002255</v>
      </c>
    </row>
    <row r="27" spans="1:35" x14ac:dyDescent="0.25">
      <c r="A27" s="11" t="s">
        <v>99</v>
      </c>
      <c r="B27">
        <v>116.68254</v>
      </c>
      <c r="C27">
        <v>147.932773</v>
      </c>
      <c r="D27">
        <v>82.070921999999996</v>
      </c>
      <c r="E27">
        <v>69.903226000000004</v>
      </c>
      <c r="F27">
        <v>64.030612000000005</v>
      </c>
      <c r="G27">
        <v>98.921739000000002</v>
      </c>
      <c r="H27">
        <v>70</v>
      </c>
      <c r="I27" s="3">
        <v>80.306747999999999</v>
      </c>
      <c r="J27">
        <v>99.920635000000004</v>
      </c>
      <c r="K27">
        <v>111.197605</v>
      </c>
      <c r="L27">
        <v>88</v>
      </c>
      <c r="M27">
        <v>64.022221999999999</v>
      </c>
      <c r="N27">
        <v>75.144231000000005</v>
      </c>
      <c r="O27">
        <v>113.44827600000001</v>
      </c>
      <c r="P27">
        <v>74.150000000000006</v>
      </c>
      <c r="Q27" s="3">
        <v>76.670587999999995</v>
      </c>
      <c r="R27" s="4">
        <f t="shared" si="0"/>
        <v>85.634607371419918</v>
      </c>
      <c r="S27" s="4">
        <f t="shared" si="1"/>
        <v>75.16766078602474</v>
      </c>
      <c r="T27" s="4">
        <f t="shared" si="2"/>
        <v>107.22433458222878</v>
      </c>
      <c r="U27" s="4">
        <f t="shared" si="3"/>
        <v>91.586934771794361</v>
      </c>
      <c r="V27" s="4">
        <f t="shared" si="4"/>
        <v>117.35672774765919</v>
      </c>
      <c r="W27" s="4">
        <f t="shared" si="5"/>
        <v>114.68487831577647</v>
      </c>
      <c r="X27" s="4">
        <f t="shared" si="6"/>
        <v>105.92857142857144</v>
      </c>
      <c r="Y27" s="5">
        <f t="shared" si="7"/>
        <v>95.472161318249377</v>
      </c>
      <c r="Z27" s="4">
        <f>IF(ISBLANK(R27),"",R27/RelMean*100)</f>
        <v>90.756308480417374</v>
      </c>
      <c r="AA27" s="4">
        <f>IF(ISBLANK(S27),"",S27/RelMean*100)</f>
        <v>79.663346624096491</v>
      </c>
      <c r="AB27" s="4">
        <f>IF(ISBLANK(T27),"",T27/RelMean*100)</f>
        <v>113.63729086472114</v>
      </c>
      <c r="AC27" s="4">
        <f>IF(ISBLANK(U27),"",U27/RelMean*100)</f>
        <v>97.064637301051576</v>
      </c>
      <c r="AD27" s="4">
        <f>IF(ISBLANK(V27),"",V27/RelMean*100)</f>
        <v>124.37569007029256</v>
      </c>
      <c r="AE27" s="4">
        <f>IF(ISBLANK(W27),"",W27/RelMean*100)</f>
        <v>121.54404059239579</v>
      </c>
      <c r="AF27" s="4">
        <f>IF(ISBLANK(X27),"",X27/RelMean*100)</f>
        <v>112.26402970196685</v>
      </c>
      <c r="AG27" s="9">
        <f>IF(ISBLANK(Y27),"",Y27/RelMean*100)</f>
        <v>101.1822344944038</v>
      </c>
      <c r="AH27" s="7">
        <f t="shared" si="8"/>
        <v>105.06094726616818</v>
      </c>
      <c r="AI27" s="5">
        <f t="shared" si="9"/>
        <v>15.578537966780823</v>
      </c>
    </row>
    <row r="28" spans="1:35" x14ac:dyDescent="0.25">
      <c r="A28" s="11" t="s">
        <v>100</v>
      </c>
      <c r="B28">
        <v>1.915E-3</v>
      </c>
      <c r="C28">
        <v>2.0660000000000001E-3</v>
      </c>
      <c r="D28">
        <v>1.8940000000000001E-3</v>
      </c>
      <c r="E28">
        <v>5.8120000000000003E-3</v>
      </c>
      <c r="F28">
        <v>3.411E-3</v>
      </c>
      <c r="G28">
        <v>3.166E-3</v>
      </c>
      <c r="H28">
        <v>3.2130000000000001E-3</v>
      </c>
      <c r="I28" s="3">
        <v>4.2770000000000004E-3</v>
      </c>
      <c r="J28">
        <v>3.3709999999999999E-3</v>
      </c>
      <c r="K28">
        <v>2.085E-3</v>
      </c>
      <c r="L28">
        <v>3.1570000000000001E-3</v>
      </c>
      <c r="M28">
        <v>5.4159999999999998E-3</v>
      </c>
      <c r="N28">
        <v>4.5500000000000002E-3</v>
      </c>
      <c r="O28">
        <v>4.5560000000000002E-3</v>
      </c>
      <c r="P28">
        <v>4.4460000000000003E-3</v>
      </c>
      <c r="Q28" s="3">
        <v>4.9389999999999998E-3</v>
      </c>
      <c r="R28" s="4">
        <f t="shared" si="0"/>
        <v>176.0313315926893</v>
      </c>
      <c r="S28" s="4">
        <f t="shared" si="1"/>
        <v>100.91965150048404</v>
      </c>
      <c r="T28" s="4">
        <f t="shared" si="2"/>
        <v>166.68426610348467</v>
      </c>
      <c r="U28" s="4">
        <f t="shared" si="3"/>
        <v>93.186510667584301</v>
      </c>
      <c r="V28" s="4">
        <f t="shared" si="4"/>
        <v>133.39196716505424</v>
      </c>
      <c r="W28" s="4">
        <f t="shared" si="5"/>
        <v>143.90397978521793</v>
      </c>
      <c r="X28" s="4">
        <f t="shared" si="6"/>
        <v>138.37535014005601</v>
      </c>
      <c r="Y28" s="5">
        <f t="shared" si="7"/>
        <v>115.47813888239418</v>
      </c>
      <c r="Z28" s="4">
        <f>IF(ISBLANK(R28),"",R28/RelMean*100)</f>
        <v>124.02841907948586</v>
      </c>
      <c r="AA28" s="4">
        <f>IF(ISBLANK(S28),"",S28/RelMean*100)</f>
        <v>71.106119100547289</v>
      </c>
      <c r="AB28" s="4">
        <f>IF(ISBLANK(T28),"",T28/RelMean*100)</f>
        <v>117.44264968735898</v>
      </c>
      <c r="AC28" s="4">
        <f>IF(ISBLANK(U28),"",U28/RelMean*100)</f>
        <v>65.657491158319033</v>
      </c>
      <c r="AD28" s="4">
        <f>IF(ISBLANK(V28),"",V28/RelMean*100)</f>
        <v>93.985511872770857</v>
      </c>
      <c r="AE28" s="4">
        <f>IF(ISBLANK(W28),"",W28/RelMean*100)</f>
        <v>101.39208145800403</v>
      </c>
      <c r="AF28" s="4">
        <f>IF(ISBLANK(X28),"",X28/RelMean*100)</f>
        <v>97.496711307921657</v>
      </c>
      <c r="AG28" s="9">
        <f>IF(ISBLANK(Y28),"",Y28/RelMean*100)</f>
        <v>81.363759929766275</v>
      </c>
      <c r="AH28" s="7">
        <f t="shared" si="8"/>
        <v>94.059092949271758</v>
      </c>
      <c r="AI28" s="5">
        <f t="shared" si="9"/>
        <v>20.719928510337333</v>
      </c>
    </row>
    <row r="29" spans="1:35" x14ac:dyDescent="0.25">
      <c r="A29" s="11" t="s">
        <v>101</v>
      </c>
      <c r="B29">
        <v>1.0349999999999999E-3</v>
      </c>
      <c r="C29">
        <v>7.3700000000000002E-4</v>
      </c>
      <c r="D29">
        <v>9.7499999999999996E-4</v>
      </c>
      <c r="E29">
        <v>2.379E-3</v>
      </c>
      <c r="F29">
        <v>1.9620000000000002E-3</v>
      </c>
      <c r="G29">
        <v>1.1709999999999999E-3</v>
      </c>
      <c r="H29">
        <v>1.727E-3</v>
      </c>
      <c r="I29" s="3">
        <v>1.34E-3</v>
      </c>
      <c r="J29">
        <v>1.3799999999999999E-3</v>
      </c>
      <c r="K29">
        <v>9.4700000000000003E-4</v>
      </c>
      <c r="L29">
        <v>1.25E-3</v>
      </c>
      <c r="M29">
        <v>2.398E-3</v>
      </c>
      <c r="N29">
        <v>2.1779999999999998E-3</v>
      </c>
      <c r="O29">
        <v>1.3320000000000001E-3</v>
      </c>
      <c r="P29">
        <v>2.134E-3</v>
      </c>
      <c r="Q29" s="3">
        <v>1.436E-3</v>
      </c>
      <c r="R29" s="4">
        <f t="shared" si="0"/>
        <v>133.33333333333334</v>
      </c>
      <c r="S29" s="4">
        <f t="shared" si="1"/>
        <v>128.49389416553595</v>
      </c>
      <c r="T29" s="4">
        <f t="shared" si="2"/>
        <v>128.2051282051282</v>
      </c>
      <c r="U29" s="4">
        <f t="shared" si="3"/>
        <v>100.79865489701554</v>
      </c>
      <c r="V29" s="4">
        <f t="shared" si="4"/>
        <v>111.00917431192659</v>
      </c>
      <c r="W29" s="4">
        <f t="shared" si="5"/>
        <v>113.74893253629376</v>
      </c>
      <c r="X29" s="4">
        <f t="shared" si="6"/>
        <v>123.56687898089172</v>
      </c>
      <c r="Y29" s="5">
        <f t="shared" si="7"/>
        <v>107.1641791044776</v>
      </c>
      <c r="Z29" s="4">
        <f>IF(ISBLANK(R29),"",R29/RelMean*100)</f>
        <v>112.01892266053193</v>
      </c>
      <c r="AA29" s="4">
        <f>IF(ISBLANK(S29),"",S29/RelMean*100)</f>
        <v>107.9531069465981</v>
      </c>
      <c r="AB29" s="4">
        <f>IF(ISBLANK(T29),"",T29/RelMean*100)</f>
        <v>107.71050255820379</v>
      </c>
      <c r="AC29" s="4">
        <f>IF(ISBLANK(U29),"",U29/RelMean*100)</f>
        <v>84.685175453958237</v>
      </c>
      <c r="AD29" s="4">
        <f>IF(ISBLANK(V29),"",V29/RelMean*100)</f>
        <v>93.263460838929092</v>
      </c>
      <c r="AE29" s="4">
        <f>IF(ISBLANK(W29),"",W29/RelMean*100)</f>
        <v>95.565246573758671</v>
      </c>
      <c r="AF29" s="4">
        <f>IF(ISBLANK(X29),"",X29/RelMean*100)</f>
        <v>103.81371494972862</v>
      </c>
      <c r="AG29" s="9">
        <f>IF(ISBLANK(Y29),"",Y29/RelMean*100)</f>
        <v>90.033119183129003</v>
      </c>
      <c r="AH29" s="7">
        <f t="shared" si="8"/>
        <v>99.380406145604667</v>
      </c>
      <c r="AI29" s="5">
        <f t="shared" si="9"/>
        <v>9.8384237486096566</v>
      </c>
    </row>
    <row r="30" spans="1:35" x14ac:dyDescent="0.25">
      <c r="A30" s="11" t="s">
        <v>102</v>
      </c>
      <c r="B30">
        <v>0.56223100000000004</v>
      </c>
      <c r="C30">
        <v>0.42393799999999998</v>
      </c>
      <c r="D30">
        <v>0.56176199999999998</v>
      </c>
      <c r="E30">
        <v>0.48985000000000001</v>
      </c>
      <c r="F30">
        <v>0.58408300000000002</v>
      </c>
      <c r="G30">
        <v>0.43407400000000002</v>
      </c>
      <c r="H30">
        <v>0.57816800000000002</v>
      </c>
      <c r="I30" s="3">
        <v>0.42632100000000001</v>
      </c>
      <c r="J30">
        <v>0.477072</v>
      </c>
      <c r="K30">
        <v>0.47661799999999999</v>
      </c>
      <c r="L30">
        <v>0.47667500000000002</v>
      </c>
      <c r="M30">
        <v>0.474852</v>
      </c>
      <c r="N30">
        <v>0.52895400000000004</v>
      </c>
      <c r="O30">
        <v>0.28108699999999998</v>
      </c>
      <c r="P30">
        <v>0.51130200000000003</v>
      </c>
      <c r="Q30" s="3">
        <v>0.394175</v>
      </c>
      <c r="R30" s="4">
        <f t="shared" si="0"/>
        <v>84.853378771359104</v>
      </c>
      <c r="S30" s="4">
        <f t="shared" si="1"/>
        <v>112.42634536182177</v>
      </c>
      <c r="T30" s="4">
        <f t="shared" si="2"/>
        <v>84.853550079927089</v>
      </c>
      <c r="U30" s="4">
        <f t="shared" si="3"/>
        <v>96.938246401959788</v>
      </c>
      <c r="V30" s="4">
        <f t="shared" si="4"/>
        <v>90.561444178310282</v>
      </c>
      <c r="W30" s="4">
        <f t="shared" si="5"/>
        <v>64.755548593097018</v>
      </c>
      <c r="X30" s="4">
        <f t="shared" si="6"/>
        <v>88.434849386337547</v>
      </c>
      <c r="Y30" s="5">
        <f t="shared" si="7"/>
        <v>92.459672406473061</v>
      </c>
      <c r="Z30" s="4">
        <f>IF(ISBLANK(R30),"",R30/RelMean*100)</f>
        <v>94.228683948041606</v>
      </c>
      <c r="AA30" s="4">
        <f>IF(ISBLANK(S30),"",S30/RelMean*100)</f>
        <v>124.84814061532974</v>
      </c>
      <c r="AB30" s="4">
        <f>IF(ISBLANK(T30),"",T30/RelMean*100)</f>
        <v>94.228874184201246</v>
      </c>
      <c r="AC30" s="4">
        <f>IF(ISBLANK(U30),"",U30/RelMean*100)</f>
        <v>107.6487880028981</v>
      </c>
      <c r="AD30" s="4">
        <f>IF(ISBLANK(V30),"",V30/RelMean*100)</f>
        <v>100.56742377165719</v>
      </c>
      <c r="AE30" s="4">
        <f>IF(ISBLANK(W30),"",W30/RelMean*100)</f>
        <v>71.910278772783116</v>
      </c>
      <c r="AF30" s="4">
        <f>IF(ISBLANK(X30),"",X30/RelMean*100)</f>
        <v>98.205865146180443</v>
      </c>
      <c r="AG30" s="9">
        <f>IF(ISBLANK(Y30),"",Y30/RelMean*100)</f>
        <v>102.67538400096954</v>
      </c>
      <c r="AH30" s="7">
        <f t="shared" si="8"/>
        <v>99.289179805257632</v>
      </c>
      <c r="AI30" s="5">
        <f t="shared" si="9"/>
        <v>14.823904040904164</v>
      </c>
    </row>
    <row r="31" spans="1:35" x14ac:dyDescent="0.25">
      <c r="A31" s="11" t="s">
        <v>103</v>
      </c>
      <c r="B31">
        <v>10.849206000000001</v>
      </c>
      <c r="C31">
        <v>9.4033610000000003</v>
      </c>
      <c r="D31">
        <v>11.560283999999999</v>
      </c>
      <c r="E31">
        <v>8.4354840000000006</v>
      </c>
      <c r="F31">
        <v>9.9591840000000005</v>
      </c>
      <c r="G31">
        <v>8.356522</v>
      </c>
      <c r="H31">
        <v>6.648352</v>
      </c>
      <c r="I31" s="3">
        <v>8.3865029999999994</v>
      </c>
      <c r="J31">
        <v>10.531746</v>
      </c>
      <c r="K31">
        <v>9.3113770000000002</v>
      </c>
      <c r="L31">
        <v>10.93</v>
      </c>
      <c r="M31">
        <v>8.5555559999999993</v>
      </c>
      <c r="N31">
        <v>10.259615</v>
      </c>
      <c r="O31">
        <v>9.6465519999999998</v>
      </c>
      <c r="P31">
        <v>6.65</v>
      </c>
      <c r="Q31" s="3">
        <v>8.1882350000000006</v>
      </c>
      <c r="R31" s="4">
        <f t="shared" si="0"/>
        <v>97.073887250366525</v>
      </c>
      <c r="S31" s="4">
        <f t="shared" si="1"/>
        <v>99.021796568269579</v>
      </c>
      <c r="T31" s="4">
        <f t="shared" si="2"/>
        <v>94.547850208524281</v>
      </c>
      <c r="U31" s="4">
        <f t="shared" si="3"/>
        <v>101.42341565700319</v>
      </c>
      <c r="V31" s="4">
        <f t="shared" si="4"/>
        <v>103.01662264699598</v>
      </c>
      <c r="W31" s="4">
        <f t="shared" si="5"/>
        <v>115.43740326418094</v>
      </c>
      <c r="X31" s="4">
        <f t="shared" si="6"/>
        <v>100.02478809786246</v>
      </c>
      <c r="Y31" s="5">
        <f t="shared" si="7"/>
        <v>97.635868013163545</v>
      </c>
      <c r="Z31" s="4">
        <f>IF(ISBLANK(R31),"",R31/RelMean*100)</f>
        <v>97.797523393094849</v>
      </c>
      <c r="AA31" s="4">
        <f>IF(ISBLANK(S31),"",S31/RelMean*100)</f>
        <v>99.759953377936441</v>
      </c>
      <c r="AB31" s="4">
        <f>IF(ISBLANK(T31),"",T31/RelMean*100)</f>
        <v>95.252656038043511</v>
      </c>
      <c r="AC31" s="4">
        <f>IF(ISBLANK(U31),"",U31/RelMean*100)</f>
        <v>102.17947530772133</v>
      </c>
      <c r="AD31" s="4">
        <f>IF(ISBLANK(V31),"",V31/RelMean*100)</f>
        <v>103.7845588403505</v>
      </c>
      <c r="AE31" s="4">
        <f>IF(ISBLANK(W31),"",W31/RelMean*100)</f>
        <v>116.29793001952989</v>
      </c>
      <c r="AF31" s="4">
        <f>IF(ISBLANK(X31),"",X31/RelMean*100)</f>
        <v>100.77042169600685</v>
      </c>
      <c r="AG31" s="9">
        <f>IF(ISBLANK(Y31),"",Y31/RelMean*100)</f>
        <v>98.363693434831816</v>
      </c>
      <c r="AH31" s="7">
        <f t="shared" si="8"/>
        <v>101.7757765134394</v>
      </c>
      <c r="AI31" s="5">
        <f t="shared" si="9"/>
        <v>6.4385592043097821</v>
      </c>
    </row>
    <row r="32" spans="1:35" x14ac:dyDescent="0.25">
      <c r="A32" s="11" t="s">
        <v>104</v>
      </c>
      <c r="B32">
        <v>10.671842</v>
      </c>
      <c r="C32">
        <v>15.531407</v>
      </c>
      <c r="D32">
        <v>6.9592289999999997</v>
      </c>
      <c r="E32">
        <v>8.0995069999999991</v>
      </c>
      <c r="F32">
        <v>6.422307</v>
      </c>
      <c r="G32">
        <v>11.518535999999999</v>
      </c>
      <c r="H32">
        <v>10.395478000000001</v>
      </c>
      <c r="I32" s="3">
        <v>9.4860480000000003</v>
      </c>
      <c r="J32">
        <v>9.3426919999999996</v>
      </c>
      <c r="K32">
        <v>11.776422</v>
      </c>
      <c r="L32">
        <v>7.9061500000000002</v>
      </c>
      <c r="M32">
        <v>7.408474</v>
      </c>
      <c r="N32">
        <v>7.2822849999999999</v>
      </c>
      <c r="O32">
        <v>11.478846000000001</v>
      </c>
      <c r="P32">
        <v>11.056827999999999</v>
      </c>
      <c r="Q32" s="3">
        <v>9.2408400000000004</v>
      </c>
      <c r="R32" s="4">
        <f t="shared" si="0"/>
        <v>87.545261633371254</v>
      </c>
      <c r="S32" s="4">
        <f t="shared" si="1"/>
        <v>75.823278599292394</v>
      </c>
      <c r="T32" s="4">
        <f t="shared" si="2"/>
        <v>113.60669407487525</v>
      </c>
      <c r="U32" s="4">
        <f t="shared" si="3"/>
        <v>91.468209114455988</v>
      </c>
      <c r="V32" s="4">
        <f t="shared" si="4"/>
        <v>113.39048413599662</v>
      </c>
      <c r="W32" s="4">
        <f t="shared" si="5"/>
        <v>99.655424960255374</v>
      </c>
      <c r="X32" s="4">
        <f t="shared" si="6"/>
        <v>106.3619008187983</v>
      </c>
      <c r="Y32" s="5">
        <f t="shared" si="7"/>
        <v>97.415066843431532</v>
      </c>
      <c r="Z32" s="4">
        <f>IF(ISBLANK(R32),"",R32/RelMean*100)</f>
        <v>92.53762128964101</v>
      </c>
      <c r="AA32" s="4">
        <f>IF(ISBLANK(S32),"",S32/RelMean*100)</f>
        <v>80.147179973537817</v>
      </c>
      <c r="AB32" s="4">
        <f>IF(ISBLANK(T32),"",T32/RelMean*100)</f>
        <v>120.08523403922884</v>
      </c>
      <c r="AC32" s="4">
        <f>IF(ISBLANK(U32),"",U32/RelMean*100)</f>
        <v>96.684278933592708</v>
      </c>
      <c r="AD32" s="4">
        <f>IF(ISBLANK(V32),"",V32/RelMean*100)</f>
        <v>119.85669450356788</v>
      </c>
      <c r="AE32" s="4">
        <f>IF(ISBLANK(W32),"",W32/RelMean*100)</f>
        <v>105.33837928374041</v>
      </c>
      <c r="AF32" s="4">
        <f>IF(ISBLANK(X32),"",X32/RelMean*100)</f>
        <v>112.4272989077969</v>
      </c>
      <c r="AG32" s="9">
        <f>IF(ISBLANK(Y32),"",Y32/RelMean*100)</f>
        <v>102.97026241368023</v>
      </c>
      <c r="AH32" s="7">
        <f t="shared" si="8"/>
        <v>103.75586866809822</v>
      </c>
      <c r="AI32" s="5">
        <f t="shared" si="9"/>
        <v>13.82247973897011</v>
      </c>
    </row>
    <row r="33" spans="1:35" x14ac:dyDescent="0.25">
      <c r="A33" s="11" t="s">
        <v>105</v>
      </c>
      <c r="B33">
        <v>98.770573999999996</v>
      </c>
      <c r="C33">
        <v>94.118904999999998</v>
      </c>
      <c r="D33">
        <v>95.652174000000002</v>
      </c>
      <c r="E33">
        <v>65.369532000000007</v>
      </c>
      <c r="F33">
        <v>80.655527000000006</v>
      </c>
      <c r="G33">
        <v>97.455667000000005</v>
      </c>
      <c r="H33">
        <v>77.127982000000003</v>
      </c>
      <c r="I33" s="3">
        <v>90.294544000000002</v>
      </c>
      <c r="J33">
        <v>86.553004000000001</v>
      </c>
      <c r="K33">
        <v>86.970776000000001</v>
      </c>
      <c r="L33">
        <v>80.837772999999999</v>
      </c>
      <c r="M33">
        <v>48.550725</v>
      </c>
      <c r="N33">
        <v>79.793751</v>
      </c>
      <c r="O33">
        <v>92.474176</v>
      </c>
      <c r="P33">
        <v>76.815498000000005</v>
      </c>
      <c r="Q33" s="3">
        <v>82.634882000000005</v>
      </c>
      <c r="R33" s="4">
        <f t="shared" si="0"/>
        <v>87.630354360398883</v>
      </c>
      <c r="S33" s="4">
        <f t="shared" si="1"/>
        <v>92.405214446555661</v>
      </c>
      <c r="T33" s="4">
        <f t="shared" si="2"/>
        <v>84.512217150443433</v>
      </c>
      <c r="U33" s="4">
        <f t="shared" si="3"/>
        <v>74.271183400854085</v>
      </c>
      <c r="V33" s="4">
        <f t="shared" si="4"/>
        <v>98.931535094922879</v>
      </c>
      <c r="W33" s="4">
        <f t="shared" si="5"/>
        <v>94.888454254794638</v>
      </c>
      <c r="X33" s="4">
        <f t="shared" si="6"/>
        <v>99.594850024729027</v>
      </c>
      <c r="Y33" s="5">
        <f t="shared" si="7"/>
        <v>91.517026765205216</v>
      </c>
      <c r="Z33" s="4">
        <f>IF(ISBLANK(R33),"",R33/RelMean*100)</f>
        <v>93.775209665878918</v>
      </c>
      <c r="AA33" s="4">
        <f>IF(ISBLANK(S33),"",S33/RelMean*100)</f>
        <v>98.884894648585515</v>
      </c>
      <c r="AB33" s="4">
        <f>IF(ISBLANK(T33),"",T33/RelMean*100)</f>
        <v>90.438421029512384</v>
      </c>
      <c r="AC33" s="4">
        <f>IF(ISBLANK(U33),"",U33/RelMean*100)</f>
        <v>79.479260883777798</v>
      </c>
      <c r="AD33" s="4">
        <f>IF(ISBLANK(V33),"",V33/RelMean*100)</f>
        <v>105.86885690246821</v>
      </c>
      <c r="AE33" s="4">
        <f>IF(ISBLANK(W33),"",W33/RelMean*100)</f>
        <v>101.542265320745</v>
      </c>
      <c r="AF33" s="4">
        <f>IF(ISBLANK(X33),"",X33/RelMean*100)</f>
        <v>106.5786851015105</v>
      </c>
      <c r="AG33" s="9">
        <f>IF(ISBLANK(Y33),"",Y33/RelMean*100)</f>
        <v>97.934425069303202</v>
      </c>
      <c r="AH33" s="7">
        <f t="shared" si="8"/>
        <v>96.812752327722677</v>
      </c>
      <c r="AI33" s="5">
        <f t="shared" si="9"/>
        <v>8.9091877155658583</v>
      </c>
    </row>
    <row r="34" spans="1:35" x14ac:dyDescent="0.25">
      <c r="A34" s="11" t="s">
        <v>106</v>
      </c>
      <c r="B34">
        <v>0.41401199999999999</v>
      </c>
      <c r="C34">
        <v>0.51433200000000001</v>
      </c>
      <c r="D34">
        <v>0.41023399999999999</v>
      </c>
      <c r="E34">
        <v>0.55962999999999996</v>
      </c>
      <c r="F34">
        <v>0.42904399999999998</v>
      </c>
      <c r="G34">
        <v>0.36304199999999998</v>
      </c>
      <c r="H34">
        <v>0.58994500000000005</v>
      </c>
      <c r="I34" s="3">
        <v>0.414076</v>
      </c>
      <c r="J34">
        <v>0.47303299999999998</v>
      </c>
      <c r="K34">
        <v>0.55769400000000002</v>
      </c>
      <c r="L34">
        <v>0.50991500000000001</v>
      </c>
      <c r="M34">
        <v>0.54886299999999999</v>
      </c>
      <c r="N34">
        <v>0.43327500000000002</v>
      </c>
      <c r="O34">
        <v>0.41067599999999999</v>
      </c>
      <c r="P34">
        <v>0.54948399999999997</v>
      </c>
      <c r="Q34" s="3">
        <v>0.479769</v>
      </c>
      <c r="R34" s="4">
        <f t="shared" si="0"/>
        <v>114.25586697970107</v>
      </c>
      <c r="S34" s="4">
        <f t="shared" si="1"/>
        <v>108.430741233289</v>
      </c>
      <c r="T34" s="4">
        <f t="shared" si="2"/>
        <v>124.29857105944413</v>
      </c>
      <c r="U34" s="4">
        <f t="shared" si="3"/>
        <v>98.076050247484943</v>
      </c>
      <c r="V34" s="4">
        <f t="shared" si="4"/>
        <v>100.98614594307345</v>
      </c>
      <c r="W34" s="4">
        <f t="shared" si="5"/>
        <v>113.12079594096551</v>
      </c>
      <c r="X34" s="4">
        <f t="shared" si="6"/>
        <v>93.141564044105792</v>
      </c>
      <c r="Y34" s="5">
        <f t="shared" si="7"/>
        <v>115.86496198765444</v>
      </c>
      <c r="Z34" s="4">
        <f>IF(ISBLANK(R34),"",R34/RelMean*100)</f>
        <v>112.94557536088155</v>
      </c>
      <c r="AA34" s="4">
        <f>IF(ISBLANK(S34),"",S34/RelMean*100)</f>
        <v>107.18725242859063</v>
      </c>
      <c r="AB34" s="4">
        <f>IF(ISBLANK(T34),"",T34/RelMean*100)</f>
        <v>122.87310924119572</v>
      </c>
      <c r="AC34" s="4">
        <f>IF(ISBLANK(U34),"",U34/RelMean*100)</f>
        <v>96.951309522625422</v>
      </c>
      <c r="AD34" s="4">
        <f>IF(ISBLANK(V34),"",V34/RelMean*100)</f>
        <v>99.828032104861521</v>
      </c>
      <c r="AE34" s="4">
        <f>IF(ISBLANK(W34),"",W34/RelMean*100)</f>
        <v>111.82352136983147</v>
      </c>
      <c r="AF34" s="4">
        <f>IF(ISBLANK(X34),"",X34/RelMean*100)</f>
        <v>92.073412237490771</v>
      </c>
      <c r="AG34" s="9">
        <f>IF(ISBLANK(Y34),"",Y34/RelMean*100)</f>
        <v>114.53621719213128</v>
      </c>
      <c r="AH34" s="7">
        <f t="shared" si="8"/>
        <v>107.27730368220105</v>
      </c>
      <c r="AI34" s="5">
        <f t="shared" si="9"/>
        <v>10.295648194210374</v>
      </c>
    </row>
    <row r="35" spans="1:35" x14ac:dyDescent="0.25">
      <c r="A35" s="11" t="s">
        <v>107</v>
      </c>
      <c r="B35">
        <v>0.51544900000000005</v>
      </c>
      <c r="C35">
        <v>1.117189</v>
      </c>
      <c r="D35">
        <v>0.37156699999999998</v>
      </c>
      <c r="E35">
        <v>0.76189300000000004</v>
      </c>
      <c r="F35">
        <v>0.47879500000000003</v>
      </c>
      <c r="G35">
        <v>1.475052</v>
      </c>
      <c r="H35">
        <v>0.53676199999999996</v>
      </c>
      <c r="I35" s="3">
        <v>1.2207330000000001</v>
      </c>
      <c r="J35">
        <v>0.77125699999999997</v>
      </c>
      <c r="K35">
        <v>0.81709900000000002</v>
      </c>
      <c r="L35">
        <v>0.87053700000000001</v>
      </c>
      <c r="M35">
        <v>0.51761599999999997</v>
      </c>
      <c r="N35">
        <v>0.87998200000000004</v>
      </c>
      <c r="O35">
        <v>0.61515600000000004</v>
      </c>
      <c r="P35">
        <v>0.98357799999999995</v>
      </c>
      <c r="Q35" s="3">
        <v>1.204434</v>
      </c>
      <c r="R35" s="4">
        <f t="shared" si="0"/>
        <v>149.62818823976764</v>
      </c>
      <c r="S35" s="4">
        <f t="shared" si="1"/>
        <v>73.138833268139948</v>
      </c>
      <c r="T35" s="4">
        <f t="shared" si="2"/>
        <v>234.28802880772514</v>
      </c>
      <c r="U35" s="4">
        <f t="shared" si="3"/>
        <v>67.938148795172012</v>
      </c>
      <c r="V35" s="4">
        <f t="shared" si="4"/>
        <v>183.790975260811</v>
      </c>
      <c r="W35" s="4">
        <f t="shared" si="5"/>
        <v>41.704021281961587</v>
      </c>
      <c r="X35" s="4">
        <f t="shared" si="6"/>
        <v>183.24285251191404</v>
      </c>
      <c r="Y35" s="5">
        <f t="shared" si="7"/>
        <v>98.664818596695596</v>
      </c>
      <c r="Z35" s="4">
        <f>IF(ISBLANK(R35),"",R35/RelMean*100)</f>
        <v>140.32682324098599</v>
      </c>
      <c r="AA35" s="4">
        <f>IF(ISBLANK(S35),"",S35/RelMean*100)</f>
        <v>68.592290321820968</v>
      </c>
      <c r="AB35" s="4">
        <f>IF(ISBLANK(T35),"",T35/RelMean*100)</f>
        <v>219.72393833505478</v>
      </c>
      <c r="AC35" s="4">
        <f>IF(ISBLANK(U35),"",U35/RelMean*100)</f>
        <v>63.71489696863226</v>
      </c>
      <c r="AD35" s="4">
        <f>IF(ISBLANK(V35),"",V35/RelMean*100)</f>
        <v>172.3659425547844</v>
      </c>
      <c r="AE35" s="4">
        <f>IF(ISBLANK(W35),"",W35/RelMean*100)</f>
        <v>39.111566421525154</v>
      </c>
      <c r="AF35" s="4">
        <f>IF(ISBLANK(X35),"",X35/RelMean*100)</f>
        <v>171.85189286265302</v>
      </c>
      <c r="AG35" s="9">
        <f>IF(ISBLANK(Y35),"",Y35/RelMean*100)</f>
        <v>92.531499059097015</v>
      </c>
      <c r="AH35" s="7">
        <f t="shared" si="8"/>
        <v>121.02735622056919</v>
      </c>
      <c r="AI35" s="5">
        <f t="shared" si="9"/>
        <v>64.241323299738823</v>
      </c>
    </row>
    <row r="36" spans="1:35" ht="15.75" x14ac:dyDescent="0.25">
      <c r="A36" s="13" t="s">
        <v>911</v>
      </c>
      <c r="I36" s="3"/>
      <c r="Q36" s="3"/>
      <c r="R36" s="4" t="str">
        <f t="shared" si="0"/>
        <v/>
      </c>
      <c r="S36" s="4" t="str">
        <f t="shared" si="1"/>
        <v/>
      </c>
      <c r="T36" s="4" t="str">
        <f t="shared" si="2"/>
        <v/>
      </c>
      <c r="U36" s="4" t="str">
        <f t="shared" si="3"/>
        <v/>
      </c>
      <c r="V36" s="4" t="str">
        <f t="shared" si="4"/>
        <v/>
      </c>
      <c r="W36" s="4" t="str">
        <f t="shared" si="5"/>
        <v/>
      </c>
      <c r="X36" s="4" t="str">
        <f t="shared" si="6"/>
        <v/>
      </c>
      <c r="Y36" s="5" t="str">
        <f t="shared" si="7"/>
        <v/>
      </c>
      <c r="Z36" s="4" t="e">
        <f>IF(ISBLANK(R36),"",R36/RelMean*100)</f>
        <v>#VALUE!</v>
      </c>
      <c r="AA36" s="4" t="e">
        <f>IF(ISBLANK(S36),"",S36/RelMean*100)</f>
        <v>#VALUE!</v>
      </c>
      <c r="AB36" s="4" t="e">
        <f>IF(ISBLANK(T36),"",T36/RelMean*100)</f>
        <v>#VALUE!</v>
      </c>
      <c r="AC36" s="4" t="e">
        <f>IF(ISBLANK(U36),"",U36/RelMean*100)</f>
        <v>#VALUE!</v>
      </c>
      <c r="AD36" s="4" t="e">
        <f>IF(ISBLANK(V36),"",V36/RelMean*100)</f>
        <v>#VALUE!</v>
      </c>
      <c r="AE36" s="4" t="e">
        <f>IF(ISBLANK(W36),"",W36/RelMean*100)</f>
        <v>#VALUE!</v>
      </c>
      <c r="AF36" s="4" t="e">
        <f>IF(ISBLANK(X36),"",X36/RelMean*100)</f>
        <v>#VALUE!</v>
      </c>
      <c r="AG36" s="9" t="e">
        <f>IF(ISBLANK(Y36),"",Y36/RelMean*100)</f>
        <v>#VALUE!</v>
      </c>
      <c r="AH36" s="7" t="e">
        <f t="shared" si="8"/>
        <v>#VALUE!</v>
      </c>
      <c r="AI36" s="5" t="e">
        <f t="shared" si="9"/>
        <v>#VALUE!</v>
      </c>
    </row>
    <row r="37" spans="1:35" x14ac:dyDescent="0.25">
      <c r="A37" s="11" t="s">
        <v>109</v>
      </c>
      <c r="B37">
        <v>0.26178499999999999</v>
      </c>
      <c r="C37">
        <v>0.36143399999999998</v>
      </c>
      <c r="D37">
        <v>0.34997600000000001</v>
      </c>
      <c r="E37">
        <v>0.162969</v>
      </c>
      <c r="F37">
        <v>0.17507400000000001</v>
      </c>
      <c r="G37">
        <v>0.26757500000000001</v>
      </c>
      <c r="H37">
        <v>0.14661399999999999</v>
      </c>
      <c r="I37" s="3">
        <v>0.22552</v>
      </c>
      <c r="J37">
        <v>0.239705</v>
      </c>
      <c r="K37">
        <v>0.32248399999999999</v>
      </c>
      <c r="L37">
        <v>0.29616999999999999</v>
      </c>
      <c r="M37">
        <v>0.13436699999999999</v>
      </c>
      <c r="N37">
        <v>0.16272700000000001</v>
      </c>
      <c r="O37">
        <v>0.32242199999999999</v>
      </c>
      <c r="P37">
        <v>0.15156900000000001</v>
      </c>
      <c r="Q37" s="3">
        <v>0.21329000000000001</v>
      </c>
      <c r="R37" s="4">
        <f t="shared" si="0"/>
        <v>91.565597723322583</v>
      </c>
      <c r="S37" s="4">
        <f t="shared" si="1"/>
        <v>89.22348201884715</v>
      </c>
      <c r="T37" s="4">
        <f t="shared" si="2"/>
        <v>84.625802912199688</v>
      </c>
      <c r="U37" s="4">
        <f t="shared" si="3"/>
        <v>82.449422896379048</v>
      </c>
      <c r="V37" s="4">
        <f t="shared" si="4"/>
        <v>92.947553605903792</v>
      </c>
      <c r="W37" s="4">
        <f t="shared" si="5"/>
        <v>120.49780435391946</v>
      </c>
      <c r="X37" s="4">
        <f t="shared" si="6"/>
        <v>103.37962268269061</v>
      </c>
      <c r="Y37" s="5">
        <f t="shared" si="7"/>
        <v>94.576977651649528</v>
      </c>
      <c r="Z37" s="4">
        <f>IF(ISBLANK(R37),"",R37/RelMean*100)</f>
        <v>92.87740039818631</v>
      </c>
      <c r="AA37" s="4">
        <f>IF(ISBLANK(S37),"",S37/RelMean*100)</f>
        <v>90.501730676455892</v>
      </c>
      <c r="AB37" s="4">
        <f>IF(ISBLANK(T37),"",T37/RelMean*100)</f>
        <v>85.838183515645881</v>
      </c>
      <c r="AC37" s="4">
        <f>IF(ISBLANK(U37),"",U37/RelMean*100)</f>
        <v>83.630623873445259</v>
      </c>
      <c r="AD37" s="4">
        <f>IF(ISBLANK(V37),"",V37/RelMean*100)</f>
        <v>94.279154692708119</v>
      </c>
      <c r="AE37" s="4">
        <f>IF(ISBLANK(W37),"",W37/RelMean*100)</f>
        <v>122.22410053935261</v>
      </c>
      <c r="AF37" s="4">
        <f>IF(ISBLANK(X37),"",X37/RelMean*100)</f>
        <v>104.8606774558089</v>
      </c>
      <c r="AG37" s="9">
        <f>IF(ISBLANK(Y37),"",Y37/RelMean*100)</f>
        <v>95.931922470978321</v>
      </c>
      <c r="AH37" s="7">
        <f t="shared" si="8"/>
        <v>96.267974202822657</v>
      </c>
      <c r="AI37" s="5">
        <f t="shared" si="9"/>
        <v>12.333763703508408</v>
      </c>
    </row>
    <row r="38" spans="1:35" x14ac:dyDescent="0.25">
      <c r="A38" s="11" t="s">
        <v>110</v>
      </c>
      <c r="B38">
        <v>3.0488749999999998</v>
      </c>
      <c r="C38">
        <v>4.3117359999999998</v>
      </c>
      <c r="D38">
        <v>2.092625</v>
      </c>
      <c r="E38">
        <v>0.426653</v>
      </c>
      <c r="F38">
        <v>0.71969399999999994</v>
      </c>
      <c r="G38">
        <v>2.4130690000000001</v>
      </c>
      <c r="H38">
        <v>0.91683300000000001</v>
      </c>
      <c r="I38" s="3">
        <v>2.0878190000000001</v>
      </c>
      <c r="J38">
        <v>2.6157080000000001</v>
      </c>
      <c r="K38">
        <v>4.4190690000000004</v>
      </c>
      <c r="L38">
        <v>1.594514</v>
      </c>
      <c r="M38">
        <v>0.31718099999999999</v>
      </c>
      <c r="N38">
        <v>0.860931</v>
      </c>
      <c r="O38">
        <v>3.3704999999999998</v>
      </c>
      <c r="P38">
        <v>0.99070800000000003</v>
      </c>
      <c r="Q38" s="3">
        <v>2.0750000000000002</v>
      </c>
      <c r="R38" s="4">
        <f t="shared" si="0"/>
        <v>85.792562830552271</v>
      </c>
      <c r="S38" s="4">
        <f t="shared" si="1"/>
        <v>102.48932216629221</v>
      </c>
      <c r="T38" s="4">
        <f t="shared" si="2"/>
        <v>76.196834119825567</v>
      </c>
      <c r="U38" s="4">
        <f t="shared" si="3"/>
        <v>74.341678131877671</v>
      </c>
      <c r="V38" s="4">
        <f t="shared" si="4"/>
        <v>119.62459045094167</v>
      </c>
      <c r="W38" s="4">
        <f t="shared" si="5"/>
        <v>139.67690107493817</v>
      </c>
      <c r="X38" s="4">
        <f t="shared" si="6"/>
        <v>108.05762881571673</v>
      </c>
      <c r="Y38" s="5">
        <f t="shared" si="7"/>
        <v>99.38600999416137</v>
      </c>
      <c r="Z38" s="4">
        <f>IF(ISBLANK(R38),"",R38/RelMean*100)</f>
        <v>81.286942416366898</v>
      </c>
      <c r="AA38" s="4">
        <f>IF(ISBLANK(S38),"",S38/RelMean*100)</f>
        <v>97.106827845653726</v>
      </c>
      <c r="AB38" s="4">
        <f>IF(ISBLANK(T38),"",T38/RelMean*100)</f>
        <v>72.195158450284637</v>
      </c>
      <c r="AC38" s="4">
        <f>IF(ISBLANK(U38),"",U38/RelMean*100)</f>
        <v>70.437430822267018</v>
      </c>
      <c r="AD38" s="4">
        <f>IF(ISBLANK(V38),"",V38/RelMean*100)</f>
        <v>113.34219278159046</v>
      </c>
      <c r="AE38" s="4">
        <f>IF(ISBLANK(W38),"",W38/RelMean*100)</f>
        <v>132.34140396295217</v>
      </c>
      <c r="AF38" s="4">
        <f>IF(ISBLANK(X38),"",X38/RelMean*100)</f>
        <v>102.38270033430321</v>
      </c>
      <c r="AG38" s="9">
        <f>IF(ISBLANK(Y38),"",Y38/RelMean*100)</f>
        <v>94.166494214004999</v>
      </c>
      <c r="AH38" s="7">
        <f t="shared" si="8"/>
        <v>95.407393853427877</v>
      </c>
      <c r="AI38" s="5">
        <f t="shared" si="9"/>
        <v>21.046054936224788</v>
      </c>
    </row>
    <row r="39" spans="1:35" x14ac:dyDescent="0.25">
      <c r="A39" s="11" t="s">
        <v>111</v>
      </c>
      <c r="B39">
        <v>14</v>
      </c>
      <c r="C39">
        <v>16</v>
      </c>
      <c r="D39">
        <v>15</v>
      </c>
      <c r="E39">
        <v>27</v>
      </c>
      <c r="F39">
        <v>22</v>
      </c>
      <c r="G39">
        <v>18</v>
      </c>
      <c r="H39">
        <v>29</v>
      </c>
      <c r="I39" s="3">
        <v>21</v>
      </c>
      <c r="J39">
        <v>17</v>
      </c>
      <c r="K39">
        <v>16</v>
      </c>
      <c r="L39">
        <v>11</v>
      </c>
      <c r="M39">
        <v>17</v>
      </c>
      <c r="N39">
        <v>19</v>
      </c>
      <c r="O39">
        <v>17</v>
      </c>
      <c r="P39">
        <v>30</v>
      </c>
      <c r="Q39" s="3">
        <v>18</v>
      </c>
      <c r="R39" s="4">
        <f t="shared" si="0"/>
        <v>121.42857142857142</v>
      </c>
      <c r="S39" s="4">
        <f t="shared" si="1"/>
        <v>100</v>
      </c>
      <c r="T39" s="4">
        <f t="shared" si="2"/>
        <v>73.333333333333329</v>
      </c>
      <c r="U39" s="4">
        <f t="shared" si="3"/>
        <v>62.962962962962962</v>
      </c>
      <c r="V39" s="4">
        <f t="shared" si="4"/>
        <v>86.36363636363636</v>
      </c>
      <c r="W39" s="4">
        <f t="shared" si="5"/>
        <v>94.444444444444443</v>
      </c>
      <c r="X39" s="4">
        <f t="shared" si="6"/>
        <v>103.44827586206897</v>
      </c>
      <c r="Y39" s="5">
        <f t="shared" si="7"/>
        <v>85.714285714285708</v>
      </c>
      <c r="Z39" s="4">
        <f>IF(ISBLANK(R39),"",R39/RelMean*100)</f>
        <v>121.98283763282068</v>
      </c>
      <c r="AA39" s="4">
        <f>IF(ISBLANK(S39),"",S39/RelMean*100)</f>
        <v>100.45645452114644</v>
      </c>
      <c r="AB39" s="4">
        <f>IF(ISBLANK(T39),"",T39/RelMean*100)</f>
        <v>73.668066648840721</v>
      </c>
      <c r="AC39" s="4">
        <f>IF(ISBLANK(U39),"",U39/RelMean*100)</f>
        <v>63.250360254055174</v>
      </c>
      <c r="AD39" s="4">
        <f>IF(ISBLANK(V39),"",V39/RelMean*100)</f>
        <v>86.757847086444656</v>
      </c>
      <c r="AE39" s="4">
        <f>IF(ISBLANK(W39),"",W39/RelMean*100)</f>
        <v>94.875540381082757</v>
      </c>
      <c r="AF39" s="4">
        <f>IF(ISBLANK(X39),"",X39/RelMean*100)</f>
        <v>103.92047019428942</v>
      </c>
      <c r="AG39" s="9">
        <f>IF(ISBLANK(Y39),"",Y39/RelMean*100)</f>
        <v>86.105532446696955</v>
      </c>
      <c r="AH39" s="7">
        <f t="shared" si="8"/>
        <v>91.377138645672119</v>
      </c>
      <c r="AI39" s="5">
        <f t="shared" si="9"/>
        <v>18.293524804483354</v>
      </c>
    </row>
    <row r="40" spans="1:35" x14ac:dyDescent="0.25">
      <c r="A40" s="11" t="s">
        <v>112</v>
      </c>
      <c r="B40">
        <v>90</v>
      </c>
      <c r="C40">
        <v>67</v>
      </c>
      <c r="D40">
        <v>71</v>
      </c>
      <c r="E40">
        <v>88</v>
      </c>
      <c r="F40">
        <v>104</v>
      </c>
      <c r="G40">
        <v>84</v>
      </c>
      <c r="H40">
        <v>95</v>
      </c>
      <c r="I40" s="3">
        <v>63</v>
      </c>
      <c r="J40">
        <v>95</v>
      </c>
      <c r="K40">
        <v>69</v>
      </c>
      <c r="L40">
        <v>77</v>
      </c>
      <c r="M40">
        <v>84</v>
      </c>
      <c r="N40">
        <v>114</v>
      </c>
      <c r="O40">
        <v>78</v>
      </c>
      <c r="P40">
        <v>89</v>
      </c>
      <c r="Q40" s="3">
        <v>62</v>
      </c>
      <c r="R40" s="4">
        <f t="shared" si="0"/>
        <v>105.55555555555556</v>
      </c>
      <c r="S40" s="4">
        <f t="shared" si="1"/>
        <v>102.98507462686568</v>
      </c>
      <c r="T40" s="4">
        <f t="shared" si="2"/>
        <v>108.45070422535213</v>
      </c>
      <c r="U40" s="4">
        <f t="shared" si="3"/>
        <v>95.454545454545453</v>
      </c>
      <c r="V40" s="4">
        <f t="shared" si="4"/>
        <v>109.61538461538463</v>
      </c>
      <c r="W40" s="4">
        <f t="shared" si="5"/>
        <v>92.857142857142861</v>
      </c>
      <c r="X40" s="4">
        <f t="shared" si="6"/>
        <v>93.684210526315795</v>
      </c>
      <c r="Y40" s="5">
        <f t="shared" si="7"/>
        <v>98.412698412698404</v>
      </c>
      <c r="Z40" s="4">
        <f>IF(ISBLANK(R40),"",R40/RelMean*100)</f>
        <v>108.13357506860739</v>
      </c>
      <c r="AA40" s="4">
        <f>IF(ISBLANK(S40),"",S40/RelMean*100)</f>
        <v>105.50031440315036</v>
      </c>
      <c r="AB40" s="4">
        <f>IF(ISBLANK(T40),"",T40/RelMean*100)</f>
        <v>111.09943294669374</v>
      </c>
      <c r="AC40" s="4">
        <f>IF(ISBLANK(U40),"",U40/RelMean*100)</f>
        <v>97.78586453572629</v>
      </c>
      <c r="AD40" s="4">
        <f>IF(ISBLANK(V40),"",V40/RelMean*100)</f>
        <v>112.29255872509229</v>
      </c>
      <c r="AE40" s="4">
        <f>IF(ISBLANK(W40),"",W40/RelMean*100)</f>
        <v>95.125024684414029</v>
      </c>
      <c r="AF40" s="4">
        <f>IF(ISBLANK(X40),"",X40/RelMean*100)</f>
        <v>95.972292110752932</v>
      </c>
      <c r="AG40" s="9">
        <f>IF(ISBLANK(Y40),"",Y40/RelMean*100)</f>
        <v>100.8162654774986</v>
      </c>
      <c r="AH40" s="7">
        <f t="shared" si="8"/>
        <v>103.34066599399196</v>
      </c>
      <c r="AI40" s="5">
        <f t="shared" si="9"/>
        <v>6.8346702267968196</v>
      </c>
    </row>
    <row r="41" spans="1:35" x14ac:dyDescent="0.25">
      <c r="A41" s="11" t="s">
        <v>113</v>
      </c>
      <c r="B41" t="s">
        <v>114</v>
      </c>
      <c r="C41" t="s">
        <v>114</v>
      </c>
      <c r="D41" t="s">
        <v>114</v>
      </c>
      <c r="E41" t="s">
        <v>114</v>
      </c>
      <c r="F41" t="s">
        <v>114</v>
      </c>
      <c r="G41" t="s">
        <v>114</v>
      </c>
      <c r="H41" t="s">
        <v>114</v>
      </c>
      <c r="I41" s="3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s="3" t="s">
        <v>114</v>
      </c>
      <c r="R41" s="4" t="e">
        <f t="shared" si="0"/>
        <v>#VALUE!</v>
      </c>
      <c r="S41" s="4" t="e">
        <f t="shared" si="1"/>
        <v>#VALUE!</v>
      </c>
      <c r="T41" s="4" t="e">
        <f t="shared" si="2"/>
        <v>#VALUE!</v>
      </c>
      <c r="U41" s="4" t="e">
        <f t="shared" si="3"/>
        <v>#VALUE!</v>
      </c>
      <c r="V41" s="4" t="e">
        <f t="shared" si="4"/>
        <v>#VALUE!</v>
      </c>
      <c r="W41" s="4" t="e">
        <f t="shared" si="5"/>
        <v>#VALUE!</v>
      </c>
      <c r="X41" s="4" t="e">
        <f t="shared" si="6"/>
        <v>#VALUE!</v>
      </c>
      <c r="Y41" s="5" t="e">
        <f t="shared" si="7"/>
        <v>#VALUE!</v>
      </c>
      <c r="Z41" s="4" t="e">
        <f>IF(ISBLANK(R41),"",R41/RelMean*100)</f>
        <v>#VALUE!</v>
      </c>
      <c r="AA41" s="4" t="e">
        <f>IF(ISBLANK(S41),"",S41/RelMean*100)</f>
        <v>#VALUE!</v>
      </c>
      <c r="AB41" s="4" t="e">
        <f>IF(ISBLANK(T41),"",T41/RelMean*100)</f>
        <v>#VALUE!</v>
      </c>
      <c r="AC41" s="4" t="e">
        <f>IF(ISBLANK(U41),"",U41/RelMean*100)</f>
        <v>#VALUE!</v>
      </c>
      <c r="AD41" s="4" t="e">
        <f>IF(ISBLANK(V41),"",V41/RelMean*100)</f>
        <v>#VALUE!</v>
      </c>
      <c r="AE41" s="4" t="e">
        <f>IF(ISBLANK(W41),"",W41/RelMean*100)</f>
        <v>#VALUE!</v>
      </c>
      <c r="AF41" s="4" t="e">
        <f>IF(ISBLANK(X41),"",X41/RelMean*100)</f>
        <v>#VALUE!</v>
      </c>
      <c r="AG41" s="9" t="e">
        <f>IF(ISBLANK(Y41),"",Y41/RelMean*100)</f>
        <v>#VALUE!</v>
      </c>
      <c r="AH41" s="7" t="e">
        <f t="shared" si="8"/>
        <v>#VALUE!</v>
      </c>
      <c r="AI41" s="5" t="e">
        <f t="shared" si="9"/>
        <v>#VALUE!</v>
      </c>
    </row>
    <row r="42" spans="1:35" x14ac:dyDescent="0.25">
      <c r="A42" s="11" t="s">
        <v>115</v>
      </c>
      <c r="B42" t="s">
        <v>114</v>
      </c>
      <c r="C42" t="s">
        <v>114</v>
      </c>
      <c r="D42" t="s">
        <v>114</v>
      </c>
      <c r="E42" t="s">
        <v>114</v>
      </c>
      <c r="F42" t="s">
        <v>114</v>
      </c>
      <c r="G42" t="s">
        <v>114</v>
      </c>
      <c r="H42" t="s">
        <v>114</v>
      </c>
      <c r="I42" s="3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114</v>
      </c>
      <c r="P42" t="s">
        <v>114</v>
      </c>
      <c r="Q42" s="3" t="s">
        <v>114</v>
      </c>
      <c r="R42" s="4" t="e">
        <f t="shared" si="0"/>
        <v>#VALUE!</v>
      </c>
      <c r="S42" s="4" t="e">
        <f t="shared" si="1"/>
        <v>#VALUE!</v>
      </c>
      <c r="T42" s="4" t="e">
        <f t="shared" si="2"/>
        <v>#VALUE!</v>
      </c>
      <c r="U42" s="4" t="e">
        <f t="shared" si="3"/>
        <v>#VALUE!</v>
      </c>
      <c r="V42" s="4" t="e">
        <f t="shared" si="4"/>
        <v>#VALUE!</v>
      </c>
      <c r="W42" s="4" t="e">
        <f t="shared" si="5"/>
        <v>#VALUE!</v>
      </c>
      <c r="X42" s="4" t="e">
        <f t="shared" si="6"/>
        <v>#VALUE!</v>
      </c>
      <c r="Y42" s="5" t="e">
        <f t="shared" si="7"/>
        <v>#VALUE!</v>
      </c>
      <c r="Z42" s="4" t="e">
        <f>IF(ISBLANK(R42),"",R42/RelMean*100)</f>
        <v>#VALUE!</v>
      </c>
      <c r="AA42" s="4" t="e">
        <f>IF(ISBLANK(S42),"",S42/RelMean*100)</f>
        <v>#VALUE!</v>
      </c>
      <c r="AB42" s="4" t="e">
        <f>IF(ISBLANK(T42),"",T42/RelMean*100)</f>
        <v>#VALUE!</v>
      </c>
      <c r="AC42" s="4" t="e">
        <f>IF(ISBLANK(U42),"",U42/RelMean*100)</f>
        <v>#VALUE!</v>
      </c>
      <c r="AD42" s="4" t="e">
        <f>IF(ISBLANK(V42),"",V42/RelMean*100)</f>
        <v>#VALUE!</v>
      </c>
      <c r="AE42" s="4" t="e">
        <f>IF(ISBLANK(W42),"",W42/RelMean*100)</f>
        <v>#VALUE!</v>
      </c>
      <c r="AF42" s="4" t="e">
        <f>IF(ISBLANK(X42),"",X42/RelMean*100)</f>
        <v>#VALUE!</v>
      </c>
      <c r="AG42" s="9" t="e">
        <f>IF(ISBLANK(Y42),"",Y42/RelMean*100)</f>
        <v>#VALUE!</v>
      </c>
      <c r="AH42" s="7" t="e">
        <f t="shared" si="8"/>
        <v>#VALUE!</v>
      </c>
      <c r="AI42" s="5" t="e">
        <f t="shared" si="9"/>
        <v>#VALUE!</v>
      </c>
    </row>
    <row r="43" spans="1:35" x14ac:dyDescent="0.25">
      <c r="A43" s="11" t="s">
        <v>116</v>
      </c>
      <c r="I43" s="3"/>
      <c r="Q43" s="3"/>
      <c r="R43" s="4" t="str">
        <f t="shared" si="0"/>
        <v/>
      </c>
      <c r="S43" s="4" t="str">
        <f t="shared" si="1"/>
        <v/>
      </c>
      <c r="T43" s="4" t="str">
        <f t="shared" si="2"/>
        <v/>
      </c>
      <c r="U43" s="4" t="str">
        <f t="shared" si="3"/>
        <v/>
      </c>
      <c r="V43" s="4" t="str">
        <f t="shared" si="4"/>
        <v/>
      </c>
      <c r="W43" s="4" t="str">
        <f t="shared" si="5"/>
        <v/>
      </c>
      <c r="X43" s="4" t="str">
        <f t="shared" si="6"/>
        <v/>
      </c>
      <c r="Y43" s="5" t="str">
        <f t="shared" si="7"/>
        <v/>
      </c>
      <c r="Z43" s="4" t="e">
        <f>IF(ISBLANK(R43),"",R43/RelMean*100)</f>
        <v>#VALUE!</v>
      </c>
      <c r="AA43" s="4" t="e">
        <f>IF(ISBLANK(S43),"",S43/RelMean*100)</f>
        <v>#VALUE!</v>
      </c>
      <c r="AB43" s="4" t="e">
        <f>IF(ISBLANK(T43),"",T43/RelMean*100)</f>
        <v>#VALUE!</v>
      </c>
      <c r="AC43" s="4" t="e">
        <f>IF(ISBLANK(U43),"",U43/RelMean*100)</f>
        <v>#VALUE!</v>
      </c>
      <c r="AD43" s="4" t="e">
        <f>IF(ISBLANK(V43),"",V43/RelMean*100)</f>
        <v>#VALUE!</v>
      </c>
      <c r="AE43" s="4" t="e">
        <f>IF(ISBLANK(W43),"",W43/RelMean*100)</f>
        <v>#VALUE!</v>
      </c>
      <c r="AF43" s="4" t="e">
        <f>IF(ISBLANK(X43),"",X43/RelMean*100)</f>
        <v>#VALUE!</v>
      </c>
      <c r="AG43" s="9" t="e">
        <f>IF(ISBLANK(Y43),"",Y43/RelMean*100)</f>
        <v>#VALUE!</v>
      </c>
      <c r="AH43" s="7" t="e">
        <f t="shared" si="8"/>
        <v>#VALUE!</v>
      </c>
      <c r="AI43" s="5" t="e">
        <f t="shared" si="9"/>
        <v>#VALUE!</v>
      </c>
    </row>
    <row r="44" spans="1:35" x14ac:dyDescent="0.25">
      <c r="A44" s="11" t="s">
        <v>117</v>
      </c>
      <c r="B44">
        <v>13</v>
      </c>
      <c r="C44">
        <v>14</v>
      </c>
      <c r="D44">
        <v>24</v>
      </c>
      <c r="E44">
        <v>42</v>
      </c>
      <c r="F44">
        <v>11</v>
      </c>
      <c r="G44">
        <v>24</v>
      </c>
      <c r="H44">
        <v>31</v>
      </c>
      <c r="I44" s="3">
        <v>44</v>
      </c>
      <c r="J44">
        <v>13</v>
      </c>
      <c r="K44">
        <v>43</v>
      </c>
      <c r="L44">
        <v>22</v>
      </c>
      <c r="M44">
        <v>42</v>
      </c>
      <c r="N44">
        <v>11</v>
      </c>
      <c r="O44">
        <v>42</v>
      </c>
      <c r="P44">
        <v>31</v>
      </c>
      <c r="Q44" s="3">
        <v>11</v>
      </c>
      <c r="R44" s="4">
        <f t="shared" si="0"/>
        <v>100</v>
      </c>
      <c r="S44" s="4">
        <f t="shared" si="1"/>
        <v>307.14285714285717</v>
      </c>
      <c r="T44" s="4">
        <f t="shared" si="2"/>
        <v>91.666666666666657</v>
      </c>
      <c r="U44" s="4">
        <f t="shared" si="3"/>
        <v>100</v>
      </c>
      <c r="V44" s="4">
        <f t="shared" si="4"/>
        <v>100</v>
      </c>
      <c r="W44" s="4">
        <f t="shared" si="5"/>
        <v>175</v>
      </c>
      <c r="X44" s="4">
        <f t="shared" si="6"/>
        <v>100</v>
      </c>
      <c r="Y44" s="5">
        <f t="shared" si="7"/>
        <v>25</v>
      </c>
      <c r="Z44" s="4">
        <f>IF(ISBLANK(R44),"",R44/RelMean*100)</f>
        <v>105.77572418695576</v>
      </c>
      <c r="AA44" s="4">
        <f>IF(ISBLANK(S44),"",S44/RelMean*100)</f>
        <v>324.88258143136414</v>
      </c>
      <c r="AB44" s="4">
        <f>IF(ISBLANK(T44),"",T44/RelMean*100)</f>
        <v>96.961080504709429</v>
      </c>
      <c r="AC44" s="4">
        <f>IF(ISBLANK(U44),"",U44/RelMean*100)</f>
        <v>105.77572418695576</v>
      </c>
      <c r="AD44" s="4">
        <f>IF(ISBLANK(V44),"",V44/RelMean*100)</f>
        <v>105.77572418695576</v>
      </c>
      <c r="AE44" s="4">
        <f>IF(ISBLANK(W44),"",W44/RelMean*100)</f>
        <v>185.10751732717256</v>
      </c>
      <c r="AF44" s="4">
        <f>IF(ISBLANK(X44),"",X44/RelMean*100)</f>
        <v>105.77572418695576</v>
      </c>
      <c r="AG44" s="9">
        <f>IF(ISBLANK(Y44),"",Y44/RelMean*100)</f>
        <v>26.443931046738939</v>
      </c>
      <c r="AH44" s="7">
        <f t="shared" si="8"/>
        <v>132.06225088222601</v>
      </c>
      <c r="AI44" s="5">
        <f t="shared" si="9"/>
        <v>88.75707436983069</v>
      </c>
    </row>
    <row r="45" spans="1:35" x14ac:dyDescent="0.25">
      <c r="A45" s="11" t="s">
        <v>118</v>
      </c>
      <c r="B45">
        <v>34.920634999999997</v>
      </c>
      <c r="C45">
        <v>21.848738999999998</v>
      </c>
      <c r="D45">
        <v>34.042552999999998</v>
      </c>
      <c r="E45">
        <v>64.516129000000006</v>
      </c>
      <c r="F45">
        <v>38.775509999999997</v>
      </c>
      <c r="G45">
        <v>20.869565000000001</v>
      </c>
      <c r="H45">
        <v>27.472526999999999</v>
      </c>
      <c r="I45" s="3">
        <v>29.447852999999999</v>
      </c>
      <c r="J45">
        <v>37.301586999999998</v>
      </c>
      <c r="K45">
        <v>25.748502999999999</v>
      </c>
      <c r="L45">
        <v>25</v>
      </c>
      <c r="M45">
        <v>26.666667</v>
      </c>
      <c r="N45">
        <v>39.423076999999999</v>
      </c>
      <c r="O45">
        <v>31.034483000000002</v>
      </c>
      <c r="P45">
        <v>40</v>
      </c>
      <c r="Q45" s="3">
        <v>27.058824000000001</v>
      </c>
      <c r="R45" s="4">
        <f t="shared" si="0"/>
        <v>106.81818071177686</v>
      </c>
      <c r="S45" s="4">
        <f t="shared" si="1"/>
        <v>117.84892025118705</v>
      </c>
      <c r="T45" s="4">
        <f t="shared" si="2"/>
        <v>73.437500413085942</v>
      </c>
      <c r="U45" s="4">
        <f t="shared" si="3"/>
        <v>41.333333870666664</v>
      </c>
      <c r="V45" s="4">
        <f t="shared" si="4"/>
        <v>101.67004121931602</v>
      </c>
      <c r="W45" s="4">
        <f t="shared" si="5"/>
        <v>148.70689925736355</v>
      </c>
      <c r="X45" s="4">
        <f t="shared" si="6"/>
        <v>145.60000250432003</v>
      </c>
      <c r="Y45" s="5">
        <f t="shared" si="7"/>
        <v>91.887255753416056</v>
      </c>
      <c r="Z45" s="4">
        <f>IF(ISBLANK(R45),"",R45/RelMean*100)</f>
        <v>83.594462286842059</v>
      </c>
      <c r="AA45" s="4">
        <f>IF(ISBLANK(S45),"",S45/RelMean*100)</f>
        <v>92.226969733409518</v>
      </c>
      <c r="AB45" s="4">
        <f>IF(ISBLANK(T45),"",T45/RelMean*100)</f>
        <v>57.471193740756441</v>
      </c>
      <c r="AC45" s="4">
        <f>IF(ISBLANK(U45),"",U45/RelMean*100)</f>
        <v>32.346907580873548</v>
      </c>
      <c r="AD45" s="4">
        <f>IF(ISBLANK(V45),"",V45/RelMean*100)</f>
        <v>79.565598007538028</v>
      </c>
      <c r="AE45" s="4">
        <f>IF(ISBLANK(W45),"",W45/RelMean*100)</f>
        <v>116.3760063963751</v>
      </c>
      <c r="AF45" s="4">
        <f>IF(ISBLANK(X45),"",X45/RelMean*100)</f>
        <v>113.94459105377348</v>
      </c>
      <c r="AG45" s="9">
        <f>IF(ISBLANK(Y45),"",Y45/RelMean*100)</f>
        <v>71.909722526040724</v>
      </c>
      <c r="AH45" s="7">
        <f t="shared" si="8"/>
        <v>80.929431415701103</v>
      </c>
      <c r="AI45" s="5">
        <f t="shared" si="9"/>
        <v>27.966722399429855</v>
      </c>
    </row>
    <row r="46" spans="1:35" x14ac:dyDescent="0.25">
      <c r="A46" s="11" t="s">
        <v>119</v>
      </c>
      <c r="B46">
        <v>1309.5238099999999</v>
      </c>
      <c r="C46">
        <v>1436.97479</v>
      </c>
      <c r="D46">
        <v>900.70921999999996</v>
      </c>
      <c r="E46">
        <v>483.870968</v>
      </c>
      <c r="F46">
        <v>561.22448999999995</v>
      </c>
      <c r="G46">
        <v>1034.7826090000001</v>
      </c>
      <c r="H46">
        <v>780.21978000000001</v>
      </c>
      <c r="I46" s="3">
        <v>693.25153399999999</v>
      </c>
      <c r="J46">
        <v>785.71428600000002</v>
      </c>
      <c r="K46">
        <v>1125.748503</v>
      </c>
      <c r="L46">
        <v>750</v>
      </c>
      <c r="M46">
        <v>555.55555600000002</v>
      </c>
      <c r="N46">
        <v>461.53846199999998</v>
      </c>
      <c r="O46">
        <v>956.89655200000004</v>
      </c>
      <c r="P46">
        <v>610</v>
      </c>
      <c r="Q46" s="3">
        <v>429.411765</v>
      </c>
      <c r="R46" s="4">
        <f t="shared" si="0"/>
        <v>60.000000000000007</v>
      </c>
      <c r="S46" s="4">
        <f t="shared" si="1"/>
        <v>78.341562484892307</v>
      </c>
      <c r="T46" s="4">
        <f t="shared" si="2"/>
        <v>83.267716522320043</v>
      </c>
      <c r="U46" s="4">
        <f t="shared" si="3"/>
        <v>114.8148148454321</v>
      </c>
      <c r="V46" s="4">
        <f t="shared" si="4"/>
        <v>82.237762290095361</v>
      </c>
      <c r="W46" s="4">
        <f t="shared" si="5"/>
        <v>92.47319617448268</v>
      </c>
      <c r="X46" s="4">
        <f t="shared" si="6"/>
        <v>78.183098613572696</v>
      </c>
      <c r="Y46" s="5">
        <f t="shared" si="7"/>
        <v>61.941697052198663</v>
      </c>
      <c r="Z46" s="4">
        <f>IF(ISBLANK(R46),"",R46/RelMean*100)</f>
        <v>87.111186376120443</v>
      </c>
      <c r="AA46" s="4">
        <f>IF(ISBLANK(S46),"",S46/RelMean*100)</f>
        <v>113.74044084363231</v>
      </c>
      <c r="AB46" s="4">
        <f>IF(ISBLANK(T46),"",T46/RelMean*100)</f>
        <v>120.89249288482972</v>
      </c>
      <c r="AC46" s="4">
        <f>IF(ISBLANK(U46),"",U46/RelMean*100)</f>
        <v>166.69424557900322</v>
      </c>
      <c r="AD46" s="4">
        <f>IF(ISBLANK(V46),"",V46/RelMean*100)</f>
        <v>119.39715063345977</v>
      </c>
      <c r="AE46" s="4">
        <f>IF(ISBLANK(W46),"",W46/RelMean*100)</f>
        <v>134.25749711251513</v>
      </c>
      <c r="AF46" s="4">
        <f>IF(ISBLANK(X46),"",X46/RelMean*100)</f>
        <v>113.51037457982558</v>
      </c>
      <c r="AG46" s="9">
        <f>IF(ISBLANK(Y46),"",Y46/RelMean*100)</f>
        <v>89.930245272787786</v>
      </c>
      <c r="AH46" s="7">
        <f t="shared" si="8"/>
        <v>118.19170416027174</v>
      </c>
      <c r="AI46" s="5">
        <f t="shared" si="9"/>
        <v>25.144697890777366</v>
      </c>
    </row>
    <row r="47" spans="1:35" x14ac:dyDescent="0.25">
      <c r="A47" s="11" t="s">
        <v>120</v>
      </c>
      <c r="B47">
        <v>40.5</v>
      </c>
      <c r="C47">
        <v>22.5</v>
      </c>
      <c r="D47">
        <v>4.5</v>
      </c>
      <c r="E47">
        <v>52.5</v>
      </c>
      <c r="F47">
        <v>32.5</v>
      </c>
      <c r="G47">
        <v>66.5</v>
      </c>
      <c r="H47">
        <v>52.5</v>
      </c>
      <c r="I47" s="3">
        <v>35.5</v>
      </c>
      <c r="J47">
        <v>48.5</v>
      </c>
      <c r="K47">
        <v>40.5</v>
      </c>
      <c r="L47">
        <v>72.5</v>
      </c>
      <c r="M47">
        <v>48.5</v>
      </c>
      <c r="N47">
        <v>69.5</v>
      </c>
      <c r="O47">
        <v>36.5</v>
      </c>
      <c r="P47">
        <v>52.5</v>
      </c>
      <c r="Q47" s="3">
        <v>28.5</v>
      </c>
      <c r="R47" s="4">
        <f t="shared" si="0"/>
        <v>119.75308641975309</v>
      </c>
      <c r="S47" s="4">
        <f t="shared" si="1"/>
        <v>180</v>
      </c>
      <c r="T47" s="4">
        <f t="shared" si="2"/>
        <v>1611.1111111111111</v>
      </c>
      <c r="U47" s="4">
        <f t="shared" si="3"/>
        <v>92.38095238095238</v>
      </c>
      <c r="V47" s="4">
        <f t="shared" si="4"/>
        <v>213.84615384615384</v>
      </c>
      <c r="W47" s="4">
        <f t="shared" si="5"/>
        <v>54.887218045112782</v>
      </c>
      <c r="X47" s="4">
        <f t="shared" si="6"/>
        <v>100</v>
      </c>
      <c r="Y47" s="5">
        <f t="shared" si="7"/>
        <v>80.281690140845072</v>
      </c>
      <c r="Z47" s="4">
        <f>IF(ISBLANK(R47),"",R47/RelMean*100)</f>
        <v>149.38009269792349</v>
      </c>
      <c r="AA47" s="4">
        <f>IF(ISBLANK(S47),"",S47/RelMean*100)</f>
        <v>224.53213933357983</v>
      </c>
      <c r="AB47" s="4">
        <f>IF(ISBLANK(T47),"",T47/RelMean*100)</f>
        <v>2009.7012471215478</v>
      </c>
      <c r="AC47" s="4">
        <f>IF(ISBLANK(U47),"",U47/RelMean*100)</f>
        <v>115.23607150982669</v>
      </c>
      <c r="AD47" s="4">
        <f>IF(ISBLANK(V47),"",V47/RelMean*100)</f>
        <v>266.75185784074864</v>
      </c>
      <c r="AE47" s="4">
        <f>IF(ISBLANK(W47),"",W47/RelMean*100)</f>
        <v>68.466358276321344</v>
      </c>
      <c r="AF47" s="4">
        <f>IF(ISBLANK(X47),"",X47/RelMean*100)</f>
        <v>124.74007740754436</v>
      </c>
      <c r="AG47" s="9">
        <f>IF(ISBLANK(Y47),"",Y47/RelMean*100)</f>
        <v>100.14344242577505</v>
      </c>
      <c r="AH47" s="7">
        <f t="shared" si="8"/>
        <v>382.36891082665841</v>
      </c>
      <c r="AI47" s="5">
        <f t="shared" si="9"/>
        <v>660.81039734368085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"/>
  <sheetViews>
    <sheetView zoomScale="75" zoomScaleNormal="75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48.7109375" style="12" bestFit="1" customWidth="1"/>
    <col min="2" max="17" width="9.28515625" bestFit="1" customWidth="1"/>
    <col min="18" max="25" width="10.5703125" bestFit="1" customWidth="1"/>
    <col min="34" max="34" width="10.5703125" bestFit="1" customWidth="1"/>
  </cols>
  <sheetData>
    <row r="1" spans="1:35" x14ac:dyDescent="0.25">
      <c r="A1" s="10" t="s">
        <v>915</v>
      </c>
      <c r="B1" t="s">
        <v>902</v>
      </c>
    </row>
    <row r="2" spans="1:35" x14ac:dyDescent="0.25">
      <c r="A2" s="11"/>
      <c r="B2" t="s">
        <v>903</v>
      </c>
      <c r="I2" s="3"/>
      <c r="J2" t="s">
        <v>904</v>
      </c>
      <c r="Q2" s="3"/>
      <c r="R2" t="s">
        <v>905</v>
      </c>
      <c r="Y2" s="3"/>
      <c r="Z2" t="s">
        <v>913</v>
      </c>
      <c r="AI2" s="3"/>
    </row>
    <row r="3" spans="1:35" ht="15.75" x14ac:dyDescent="0.25">
      <c r="A3" s="13"/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s="3" t="s">
        <v>67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s="3" t="s">
        <v>67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s="3" t="s">
        <v>67</v>
      </c>
      <c r="Z3" t="s">
        <v>60</v>
      </c>
      <c r="AA3" t="s">
        <v>61</v>
      </c>
      <c r="AB3" t="s">
        <v>62</v>
      </c>
      <c r="AC3" t="s">
        <v>63</v>
      </c>
      <c r="AD3" t="s">
        <v>64</v>
      </c>
      <c r="AE3" t="s">
        <v>65</v>
      </c>
      <c r="AF3" t="s">
        <v>66</v>
      </c>
      <c r="AG3" s="8" t="s">
        <v>67</v>
      </c>
      <c r="AH3" s="6" t="s">
        <v>907</v>
      </c>
      <c r="AI3" s="3" t="s">
        <v>914</v>
      </c>
    </row>
    <row r="4" spans="1:35" x14ac:dyDescent="0.25">
      <c r="A4" s="11" t="s">
        <v>76</v>
      </c>
      <c r="I4" s="3"/>
      <c r="Q4" s="3"/>
      <c r="Y4" s="3"/>
      <c r="AG4" s="8"/>
      <c r="AH4" s="6"/>
      <c r="AI4" s="3"/>
    </row>
    <row r="5" spans="1:35" ht="15.75" x14ac:dyDescent="0.25">
      <c r="A5" s="13" t="s">
        <v>908</v>
      </c>
      <c r="I5" s="3"/>
      <c r="Q5" s="3"/>
      <c r="R5" s="4" t="str">
        <f t="shared" ref="R5:R47" si="0">IF(ISBLANK(J5),"",J5/B5*100)</f>
        <v/>
      </c>
      <c r="S5" s="4" t="str">
        <f t="shared" ref="S5:S47" si="1">IF(ISBLANK(K5),"",K5/C5*100)</f>
        <v/>
      </c>
      <c r="T5" s="4" t="str">
        <f t="shared" ref="T5:T47" si="2">IF(ISBLANK(L5),"",L5/D5*100)</f>
        <v/>
      </c>
      <c r="U5" s="4" t="str">
        <f t="shared" ref="U5:U47" si="3">IF(ISBLANK(M5),"",M5/E5*100)</f>
        <v/>
      </c>
      <c r="V5" s="4" t="str">
        <f t="shared" ref="V5:V47" si="4">IF(ISBLANK(N5),"",N5/F5*100)</f>
        <v/>
      </c>
      <c r="W5" s="4" t="str">
        <f t="shared" ref="W5:W47" si="5">IF(ISBLANK(O5),"",O5/G5*100)</f>
        <v/>
      </c>
      <c r="X5" s="4" t="str">
        <f t="shared" ref="X5:X47" si="6">IF(ISBLANK(P5),"",P5/H5*100)</f>
        <v/>
      </c>
      <c r="Y5" s="5" t="str">
        <f t="shared" ref="Y5:Y47" si="7">IF(ISBLANK(Q5),"",Q5/I5*100)</f>
        <v/>
      </c>
      <c r="Z5" s="4" t="e">
        <f>IF(ISBLANK(R5),"",R5/RelMean*100)</f>
        <v>#VALUE!</v>
      </c>
      <c r="AA5" s="4" t="e">
        <f>IF(ISBLANK(S5),"",S5/RelMean*100)</f>
        <v>#VALUE!</v>
      </c>
      <c r="AB5" s="4" t="e">
        <f>IF(ISBLANK(T5),"",T5/RelMean*100)</f>
        <v>#VALUE!</v>
      </c>
      <c r="AC5" s="4" t="e">
        <f>IF(ISBLANK(U5),"",U5/RelMean*100)</f>
        <v>#VALUE!</v>
      </c>
      <c r="AD5" s="4" t="e">
        <f>IF(ISBLANK(V5),"",V5/RelMean*100)</f>
        <v>#VALUE!</v>
      </c>
      <c r="AE5" s="4" t="e">
        <f>IF(ISBLANK(W5),"",W5/RelMean*100)</f>
        <v>#VALUE!</v>
      </c>
      <c r="AF5" s="4" t="e">
        <f>IF(ISBLANK(X5),"",X5/RelMean*100)</f>
        <v>#VALUE!</v>
      </c>
      <c r="AG5" s="9" t="e">
        <f>IF(ISBLANK(Y5),"",Y5/RelMean*100)</f>
        <v>#VALUE!</v>
      </c>
      <c r="AH5" s="7" t="e">
        <f t="shared" ref="AH5:AH47" si="8">AVERAGE(Z5:AG5)</f>
        <v>#VALUE!</v>
      </c>
      <c r="AI5" s="5" t="e">
        <f t="shared" ref="AI5:AI47" si="9">STDEV(Z5:AG5)</f>
        <v>#VALUE!</v>
      </c>
    </row>
    <row r="6" spans="1:35" x14ac:dyDescent="0.25">
      <c r="A6" s="11" t="s">
        <v>78</v>
      </c>
      <c r="B6">
        <v>20017</v>
      </c>
      <c r="C6">
        <v>10662</v>
      </c>
      <c r="D6">
        <v>17000</v>
      </c>
      <c r="E6">
        <v>20525</v>
      </c>
      <c r="F6">
        <v>11896</v>
      </c>
      <c r="G6">
        <v>10880</v>
      </c>
      <c r="H6">
        <v>9511</v>
      </c>
      <c r="I6" s="3">
        <v>12692</v>
      </c>
      <c r="J6">
        <v>14697</v>
      </c>
      <c r="K6">
        <v>12856</v>
      </c>
      <c r="L6">
        <v>21861</v>
      </c>
      <c r="M6">
        <v>25417</v>
      </c>
      <c r="N6">
        <v>10586</v>
      </c>
      <c r="O6">
        <v>11033</v>
      </c>
      <c r="P6">
        <v>11721</v>
      </c>
      <c r="Q6" s="3">
        <v>15242</v>
      </c>
      <c r="R6" s="4">
        <f t="shared" si="0"/>
        <v>73.422590797821854</v>
      </c>
      <c r="S6" s="4">
        <f t="shared" si="1"/>
        <v>120.57775276683549</v>
      </c>
      <c r="T6" s="4">
        <f t="shared" si="2"/>
        <v>128.59411764705882</v>
      </c>
      <c r="U6" s="4">
        <f t="shared" si="3"/>
        <v>123.83434835566382</v>
      </c>
      <c r="V6" s="4">
        <f t="shared" si="4"/>
        <v>88.987895090786822</v>
      </c>
      <c r="W6" s="4">
        <f t="shared" si="5"/>
        <v>101.40625000000001</v>
      </c>
      <c r="X6" s="4">
        <f t="shared" si="6"/>
        <v>123.23625275996216</v>
      </c>
      <c r="Y6" s="5">
        <f t="shared" si="7"/>
        <v>120.09139615505831</v>
      </c>
      <c r="Z6" s="4">
        <f>IF(ISBLANK(R6),"",R6/RelMean*100)</f>
        <v>66.385047537657172</v>
      </c>
      <c r="AA6" s="4">
        <f>IF(ISBLANK(S6),"",S6/RelMean*100)</f>
        <v>109.02039498240792</v>
      </c>
      <c r="AB6" s="4">
        <f>IF(ISBLANK(T6),"",T6/RelMean*100)</f>
        <v>116.26839260643918</v>
      </c>
      <c r="AC6" s="4">
        <f>IF(ISBLANK(U6),"",U6/RelMean*100)</f>
        <v>111.96484641930419</v>
      </c>
      <c r="AD6" s="4">
        <f>IF(ISBLANK(V6),"",V6/RelMean*100)</f>
        <v>80.458419972469613</v>
      </c>
      <c r="AE6" s="4">
        <f>IF(ISBLANK(W6),"",W6/RelMean*100)</f>
        <v>91.686477604727273</v>
      </c>
      <c r="AF6" s="4">
        <f>IF(ISBLANK(X6),"",X6/RelMean*100)</f>
        <v>111.42407818814696</v>
      </c>
      <c r="AG6" s="9">
        <f>IF(ISBLANK(Y6),"",Y6/RelMean*100)</f>
        <v>108.58065557193154</v>
      </c>
      <c r="AH6" s="7">
        <f t="shared" si="8"/>
        <v>99.473539110385488</v>
      </c>
      <c r="AI6" s="5">
        <f t="shared" si="9"/>
        <v>18.016098479870468</v>
      </c>
    </row>
    <row r="7" spans="1:35" x14ac:dyDescent="0.25">
      <c r="A7" s="11" t="s">
        <v>79</v>
      </c>
      <c r="B7">
        <v>2.2241110666666666</v>
      </c>
      <c r="C7">
        <v>1.7770001</v>
      </c>
      <c r="D7">
        <v>2.5757576363636363</v>
      </c>
      <c r="E7">
        <v>2.8506944999999999</v>
      </c>
      <c r="F7">
        <v>1.9826667000000004</v>
      </c>
      <c r="G7">
        <v>2.0148147777777776</v>
      </c>
      <c r="H7">
        <v>1.4410606363636362</v>
      </c>
      <c r="I7" s="3">
        <v>1.6271794615384618</v>
      </c>
      <c r="J7">
        <v>1.6330000666666669</v>
      </c>
      <c r="K7">
        <v>2.1426667000000004</v>
      </c>
      <c r="L7">
        <v>3.312272727272727</v>
      </c>
      <c r="M7">
        <v>3.530138916666667</v>
      </c>
      <c r="N7">
        <v>1.7643332</v>
      </c>
      <c r="O7">
        <v>2.0431481111111109</v>
      </c>
      <c r="P7">
        <v>1.7759090909090907</v>
      </c>
      <c r="Q7" s="3">
        <v>1.9541024615384615</v>
      </c>
      <c r="R7" s="4">
        <f t="shared" si="0"/>
        <v>73.422595262478808</v>
      </c>
      <c r="S7" s="4">
        <f t="shared" si="1"/>
        <v>120.57774785718922</v>
      </c>
      <c r="T7" s="4">
        <f t="shared" si="2"/>
        <v>128.59411462131493</v>
      </c>
      <c r="U7" s="4">
        <f t="shared" si="3"/>
        <v>123.83434691674844</v>
      </c>
      <c r="V7" s="4">
        <f t="shared" si="4"/>
        <v>88.987886869739611</v>
      </c>
      <c r="W7" s="4">
        <f t="shared" si="5"/>
        <v>101.40625002585017</v>
      </c>
      <c r="X7" s="4">
        <f t="shared" si="6"/>
        <v>123.23625016851538</v>
      </c>
      <c r="Y7" s="5">
        <f t="shared" si="7"/>
        <v>120.09139174427025</v>
      </c>
      <c r="Z7" s="4">
        <f>IF(ISBLANK(R7),"",R7/RelMean*100)</f>
        <v>66.385052527496342</v>
      </c>
      <c r="AA7" s="4">
        <f>IF(ISBLANK(S7),"",S7/RelMean*100)</f>
        <v>109.02039210860326</v>
      </c>
      <c r="AB7" s="4">
        <f>IF(ISBLANK(T7),"",T7/RelMean*100)</f>
        <v>116.26839154002779</v>
      </c>
      <c r="AC7" s="4">
        <f>IF(ISBLANK(U7),"",U7/RelMean*100)</f>
        <v>111.96484672583624</v>
      </c>
      <c r="AD7" s="4">
        <f>IF(ISBLANK(V7),"",V7/RelMean*100)</f>
        <v>80.458413694584578</v>
      </c>
      <c r="AE7" s="4">
        <f>IF(ISBLANK(W7),"",W7/RelMean*100)</f>
        <v>91.686478944482047</v>
      </c>
      <c r="AF7" s="4">
        <f>IF(ISBLANK(X7),"",X7/RelMean*100)</f>
        <v>111.42407744485349</v>
      </c>
      <c r="AG7" s="9">
        <f>IF(ISBLANK(Y7),"",Y7/RelMean*100)</f>
        <v>108.58065314285609</v>
      </c>
      <c r="AH7" s="7">
        <f t="shared" si="8"/>
        <v>99.47353826609249</v>
      </c>
      <c r="AI7" s="5">
        <f t="shared" si="9"/>
        <v>18.016097459466291</v>
      </c>
    </row>
    <row r="8" spans="1:35" x14ac:dyDescent="0.25">
      <c r="A8" s="11" t="s">
        <v>80</v>
      </c>
      <c r="B8">
        <v>3.1174135333333335</v>
      </c>
      <c r="C8">
        <v>2.3925015000000003</v>
      </c>
      <c r="D8">
        <v>4.0294048181818178</v>
      </c>
      <c r="E8">
        <v>3.9275472500000004</v>
      </c>
      <c r="F8">
        <v>3.1066336000000003</v>
      </c>
      <c r="G8">
        <v>2.9237913333333334</v>
      </c>
      <c r="H8">
        <v>2.3898061818181819</v>
      </c>
      <c r="I8" s="3">
        <v>2.2076156153846154</v>
      </c>
      <c r="J8">
        <v>3.0469635999999998</v>
      </c>
      <c r="K8">
        <v>2.3719661999999997</v>
      </c>
      <c r="L8">
        <v>3.8553779999999991</v>
      </c>
      <c r="M8">
        <v>3.7594704166666673</v>
      </c>
      <c r="N8">
        <v>2.5619200000000002</v>
      </c>
      <c r="O8">
        <v>2.6883857777777775</v>
      </c>
      <c r="P8">
        <v>2.2360533636363638</v>
      </c>
      <c r="Q8" s="3">
        <v>2.1903657692307692</v>
      </c>
      <c r="R8" s="4">
        <f t="shared" si="0"/>
        <v>97.740115881963078</v>
      </c>
      <c r="S8" s="4">
        <f t="shared" si="1"/>
        <v>99.14168078891484</v>
      </c>
      <c r="T8" s="4">
        <f t="shared" si="2"/>
        <v>95.681078818475612</v>
      </c>
      <c r="U8" s="4">
        <f t="shared" si="3"/>
        <v>95.72056495734499</v>
      </c>
      <c r="V8" s="4">
        <f t="shared" si="4"/>
        <v>82.466113802413005</v>
      </c>
      <c r="W8" s="4">
        <f t="shared" si="5"/>
        <v>91.948619832347049</v>
      </c>
      <c r="X8" s="4">
        <f t="shared" si="6"/>
        <v>93.566305947671381</v>
      </c>
      <c r="Y8" s="5">
        <f t="shared" si="7"/>
        <v>99.218620939549709</v>
      </c>
      <c r="Z8" s="4">
        <f>IF(ISBLANK(R8),"",R8/RelMean*100)</f>
        <v>109.05968283296875</v>
      </c>
      <c r="AA8" s="4">
        <f>IF(ISBLANK(S8),"",S8/RelMean*100)</f>
        <v>110.62356704614662</v>
      </c>
      <c r="AB8" s="4">
        <f>IF(ISBLANK(T8),"",T8/RelMean*100)</f>
        <v>106.76218270153386</v>
      </c>
      <c r="AC8" s="4">
        <f>IF(ISBLANK(U8),"",U8/RelMean*100)</f>
        <v>106.80624184493199</v>
      </c>
      <c r="AD8" s="4">
        <f>IF(ISBLANK(V8),"",V8/RelMean*100)</f>
        <v>92.016754171030883</v>
      </c>
      <c r="AE8" s="4">
        <f>IF(ISBLANK(W8),"",W8/RelMean*100)</f>
        <v>102.59745678995588</v>
      </c>
      <c r="AF8" s="4">
        <f>IF(ISBLANK(X8),"",X8/RelMean*100)</f>
        <v>104.40249183691274</v>
      </c>
      <c r="AG8" s="9">
        <f>IF(ISBLANK(Y8),"",Y8/RelMean*100)</f>
        <v>110.70941785929168</v>
      </c>
      <c r="AH8" s="7">
        <f t="shared" si="8"/>
        <v>105.37222438534656</v>
      </c>
      <c r="AI8" s="5">
        <f t="shared" si="9"/>
        <v>6.1021808161032611</v>
      </c>
    </row>
    <row r="9" spans="1:35" x14ac:dyDescent="0.25">
      <c r="A9" s="11" t="s">
        <v>81</v>
      </c>
      <c r="B9">
        <v>15</v>
      </c>
      <c r="C9">
        <v>10</v>
      </c>
      <c r="D9">
        <v>11</v>
      </c>
      <c r="E9">
        <v>12</v>
      </c>
      <c r="F9">
        <v>10</v>
      </c>
      <c r="G9">
        <v>9</v>
      </c>
      <c r="H9">
        <v>11</v>
      </c>
      <c r="I9" s="3">
        <v>13</v>
      </c>
      <c r="J9">
        <v>15</v>
      </c>
      <c r="K9">
        <v>10</v>
      </c>
      <c r="L9">
        <v>11</v>
      </c>
      <c r="M9">
        <v>12</v>
      </c>
      <c r="N9">
        <v>10</v>
      </c>
      <c r="O9">
        <v>9</v>
      </c>
      <c r="P9">
        <v>11</v>
      </c>
      <c r="Q9" s="3">
        <v>13</v>
      </c>
      <c r="R9" s="4">
        <f t="shared" si="0"/>
        <v>100</v>
      </c>
      <c r="S9" s="4">
        <f t="shared" si="1"/>
        <v>100</v>
      </c>
      <c r="T9" s="4">
        <f t="shared" si="2"/>
        <v>100</v>
      </c>
      <c r="U9" s="4">
        <f t="shared" si="3"/>
        <v>100</v>
      </c>
      <c r="V9" s="4">
        <f t="shared" si="4"/>
        <v>100</v>
      </c>
      <c r="W9" s="4">
        <f t="shared" si="5"/>
        <v>100</v>
      </c>
      <c r="X9" s="4">
        <f t="shared" si="6"/>
        <v>100</v>
      </c>
      <c r="Y9" s="5">
        <f t="shared" si="7"/>
        <v>100</v>
      </c>
      <c r="Z9" s="4">
        <f>IF(ISBLANK(R9),"",R9/RelMean*100)</f>
        <v>100</v>
      </c>
      <c r="AA9" s="4">
        <f>IF(ISBLANK(S9),"",S9/RelMean*100)</f>
        <v>100</v>
      </c>
      <c r="AB9" s="4">
        <f>IF(ISBLANK(T9),"",T9/RelMean*100)</f>
        <v>100</v>
      </c>
      <c r="AC9" s="4">
        <f>IF(ISBLANK(U9),"",U9/RelMean*100)</f>
        <v>100</v>
      </c>
      <c r="AD9" s="4">
        <f>IF(ISBLANK(V9),"",V9/RelMean*100)</f>
        <v>100</v>
      </c>
      <c r="AE9" s="4">
        <f>IF(ISBLANK(W9),"",W9/RelMean*100)</f>
        <v>100</v>
      </c>
      <c r="AF9" s="4">
        <f>IF(ISBLANK(X9),"",X9/RelMean*100)</f>
        <v>100</v>
      </c>
      <c r="AG9" s="9">
        <f>IF(ISBLANK(Y9),"",Y9/RelMean*100)</f>
        <v>100</v>
      </c>
      <c r="AH9" s="7">
        <f t="shared" si="8"/>
        <v>100</v>
      </c>
      <c r="AI9" s="5">
        <f t="shared" si="9"/>
        <v>0</v>
      </c>
    </row>
    <row r="10" spans="1:35" x14ac:dyDescent="0.25">
      <c r="A10" s="11" t="s">
        <v>82</v>
      </c>
      <c r="B10" t="s">
        <v>114</v>
      </c>
      <c r="C10" t="s">
        <v>114</v>
      </c>
      <c r="D10" t="s">
        <v>114</v>
      </c>
      <c r="E10" t="s">
        <v>114</v>
      </c>
      <c r="F10" t="s">
        <v>114</v>
      </c>
      <c r="G10" t="s">
        <v>114</v>
      </c>
      <c r="H10" t="s">
        <v>114</v>
      </c>
      <c r="I10" s="3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s="3" t="s">
        <v>114</v>
      </c>
      <c r="R10" s="4" t="e">
        <f t="shared" si="0"/>
        <v>#VALUE!</v>
      </c>
      <c r="S10" s="4" t="e">
        <f t="shared" si="1"/>
        <v>#VALUE!</v>
      </c>
      <c r="T10" s="4" t="e">
        <f t="shared" si="2"/>
        <v>#VALUE!</v>
      </c>
      <c r="U10" s="4" t="e">
        <f t="shared" si="3"/>
        <v>#VALUE!</v>
      </c>
      <c r="V10" s="4" t="e">
        <f t="shared" si="4"/>
        <v>#VALUE!</v>
      </c>
      <c r="W10" s="4" t="e">
        <f t="shared" si="5"/>
        <v>#VALUE!</v>
      </c>
      <c r="X10" s="4" t="e">
        <f t="shared" si="6"/>
        <v>#VALUE!</v>
      </c>
      <c r="Y10" s="5" t="e">
        <f t="shared" si="7"/>
        <v>#VALUE!</v>
      </c>
      <c r="Z10" s="4" t="e">
        <f>IF(ISBLANK(R10),"",R10/RelMean*100)</f>
        <v>#VALUE!</v>
      </c>
      <c r="AA10" s="4" t="e">
        <f>IF(ISBLANK(S10),"",S10/RelMean*100)</f>
        <v>#VALUE!</v>
      </c>
      <c r="AB10" s="4" t="e">
        <f>IF(ISBLANK(T10),"",T10/RelMean*100)</f>
        <v>#VALUE!</v>
      </c>
      <c r="AC10" s="4" t="e">
        <f>IF(ISBLANK(U10),"",U10/RelMean*100)</f>
        <v>#VALUE!</v>
      </c>
      <c r="AD10" s="4" t="e">
        <f>IF(ISBLANK(V10),"",V10/RelMean*100)</f>
        <v>#VALUE!</v>
      </c>
      <c r="AE10" s="4" t="e">
        <f>IF(ISBLANK(W10),"",W10/RelMean*100)</f>
        <v>#VALUE!</v>
      </c>
      <c r="AF10" s="4" t="e">
        <f>IF(ISBLANK(X10),"",X10/RelMean*100)</f>
        <v>#VALUE!</v>
      </c>
      <c r="AG10" s="9" t="e">
        <f>IF(ISBLANK(Y10),"",Y10/RelMean*100)</f>
        <v>#VALUE!</v>
      </c>
      <c r="AH10" s="7" t="e">
        <f t="shared" si="8"/>
        <v>#VALUE!</v>
      </c>
      <c r="AI10" s="5" t="e">
        <f t="shared" si="9"/>
        <v>#VALUE!</v>
      </c>
    </row>
    <row r="11" spans="1:35" ht="15.75" x14ac:dyDescent="0.25">
      <c r="A11" s="13" t="s">
        <v>909</v>
      </c>
      <c r="I11" s="3"/>
      <c r="Q11" s="3"/>
      <c r="R11" s="4" t="str">
        <f t="shared" si="0"/>
        <v/>
      </c>
      <c r="S11" s="4" t="str">
        <f t="shared" si="1"/>
        <v/>
      </c>
      <c r="T11" s="4" t="str">
        <f t="shared" si="2"/>
        <v/>
      </c>
      <c r="U11" s="4" t="str">
        <f t="shared" si="3"/>
        <v/>
      </c>
      <c r="V11" s="4" t="str">
        <f t="shared" si="4"/>
        <v/>
      </c>
      <c r="W11" s="4" t="str">
        <f t="shared" si="5"/>
        <v/>
      </c>
      <c r="X11" s="4" t="str">
        <f t="shared" si="6"/>
        <v/>
      </c>
      <c r="Y11" s="5" t="str">
        <f t="shared" si="7"/>
        <v/>
      </c>
      <c r="Z11" s="4" t="e">
        <f>IF(ISBLANK(R11),"",R11/RelMean*100)</f>
        <v>#VALUE!</v>
      </c>
      <c r="AA11" s="4" t="e">
        <f>IF(ISBLANK(S11),"",S11/RelMean*100)</f>
        <v>#VALUE!</v>
      </c>
      <c r="AB11" s="4" t="e">
        <f>IF(ISBLANK(T11),"",T11/RelMean*100)</f>
        <v>#VALUE!</v>
      </c>
      <c r="AC11" s="4" t="e">
        <f>IF(ISBLANK(U11),"",U11/RelMean*100)</f>
        <v>#VALUE!</v>
      </c>
      <c r="AD11" s="4" t="e">
        <f>IF(ISBLANK(V11),"",V11/RelMean*100)</f>
        <v>#VALUE!</v>
      </c>
      <c r="AE11" s="4" t="e">
        <f>IF(ISBLANK(W11),"",W11/RelMean*100)</f>
        <v>#VALUE!</v>
      </c>
      <c r="AF11" s="4" t="e">
        <f>IF(ISBLANK(X11),"",X11/RelMean*100)</f>
        <v>#VALUE!</v>
      </c>
      <c r="AG11" s="9" t="e">
        <f>IF(ISBLANK(Y11),"",Y11/RelMean*100)</f>
        <v>#VALUE!</v>
      </c>
      <c r="AH11" s="7" t="e">
        <f t="shared" si="8"/>
        <v>#VALUE!</v>
      </c>
      <c r="AI11" s="5" t="e">
        <f t="shared" si="9"/>
        <v>#VALUE!</v>
      </c>
    </row>
    <row r="12" spans="1:35" x14ac:dyDescent="0.25">
      <c r="A12" s="11" t="s">
        <v>84</v>
      </c>
      <c r="B12">
        <v>1085</v>
      </c>
      <c r="C12">
        <v>509</v>
      </c>
      <c r="D12">
        <v>678</v>
      </c>
      <c r="E12">
        <v>802</v>
      </c>
      <c r="F12">
        <v>463</v>
      </c>
      <c r="G12">
        <v>506</v>
      </c>
      <c r="H12">
        <v>435</v>
      </c>
      <c r="I12" s="3">
        <v>626</v>
      </c>
      <c r="J12">
        <v>784</v>
      </c>
      <c r="K12">
        <v>596</v>
      </c>
      <c r="L12">
        <v>806</v>
      </c>
      <c r="M12">
        <v>968</v>
      </c>
      <c r="N12">
        <v>482</v>
      </c>
      <c r="O12">
        <v>474</v>
      </c>
      <c r="P12">
        <v>492</v>
      </c>
      <c r="Q12" s="3">
        <v>692</v>
      </c>
      <c r="R12" s="4">
        <f t="shared" si="0"/>
        <v>72.258064516129025</v>
      </c>
      <c r="S12" s="4">
        <f t="shared" si="1"/>
        <v>117.09233791748525</v>
      </c>
      <c r="T12" s="4">
        <f t="shared" si="2"/>
        <v>118.87905604719764</v>
      </c>
      <c r="U12" s="4">
        <f t="shared" si="3"/>
        <v>120.69825436408979</v>
      </c>
      <c r="V12" s="4">
        <f t="shared" si="4"/>
        <v>104.10367170626348</v>
      </c>
      <c r="W12" s="4">
        <f t="shared" si="5"/>
        <v>93.675889328063249</v>
      </c>
      <c r="X12" s="4">
        <f t="shared" si="6"/>
        <v>113.10344827586208</v>
      </c>
      <c r="Y12" s="5">
        <f t="shared" si="7"/>
        <v>110.54313099041534</v>
      </c>
      <c r="Z12" s="4">
        <f>IF(ISBLANK(R12),"",R12/RelMean*100)</f>
        <v>70.523243366772448</v>
      </c>
      <c r="AA12" s="4">
        <f>IF(ISBLANK(S12),"",S12/RelMean*100)</f>
        <v>114.28110479621174</v>
      </c>
      <c r="AB12" s="4">
        <f>IF(ISBLANK(T12),"",T12/RelMean*100)</f>
        <v>116.02492617218292</v>
      </c>
      <c r="AC12" s="4">
        <f>IF(ISBLANK(U12),"",U12/RelMean*100)</f>
        <v>117.80044792873329</v>
      </c>
      <c r="AD12" s="4">
        <f>IF(ISBLANK(V12),"",V12/RelMean*100)</f>
        <v>101.60427938775783</v>
      </c>
      <c r="AE12" s="4">
        <f>IF(ISBLANK(W12),"",W12/RelMean*100)</f>
        <v>91.426854357650569</v>
      </c>
      <c r="AF12" s="4">
        <f>IF(ISBLANK(X12),"",X12/RelMean*100)</f>
        <v>110.38798315168448</v>
      </c>
      <c r="AG12" s="9">
        <f>IF(ISBLANK(Y12),"",Y12/RelMean*100)</f>
        <v>107.88913571885004</v>
      </c>
      <c r="AH12" s="7">
        <f t="shared" si="8"/>
        <v>103.74224685998041</v>
      </c>
      <c r="AI12" s="5">
        <f t="shared" si="9"/>
        <v>15.949336052115253</v>
      </c>
    </row>
    <row r="13" spans="1:35" x14ac:dyDescent="0.25">
      <c r="A13" s="11" t="s">
        <v>85</v>
      </c>
      <c r="B13">
        <v>14</v>
      </c>
      <c r="C13">
        <v>9</v>
      </c>
      <c r="D13">
        <v>11</v>
      </c>
      <c r="E13">
        <v>12</v>
      </c>
      <c r="F13">
        <v>9</v>
      </c>
      <c r="G13">
        <v>9</v>
      </c>
      <c r="H13">
        <v>8</v>
      </c>
      <c r="I13" s="3">
        <v>9</v>
      </c>
      <c r="J13">
        <v>14</v>
      </c>
      <c r="K13">
        <v>9</v>
      </c>
      <c r="L13">
        <v>11</v>
      </c>
      <c r="M13">
        <v>12</v>
      </c>
      <c r="N13">
        <v>9</v>
      </c>
      <c r="O13">
        <v>9</v>
      </c>
      <c r="P13">
        <v>8</v>
      </c>
      <c r="Q13" s="3">
        <v>9</v>
      </c>
      <c r="R13" s="4">
        <f t="shared" si="0"/>
        <v>100</v>
      </c>
      <c r="S13" s="4">
        <f t="shared" si="1"/>
        <v>100</v>
      </c>
      <c r="T13" s="4">
        <f t="shared" si="2"/>
        <v>100</v>
      </c>
      <c r="U13" s="4">
        <f t="shared" si="3"/>
        <v>100</v>
      </c>
      <c r="V13" s="4">
        <f t="shared" si="4"/>
        <v>100</v>
      </c>
      <c r="W13" s="4">
        <f t="shared" si="5"/>
        <v>100</v>
      </c>
      <c r="X13" s="4">
        <f t="shared" si="6"/>
        <v>100</v>
      </c>
      <c r="Y13" s="5">
        <f t="shared" si="7"/>
        <v>100</v>
      </c>
      <c r="Z13" s="4">
        <f>IF(ISBLANK(R13),"",R13/RelMean*100)</f>
        <v>100</v>
      </c>
      <c r="AA13" s="4">
        <f>IF(ISBLANK(S13),"",S13/RelMean*100)</f>
        <v>100</v>
      </c>
      <c r="AB13" s="4">
        <f>IF(ISBLANK(T13),"",T13/RelMean*100)</f>
        <v>100</v>
      </c>
      <c r="AC13" s="4">
        <f>IF(ISBLANK(U13),"",U13/RelMean*100)</f>
        <v>100</v>
      </c>
      <c r="AD13" s="4">
        <f>IF(ISBLANK(V13),"",V13/RelMean*100)</f>
        <v>100</v>
      </c>
      <c r="AE13" s="4">
        <f>IF(ISBLANK(W13),"",W13/RelMean*100)</f>
        <v>100</v>
      </c>
      <c r="AF13" s="4">
        <f>IF(ISBLANK(X13),"",X13/RelMean*100)</f>
        <v>100</v>
      </c>
      <c r="AG13" s="9">
        <f>IF(ISBLANK(Y13),"",Y13/RelMean*100)</f>
        <v>100</v>
      </c>
      <c r="AH13" s="7">
        <f t="shared" si="8"/>
        <v>100</v>
      </c>
      <c r="AI13" s="5">
        <f t="shared" si="9"/>
        <v>0</v>
      </c>
    </row>
    <row r="14" spans="1:35" x14ac:dyDescent="0.25">
      <c r="A14" s="11" t="s">
        <v>86</v>
      </c>
      <c r="B14">
        <v>7.738085714285714E-2</v>
      </c>
      <c r="C14">
        <v>0.15052399999999999</v>
      </c>
      <c r="D14">
        <v>0.12367509090909092</v>
      </c>
      <c r="E14">
        <v>0.11439158333333332</v>
      </c>
      <c r="F14">
        <v>0.32044922222222216</v>
      </c>
      <c r="G14">
        <v>0.17310333333333333</v>
      </c>
      <c r="H14">
        <v>0.1082785</v>
      </c>
      <c r="I14" s="3">
        <v>0.14641266666666666</v>
      </c>
      <c r="J14">
        <v>6.4442714285714284E-2</v>
      </c>
      <c r="K14">
        <v>0.12409666666666667</v>
      </c>
      <c r="L14">
        <v>0.12737854545454547</v>
      </c>
      <c r="M14">
        <v>0.10493150000000001</v>
      </c>
      <c r="N14">
        <v>0.1296961111111111</v>
      </c>
      <c r="O14">
        <v>0.13467733333333334</v>
      </c>
      <c r="P14">
        <v>7.1223000000000009E-2</v>
      </c>
      <c r="Q14" s="3">
        <v>0.1240587777777778</v>
      </c>
      <c r="R14" s="4">
        <f t="shared" si="0"/>
        <v>83.279917882975852</v>
      </c>
      <c r="S14" s="4">
        <f t="shared" si="1"/>
        <v>82.443109847377613</v>
      </c>
      <c r="T14" s="4">
        <f t="shared" si="2"/>
        <v>102.9945031923824</v>
      </c>
      <c r="U14" s="4">
        <f t="shared" si="3"/>
        <v>91.730087950818074</v>
      </c>
      <c r="V14" s="4">
        <f t="shared" si="4"/>
        <v>40.47321763233073</v>
      </c>
      <c r="W14" s="4">
        <f t="shared" si="5"/>
        <v>77.801698407502272</v>
      </c>
      <c r="X14" s="4">
        <f t="shared" si="6"/>
        <v>65.777601278185429</v>
      </c>
      <c r="Y14" s="5">
        <f t="shared" si="7"/>
        <v>84.732271190865404</v>
      </c>
      <c r="Z14" s="4">
        <f>IF(ISBLANK(R14),"",R14/RelMean*100)</f>
        <v>81.744602694381214</v>
      </c>
      <c r="AA14" s="4">
        <f>IF(ISBLANK(S14),"",S14/RelMean*100)</f>
        <v>80.923221716345623</v>
      </c>
      <c r="AB14" s="4">
        <f>IF(ISBLANK(T14),"",T14/RelMean*100)</f>
        <v>101.0957378103701</v>
      </c>
      <c r="AC14" s="4">
        <f>IF(ISBLANK(U14),"",U14/RelMean*100)</f>
        <v>90.038988813569745</v>
      </c>
      <c r="AD14" s="4">
        <f>IF(ISBLANK(V14),"",V14/RelMean*100)</f>
        <v>39.727069613194466</v>
      </c>
      <c r="AE14" s="4">
        <f>IF(ISBLANK(W14),"",W14/RelMean*100)</f>
        <v>76.367377477559145</v>
      </c>
      <c r="AF14" s="4">
        <f>IF(ISBLANK(X14),"",X14/RelMean*100)</f>
        <v>64.564951783818387</v>
      </c>
      <c r="AG14" s="9">
        <f>IF(ISBLANK(Y14),"",Y14/RelMean*100)</f>
        <v>83.170180998770633</v>
      </c>
      <c r="AH14" s="7">
        <f t="shared" si="8"/>
        <v>77.204016363501168</v>
      </c>
      <c r="AI14" s="5">
        <f t="shared" si="9"/>
        <v>18.402495406985729</v>
      </c>
    </row>
    <row r="15" spans="1:35" x14ac:dyDescent="0.25">
      <c r="A15" s="11" t="s">
        <v>87</v>
      </c>
      <c r="B15">
        <v>13.757891857142861</v>
      </c>
      <c r="C15">
        <v>11.71549111111111</v>
      </c>
      <c r="D15">
        <v>20.116983818181822</v>
      </c>
      <c r="E15">
        <v>19.445866583333331</v>
      </c>
      <c r="F15">
        <v>17.221078444444444</v>
      </c>
      <c r="G15">
        <v>13.570455777777775</v>
      </c>
      <c r="H15">
        <v>13.000593125000002</v>
      </c>
      <c r="I15" s="3">
        <v>11.920334222222221</v>
      </c>
      <c r="J15">
        <v>14.406288785714285</v>
      </c>
      <c r="K15">
        <v>11.849487555555555</v>
      </c>
      <c r="L15">
        <v>20.785613636363639</v>
      </c>
      <c r="M15">
        <v>19.293165999999999</v>
      </c>
      <c r="N15">
        <v>12.534307555555555</v>
      </c>
      <c r="O15">
        <v>12.799039444444443</v>
      </c>
      <c r="P15">
        <v>12.806452750000002</v>
      </c>
      <c r="Q15" s="3">
        <v>11.804631111111112</v>
      </c>
      <c r="R15" s="4">
        <f t="shared" si="0"/>
        <v>104.71290903653083</v>
      </c>
      <c r="S15" s="4">
        <f t="shared" si="1"/>
        <v>101.14375439470362</v>
      </c>
      <c r="T15" s="4">
        <f t="shared" si="2"/>
        <v>103.32370808777758</v>
      </c>
      <c r="U15" s="4">
        <f t="shared" si="3"/>
        <v>99.214740147069563</v>
      </c>
      <c r="V15" s="4">
        <f t="shared" si="4"/>
        <v>72.784684164766404</v>
      </c>
      <c r="W15" s="4">
        <f t="shared" si="5"/>
        <v>94.315472184828437</v>
      </c>
      <c r="X15" s="4">
        <f t="shared" si="6"/>
        <v>98.506680632696131</v>
      </c>
      <c r="Y15" s="5">
        <f t="shared" si="7"/>
        <v>99.029363531641479</v>
      </c>
      <c r="Z15" s="4">
        <f>IF(ISBLANK(R15),"",R15/RelMean*100)</f>
        <v>105.3337295937251</v>
      </c>
      <c r="AA15" s="4">
        <f>IF(ISBLANK(S15),"",S15/RelMean*100)</f>
        <v>101.74341419345998</v>
      </c>
      <c r="AB15" s="4">
        <f>IF(ISBLANK(T15),"",T15/RelMean*100)</f>
        <v>103.93629236813649</v>
      </c>
      <c r="AC15" s="4">
        <f>IF(ISBLANK(U15),"",U15/RelMean*100)</f>
        <v>99.802963230801282</v>
      </c>
      <c r="AD15" s="4">
        <f>IF(ISBLANK(V15),"",V15/RelMean*100)</f>
        <v>73.216209070283213</v>
      </c>
      <c r="AE15" s="4">
        <f>IF(ISBLANK(W15),"",W15/RelMean*100)</f>
        <v>94.874648551262865</v>
      </c>
      <c r="AF15" s="4">
        <f>IF(ISBLANK(X15),"",X15/RelMean*100)</f>
        <v>99.090705782225825</v>
      </c>
      <c r="AG15" s="9">
        <f>IF(ISBLANK(Y15),"",Y15/RelMean*100)</f>
        <v>99.616487556864186</v>
      </c>
      <c r="AH15" s="7">
        <f t="shared" si="8"/>
        <v>97.201806293344859</v>
      </c>
      <c r="AI15" s="5">
        <f t="shared" si="9"/>
        <v>10.205018815503449</v>
      </c>
    </row>
    <row r="16" spans="1:35" x14ac:dyDescent="0.25">
      <c r="A16" s="11" t="s">
        <v>88</v>
      </c>
      <c r="B16">
        <v>7.3575714285714269E-3</v>
      </c>
      <c r="C16">
        <v>1.0322666666666667E-2</v>
      </c>
      <c r="D16">
        <v>7.2401818181818157E-3</v>
      </c>
      <c r="E16">
        <v>7.6744999999999999E-3</v>
      </c>
      <c r="F16">
        <v>1.4375111111111109E-2</v>
      </c>
      <c r="G16">
        <v>1.2817555555555556E-2</v>
      </c>
      <c r="H16">
        <v>9.436749999999999E-3</v>
      </c>
      <c r="I16" s="3">
        <v>1.0660777777777778E-2</v>
      </c>
      <c r="J16">
        <v>5.4049285714285718E-3</v>
      </c>
      <c r="K16">
        <v>8.845444444444444E-3</v>
      </c>
      <c r="L16">
        <v>7.3138181818181817E-3</v>
      </c>
      <c r="M16">
        <v>7.0017499999999984E-3</v>
      </c>
      <c r="N16">
        <v>1.0327777777777778E-2</v>
      </c>
      <c r="O16">
        <v>1.1859888888888889E-2</v>
      </c>
      <c r="P16">
        <v>6.5539999999999999E-3</v>
      </c>
      <c r="Q16" s="3">
        <v>9.6967777777777781E-3</v>
      </c>
      <c r="R16" s="4">
        <f t="shared" si="0"/>
        <v>73.460769275576197</v>
      </c>
      <c r="S16" s="4">
        <f t="shared" si="1"/>
        <v>85.689528976147415</v>
      </c>
      <c r="T16" s="4">
        <f t="shared" si="2"/>
        <v>101.01705130458807</v>
      </c>
      <c r="U16" s="4">
        <f t="shared" si="3"/>
        <v>91.233956609551086</v>
      </c>
      <c r="V16" s="4">
        <f t="shared" si="4"/>
        <v>71.844855305466254</v>
      </c>
      <c r="W16" s="4">
        <f t="shared" si="5"/>
        <v>92.528476568595153</v>
      </c>
      <c r="X16" s="4">
        <f t="shared" si="6"/>
        <v>69.451876970355258</v>
      </c>
      <c r="Y16" s="5">
        <f t="shared" si="7"/>
        <v>90.957507790759479</v>
      </c>
      <c r="Z16" s="4">
        <f>IF(ISBLANK(R16),"",R16/RelMean*100)</f>
        <v>73.212901942568038</v>
      </c>
      <c r="AA16" s="4">
        <f>IF(ISBLANK(S16),"",S16/RelMean*100)</f>
        <v>85.40040002713836</v>
      </c>
      <c r="AB16" s="4">
        <f>IF(ISBLANK(T16),"",T16/RelMean*100)</f>
        <v>100.67620506322503</v>
      </c>
      <c r="AC16" s="4">
        <f>IF(ISBLANK(U16),"",U16/RelMean*100)</f>
        <v>90.926119954318679</v>
      </c>
      <c r="AD16" s="4">
        <f>IF(ISBLANK(V16),"",V16/RelMean*100)</f>
        <v>71.602440301505169</v>
      </c>
      <c r="AE16" s="4">
        <f>IF(ISBLANK(W16),"",W16/RelMean*100)</f>
        <v>92.21627201451092</v>
      </c>
      <c r="AF16" s="4">
        <f>IF(ISBLANK(X16),"",X16/RelMean*100)</f>
        <v>69.217536223766089</v>
      </c>
      <c r="AG16" s="9">
        <f>IF(ISBLANK(Y16),"",Y16/RelMean*100)</f>
        <v>90.650603914098596</v>
      </c>
      <c r="AH16" s="7">
        <f t="shared" si="8"/>
        <v>84.237809930141353</v>
      </c>
      <c r="AI16" s="5">
        <f t="shared" si="9"/>
        <v>11.513318431762301</v>
      </c>
    </row>
    <row r="17" spans="1:35" x14ac:dyDescent="0.25">
      <c r="A17" s="11" t="s">
        <v>89</v>
      </c>
      <c r="B17">
        <v>5.8944285714285713E-3</v>
      </c>
      <c r="C17">
        <v>7.7858888888888882E-3</v>
      </c>
      <c r="D17">
        <v>5.2679090909090905E-3</v>
      </c>
      <c r="E17">
        <v>5.5832500000000005E-3</v>
      </c>
      <c r="F17">
        <v>1.0203666666666666E-2</v>
      </c>
      <c r="G17">
        <v>9.8044444444444438E-3</v>
      </c>
      <c r="H17">
        <v>6.927E-3</v>
      </c>
      <c r="I17" s="3">
        <v>7.2732222222222226E-3</v>
      </c>
      <c r="J17">
        <v>4.2598571428571434E-3</v>
      </c>
      <c r="K17">
        <v>6.3232222222222231E-3</v>
      </c>
      <c r="L17">
        <v>5.3229090909090908E-3</v>
      </c>
      <c r="M17">
        <v>5.0956666666666659E-3</v>
      </c>
      <c r="N17">
        <v>7.1471111111111102E-3</v>
      </c>
      <c r="O17">
        <v>9.2621111111111099E-3</v>
      </c>
      <c r="P17">
        <v>4.9839999999999997E-3</v>
      </c>
      <c r="Q17" s="3">
        <v>5.8470000000000006E-3</v>
      </c>
      <c r="R17" s="4">
        <f t="shared" si="0"/>
        <v>72.269213058335964</v>
      </c>
      <c r="S17" s="4">
        <f t="shared" si="1"/>
        <v>81.21387695688783</v>
      </c>
      <c r="T17" s="4">
        <f t="shared" si="2"/>
        <v>101.04405750081973</v>
      </c>
      <c r="U17" s="4">
        <f t="shared" si="3"/>
        <v>91.267033836325894</v>
      </c>
      <c r="V17" s="4">
        <f t="shared" si="4"/>
        <v>70.044537366741793</v>
      </c>
      <c r="W17" s="4">
        <f t="shared" si="5"/>
        <v>94.468495013599281</v>
      </c>
      <c r="X17" s="4">
        <f t="shared" si="6"/>
        <v>71.950339252201516</v>
      </c>
      <c r="Y17" s="5">
        <f t="shared" si="7"/>
        <v>80.390778960876276</v>
      </c>
      <c r="Z17" s="4">
        <f>IF(ISBLANK(R17),"",R17/RelMean*100)</f>
        <v>74.691443547663866</v>
      </c>
      <c r="AA17" s="4">
        <f>IF(ISBLANK(S17),"",S17/RelMean*100)</f>
        <v>83.935903676103749</v>
      </c>
      <c r="AB17" s="4">
        <f>IF(ISBLANK(T17),"",T17/RelMean*100)</f>
        <v>104.43072779216942</v>
      </c>
      <c r="AC17" s="4">
        <f>IF(ISBLANK(U17),"",U17/RelMean*100)</f>
        <v>94.326009888139566</v>
      </c>
      <c r="AD17" s="4">
        <f>IF(ISBLANK(V17),"",V17/RelMean*100)</f>
        <v>72.39220391575536</v>
      </c>
      <c r="AE17" s="4">
        <f>IF(ISBLANK(W17),"",W17/RelMean*100)</f>
        <v>97.634773698800316</v>
      </c>
      <c r="AF17" s="4">
        <f>IF(ISBLANK(X17),"",X17/RelMean*100)</f>
        <v>74.361882121963902</v>
      </c>
      <c r="AG17" s="9">
        <f>IF(ISBLANK(Y17),"",Y17/RelMean*100)</f>
        <v>83.085218095043572</v>
      </c>
      <c r="AH17" s="7">
        <f t="shared" si="8"/>
        <v>85.607270341954987</v>
      </c>
      <c r="AI17" s="5">
        <f t="shared" si="9"/>
        <v>11.978588231812152</v>
      </c>
    </row>
    <row r="18" spans="1:35" x14ac:dyDescent="0.25">
      <c r="A18" s="11" t="s">
        <v>90</v>
      </c>
      <c r="B18">
        <v>0.81014450000000005</v>
      </c>
      <c r="C18">
        <v>0.79626133333333327</v>
      </c>
      <c r="D18">
        <v>0.76222300000000009</v>
      </c>
      <c r="E18">
        <v>0.78415541666666666</v>
      </c>
      <c r="F18">
        <v>0.76857500000000001</v>
      </c>
      <c r="G18">
        <v>0.7878505555555555</v>
      </c>
      <c r="H18">
        <v>0.80006299999999997</v>
      </c>
      <c r="I18" s="3">
        <v>0.79363455555555551</v>
      </c>
      <c r="J18">
        <v>0.81844814285714285</v>
      </c>
      <c r="K18">
        <v>0.79667977777777765</v>
      </c>
      <c r="L18">
        <v>0.76540527272727277</v>
      </c>
      <c r="M18">
        <v>0.76963900000000007</v>
      </c>
      <c r="N18">
        <v>0.77486144444444438</v>
      </c>
      <c r="O18">
        <v>0.80038044444444434</v>
      </c>
      <c r="P18">
        <v>0.79734074999999993</v>
      </c>
      <c r="Q18" s="3">
        <v>0.80816833333333316</v>
      </c>
      <c r="R18" s="4">
        <f t="shared" si="0"/>
        <v>101.02495824598485</v>
      </c>
      <c r="S18" s="4">
        <f t="shared" si="1"/>
        <v>100.05255114457117</v>
      </c>
      <c r="T18" s="4">
        <f t="shared" si="2"/>
        <v>100.41749891137799</v>
      </c>
      <c r="U18" s="4">
        <f t="shared" si="3"/>
        <v>98.148783218462768</v>
      </c>
      <c r="V18" s="4">
        <f t="shared" si="4"/>
        <v>100.81793506742274</v>
      </c>
      <c r="W18" s="4">
        <f t="shared" si="5"/>
        <v>101.59038904022266</v>
      </c>
      <c r="X18" s="4">
        <f t="shared" si="6"/>
        <v>99.659745545038319</v>
      </c>
      <c r="Y18" s="5">
        <f t="shared" si="7"/>
        <v>101.83129346826433</v>
      </c>
      <c r="Z18" s="4">
        <f>IF(ISBLANK(R18),"",R18/RelMean*100)</f>
        <v>102.47711701108564</v>
      </c>
      <c r="AA18" s="4">
        <f>IF(ISBLANK(S18),"",S18/RelMean*100)</f>
        <v>101.49073227958844</v>
      </c>
      <c r="AB18" s="4">
        <f>IF(ISBLANK(T18),"",T18/RelMean*100)</f>
        <v>101.86092589957427</v>
      </c>
      <c r="AC18" s="4">
        <f>IF(ISBLANK(U18),"",U18/RelMean*100)</f>
        <v>99.559599103064556</v>
      </c>
      <c r="AD18" s="4">
        <f>IF(ISBLANK(V18),"",V18/RelMean*100)</f>
        <v>102.26711802804364</v>
      </c>
      <c r="AE18" s="4">
        <f>IF(ISBLANK(W18),"",W18/RelMean*100)</f>
        <v>103.05067545316579</v>
      </c>
      <c r="AF18" s="4">
        <f>IF(ISBLANK(X18),"",X18/RelMean*100)</f>
        <v>101.09228039121525</v>
      </c>
      <c r="AG18" s="9">
        <f>IF(ISBLANK(Y18),"",Y18/RelMean*100)</f>
        <v>103.29504270349223</v>
      </c>
      <c r="AH18" s="7">
        <f t="shared" si="8"/>
        <v>101.88668635865372</v>
      </c>
      <c r="AI18" s="5">
        <f t="shared" si="9"/>
        <v>1.1973502880947264</v>
      </c>
    </row>
    <row r="19" spans="1:35" x14ac:dyDescent="0.25">
      <c r="A19" s="11" t="s">
        <v>91</v>
      </c>
      <c r="B19">
        <v>11.407229785714287</v>
      </c>
      <c r="C19">
        <v>24.601829111111108</v>
      </c>
      <c r="D19">
        <v>10.239810909090908</v>
      </c>
      <c r="E19">
        <v>18.621742583333333</v>
      </c>
      <c r="F19">
        <v>15.494935888888891</v>
      </c>
      <c r="G19">
        <v>16.923411333333334</v>
      </c>
      <c r="H19">
        <v>14.067126249999999</v>
      </c>
      <c r="I19" s="3">
        <v>29.642652222222225</v>
      </c>
      <c r="J19">
        <v>11.52952192857143</v>
      </c>
      <c r="K19">
        <v>19.534542555555554</v>
      </c>
      <c r="L19">
        <v>8.9888392727272723</v>
      </c>
      <c r="M19">
        <v>16.370293333333333</v>
      </c>
      <c r="N19">
        <v>16.765069111111114</v>
      </c>
      <c r="O19">
        <v>24.118476000000001</v>
      </c>
      <c r="P19">
        <v>14.630056625000002</v>
      </c>
      <c r="Q19" s="3">
        <v>16.269369444444443</v>
      </c>
      <c r="R19" s="4">
        <f t="shared" si="0"/>
        <v>101.07205820479126</v>
      </c>
      <c r="S19" s="4">
        <f t="shared" si="1"/>
        <v>79.402805650466945</v>
      </c>
      <c r="T19" s="4">
        <f t="shared" si="2"/>
        <v>87.783254520324959</v>
      </c>
      <c r="U19" s="4">
        <f t="shared" si="3"/>
        <v>87.909567324730006</v>
      </c>
      <c r="V19" s="4">
        <f t="shared" si="4"/>
        <v>108.19708601139169</v>
      </c>
      <c r="W19" s="4">
        <f t="shared" si="5"/>
        <v>142.51545108104091</v>
      </c>
      <c r="X19" s="4">
        <f t="shared" si="6"/>
        <v>104.0017439596094</v>
      </c>
      <c r="Y19" s="5">
        <f t="shared" si="7"/>
        <v>54.884999231775133</v>
      </c>
      <c r="Z19" s="4">
        <f>IF(ISBLANK(R19),"",R19/RelMean*100)</f>
        <v>108.18840233898493</v>
      </c>
      <c r="AA19" s="4">
        <f>IF(ISBLANK(S19),"",S19/RelMean*100)</f>
        <v>84.993447616857935</v>
      </c>
      <c r="AB19" s="4">
        <f>IF(ISBLANK(T19),"",T19/RelMean*100)</f>
        <v>93.96395232624468</v>
      </c>
      <c r="AC19" s="4">
        <f>IF(ISBLANK(U19),"",U19/RelMean*100)</f>
        <v>94.099158640890508</v>
      </c>
      <c r="AD19" s="4">
        <f>IF(ISBLANK(V19),"",V19/RelMean*100)</f>
        <v>115.81509352058788</v>
      </c>
      <c r="AE19" s="4">
        <f>IF(ISBLANK(W19),"",W19/RelMean*100)</f>
        <v>152.54976731389715</v>
      </c>
      <c r="AF19" s="4">
        <f>IF(ISBLANK(X19),"",X19/RelMean*100)</f>
        <v>111.32436322470112</v>
      </c>
      <c r="AG19" s="9">
        <f>IF(ISBLANK(Y19),"",Y19/RelMean*100)</f>
        <v>58.749376283906351</v>
      </c>
      <c r="AH19" s="7">
        <f t="shared" si="8"/>
        <v>102.46044515825881</v>
      </c>
      <c r="AI19" s="5">
        <f t="shared" si="9"/>
        <v>27.141219079277434</v>
      </c>
    </row>
    <row r="20" spans="1:35" x14ac:dyDescent="0.25">
      <c r="A20" s="11" t="s">
        <v>92</v>
      </c>
      <c r="B20">
        <v>0.12916671428571427</v>
      </c>
      <c r="C20">
        <v>9.4259333333333334E-2</v>
      </c>
      <c r="D20">
        <v>0.10272727272727272</v>
      </c>
      <c r="E20">
        <v>0.11138883333333333</v>
      </c>
      <c r="F20">
        <v>8.5740888888888908E-2</v>
      </c>
      <c r="G20">
        <v>9.3703777777777775E-2</v>
      </c>
      <c r="H20">
        <v>9.0625125000000001E-2</v>
      </c>
      <c r="I20" s="3">
        <v>0.115926</v>
      </c>
      <c r="J20">
        <v>9.3333214285714283E-2</v>
      </c>
      <c r="K20">
        <v>0.11037033333333333</v>
      </c>
      <c r="L20">
        <v>0.12212118181818181</v>
      </c>
      <c r="M20">
        <v>0.13444433333333336</v>
      </c>
      <c r="N20">
        <v>8.9259222222222212E-2</v>
      </c>
      <c r="O20">
        <v>8.7777777777777774E-2</v>
      </c>
      <c r="P20">
        <v>0.10250000000000001</v>
      </c>
      <c r="Q20" s="3">
        <v>0.12814822222222222</v>
      </c>
      <c r="R20" s="4">
        <f t="shared" si="0"/>
        <v>72.257945711356413</v>
      </c>
      <c r="S20" s="4">
        <f t="shared" si="1"/>
        <v>117.09220660730327</v>
      </c>
      <c r="T20" s="4">
        <f t="shared" si="2"/>
        <v>118.87902654867257</v>
      </c>
      <c r="U20" s="4">
        <f t="shared" si="3"/>
        <v>120.69821481207725</v>
      </c>
      <c r="V20" s="4">
        <f t="shared" si="4"/>
        <v>104.10344863335006</v>
      </c>
      <c r="W20" s="4">
        <f t="shared" si="5"/>
        <v>93.675815276035351</v>
      </c>
      <c r="X20" s="4">
        <f t="shared" si="6"/>
        <v>113.10329227132101</v>
      </c>
      <c r="Y20" s="5">
        <f t="shared" si="7"/>
        <v>110.54312425359471</v>
      </c>
      <c r="Z20" s="4">
        <f>IF(ISBLANK(R20),"",R20/RelMean*100)</f>
        <v>70.523144885005223</v>
      </c>
      <c r="AA20" s="4">
        <f>IF(ISBLANK(S20),"",S20/RelMean*100)</f>
        <v>114.28100494938363</v>
      </c>
      <c r="AB20" s="4">
        <f>IF(ISBLANK(T20),"",T20/RelMean*100)</f>
        <v>116.02492612466828</v>
      </c>
      <c r="AC20" s="4">
        <f>IF(ISBLANK(U20),"",U20/RelMean*100)</f>
        <v>117.8004385089489</v>
      </c>
      <c r="AD20" s="4">
        <f>IF(ISBLANK(V20),"",V20/RelMean*100)</f>
        <v>101.60408684085505</v>
      </c>
      <c r="AE20" s="4">
        <f>IF(ISBLANK(W20),"",W20/RelMean*100)</f>
        <v>91.426804732625371</v>
      </c>
      <c r="AF20" s="4">
        <f>IF(ISBLANK(X20),"",X20/RelMean*100)</f>
        <v>110.38785823892934</v>
      </c>
      <c r="AG20" s="9">
        <f>IF(ISBLANK(Y20),"",Y20/RelMean*100)</f>
        <v>107.88915587109145</v>
      </c>
      <c r="AH20" s="7">
        <f t="shared" si="8"/>
        <v>103.74217751893841</v>
      </c>
      <c r="AI20" s="5">
        <f t="shared" si="9"/>
        <v>15.949357212379986</v>
      </c>
    </row>
    <row r="21" spans="1:35" x14ac:dyDescent="0.25">
      <c r="A21" s="11" t="s">
        <v>93</v>
      </c>
      <c r="B21">
        <v>0.46698349999999994</v>
      </c>
      <c r="C21">
        <v>0.74134988888888886</v>
      </c>
      <c r="D21">
        <v>0.63867463636363631</v>
      </c>
      <c r="E21">
        <v>0.44420666666666664</v>
      </c>
      <c r="F21">
        <v>0.78516577777777785</v>
      </c>
      <c r="G21">
        <v>0.69341066666666662</v>
      </c>
      <c r="H21">
        <v>0.579903375</v>
      </c>
      <c r="I21" s="3">
        <v>0.64301688888888897</v>
      </c>
      <c r="J21">
        <v>0.49674700000000005</v>
      </c>
      <c r="K21">
        <v>0.69084344444444445</v>
      </c>
      <c r="L21">
        <v>0.49903063636363637</v>
      </c>
      <c r="M21">
        <v>0.49088866666666675</v>
      </c>
      <c r="N21">
        <v>0.68221277777777778</v>
      </c>
      <c r="O21">
        <v>0.66531677777777765</v>
      </c>
      <c r="P21">
        <v>0.56054062500000001</v>
      </c>
      <c r="Q21" s="3">
        <v>0.64378888888888885</v>
      </c>
      <c r="R21" s="4">
        <f t="shared" si="0"/>
        <v>106.37356566131353</v>
      </c>
      <c r="S21" s="4">
        <f t="shared" si="1"/>
        <v>93.187232479370593</v>
      </c>
      <c r="T21" s="4">
        <f t="shared" si="2"/>
        <v>78.135345910230868</v>
      </c>
      <c r="U21" s="4">
        <f t="shared" si="3"/>
        <v>110.50907235370926</v>
      </c>
      <c r="V21" s="4">
        <f t="shared" si="4"/>
        <v>86.887737225203111</v>
      </c>
      <c r="W21" s="4">
        <f t="shared" si="5"/>
        <v>95.948448698670774</v>
      </c>
      <c r="X21" s="4">
        <f t="shared" si="6"/>
        <v>96.661038573883104</v>
      </c>
      <c r="Y21" s="5">
        <f t="shared" si="7"/>
        <v>100.12005905495482</v>
      </c>
      <c r="Z21" s="4">
        <f>IF(ISBLANK(R21),"",R21/RelMean*100)</f>
        <v>120.08732189849134</v>
      </c>
      <c r="AA21" s="4">
        <f>IF(ISBLANK(S21),"",S21/RelMean*100)</f>
        <v>105.20099720272493</v>
      </c>
      <c r="AB21" s="4">
        <f>IF(ISBLANK(T21),"",T21/RelMean*100)</f>
        <v>88.20861064154721</v>
      </c>
      <c r="AC21" s="4">
        <f>IF(ISBLANK(U21),"",U21/RelMean*100)</f>
        <v>124.75598107425219</v>
      </c>
      <c r="AD21" s="4">
        <f>IF(ISBLANK(V21),"",V21/RelMean*100)</f>
        <v>98.089366510623847</v>
      </c>
      <c r="AE21" s="4">
        <f>IF(ISBLANK(W21),"",W21/RelMean*100)</f>
        <v>108.31819139375345</v>
      </c>
      <c r="AF21" s="4">
        <f>IF(ISBLANK(X21),"",X21/RelMean*100)</f>
        <v>109.12264886581646</v>
      </c>
      <c r="AG21" s="9">
        <f>IF(ISBLANK(Y21),"",Y21/RelMean*100)</f>
        <v>113.02760874359747</v>
      </c>
      <c r="AH21" s="7">
        <f t="shared" si="8"/>
        <v>108.35134079135086</v>
      </c>
      <c r="AI21" s="5">
        <f t="shared" si="9"/>
        <v>11.651310969160626</v>
      </c>
    </row>
    <row r="22" spans="1:35" x14ac:dyDescent="0.25">
      <c r="A22" s="11" t="s">
        <v>94</v>
      </c>
      <c r="B22">
        <v>79.212586999999999</v>
      </c>
      <c r="C22">
        <v>52.824994888888895</v>
      </c>
      <c r="D22">
        <v>82.18945318181818</v>
      </c>
      <c r="E22">
        <v>77.89192391666667</v>
      </c>
      <c r="F22">
        <v>68.61550166666666</v>
      </c>
      <c r="G22">
        <v>64.340932222222222</v>
      </c>
      <c r="H22">
        <v>65.335630374999994</v>
      </c>
      <c r="I22" s="3">
        <v>58.107671555555562</v>
      </c>
      <c r="J22">
        <v>83.214675285714279</v>
      </c>
      <c r="K22">
        <v>54.057264444444442</v>
      </c>
      <c r="L22">
        <v>78.119496181818192</v>
      </c>
      <c r="M22">
        <v>75.624768833333334</v>
      </c>
      <c r="N22">
        <v>59.791607888888883</v>
      </c>
      <c r="O22">
        <v>57.917839888888892</v>
      </c>
      <c r="P22">
        <v>60.801206874999991</v>
      </c>
      <c r="Q22" s="3">
        <v>55.627353333333332</v>
      </c>
      <c r="R22" s="4">
        <f t="shared" si="0"/>
        <v>105.05233882301341</v>
      </c>
      <c r="S22" s="4">
        <f t="shared" si="1"/>
        <v>102.33273956419207</v>
      </c>
      <c r="T22" s="4">
        <f t="shared" si="2"/>
        <v>95.048078746799177</v>
      </c>
      <c r="U22" s="4">
        <f t="shared" si="3"/>
        <v>97.089357959935782</v>
      </c>
      <c r="V22" s="4">
        <f t="shared" si="4"/>
        <v>87.140087059853983</v>
      </c>
      <c r="W22" s="4">
        <f t="shared" si="5"/>
        <v>90.017097807739091</v>
      </c>
      <c r="X22" s="4">
        <f t="shared" si="6"/>
        <v>93.059799876462122</v>
      </c>
      <c r="Y22" s="5">
        <f t="shared" si="7"/>
        <v>95.731513316876161</v>
      </c>
      <c r="Z22" s="4">
        <f>IF(ISBLANK(R22),"",R22/RelMean*100)</f>
        <v>113.13008423112616</v>
      </c>
      <c r="AA22" s="4">
        <f>IF(ISBLANK(S22),"",S22/RelMean*100)</f>
        <v>110.20136796766715</v>
      </c>
      <c r="AB22" s="4">
        <f>IF(ISBLANK(T22),"",T22/RelMean*100)</f>
        <v>102.35657078275852</v>
      </c>
      <c r="AC22" s="4">
        <f>IF(ISBLANK(U22),"",U22/RelMean*100)</f>
        <v>104.5548092218898</v>
      </c>
      <c r="AD22" s="4">
        <f>IF(ISBLANK(V22),"",V22/RelMean*100)</f>
        <v>93.840513209300937</v>
      </c>
      <c r="AE22" s="4">
        <f>IF(ISBLANK(W22),"",W22/RelMean*100)</f>
        <v>96.938744737400881</v>
      </c>
      <c r="AF22" s="4">
        <f>IF(ISBLANK(X22),"",X22/RelMean*100)</f>
        <v>100.2154080195462</v>
      </c>
      <c r="AG22" s="9">
        <f>IF(ISBLANK(Y22),"",Y22/RelMean*100)</f>
        <v>103.09255640045649</v>
      </c>
      <c r="AH22" s="7">
        <f t="shared" si="8"/>
        <v>103.04125682126826</v>
      </c>
      <c r="AI22" s="5">
        <f t="shared" si="9"/>
        <v>6.388534996598727</v>
      </c>
    </row>
    <row r="23" spans="1:35" ht="15.75" x14ac:dyDescent="0.25">
      <c r="A23" s="13" t="s">
        <v>910</v>
      </c>
      <c r="I23" s="3"/>
      <c r="Q23" s="3"/>
      <c r="R23" s="4" t="str">
        <f t="shared" si="0"/>
        <v/>
      </c>
      <c r="S23" s="4" t="str">
        <f t="shared" si="1"/>
        <v/>
      </c>
      <c r="T23" s="4" t="str">
        <f t="shared" si="2"/>
        <v/>
      </c>
      <c r="U23" s="4" t="str">
        <f t="shared" si="3"/>
        <v/>
      </c>
      <c r="V23" s="4" t="str">
        <f t="shared" si="4"/>
        <v/>
      </c>
      <c r="W23" s="4" t="str">
        <f t="shared" si="5"/>
        <v/>
      </c>
      <c r="X23" s="4" t="str">
        <f t="shared" si="6"/>
        <v/>
      </c>
      <c r="Y23" s="5" t="str">
        <f t="shared" si="7"/>
        <v/>
      </c>
      <c r="Z23" s="4" t="e">
        <f>IF(ISBLANK(R23),"",R23/RelMean*100)</f>
        <v>#VALUE!</v>
      </c>
      <c r="AA23" s="4" t="e">
        <f>IF(ISBLANK(S23),"",S23/RelMean*100)</f>
        <v>#VALUE!</v>
      </c>
      <c r="AB23" s="4" t="e">
        <f>IF(ISBLANK(T23),"",T23/RelMean*100)</f>
        <v>#VALUE!</v>
      </c>
      <c r="AC23" s="4" t="e">
        <f>IF(ISBLANK(U23),"",U23/RelMean*100)</f>
        <v>#VALUE!</v>
      </c>
      <c r="AD23" s="4" t="e">
        <f>IF(ISBLANK(V23),"",V23/RelMean*100)</f>
        <v>#VALUE!</v>
      </c>
      <c r="AE23" s="4" t="e">
        <f>IF(ISBLANK(W23),"",W23/RelMean*100)</f>
        <v>#VALUE!</v>
      </c>
      <c r="AF23" s="4" t="e">
        <f>IF(ISBLANK(X23),"",X23/RelMean*100)</f>
        <v>#VALUE!</v>
      </c>
      <c r="AG23" s="9" t="e">
        <f>IF(ISBLANK(Y23),"",Y23/RelMean*100)</f>
        <v>#VALUE!</v>
      </c>
      <c r="AH23" s="7" t="e">
        <f t="shared" si="8"/>
        <v>#VALUE!</v>
      </c>
      <c r="AI23" s="5" t="e">
        <f t="shared" si="9"/>
        <v>#VALUE!</v>
      </c>
    </row>
    <row r="24" spans="1:35" x14ac:dyDescent="0.25">
      <c r="A24" s="11" t="s">
        <v>96</v>
      </c>
      <c r="B24">
        <v>115</v>
      </c>
      <c r="C24">
        <v>126</v>
      </c>
      <c r="D24">
        <v>92</v>
      </c>
      <c r="E24">
        <v>94</v>
      </c>
      <c r="F24">
        <v>96</v>
      </c>
      <c r="G24">
        <v>107</v>
      </c>
      <c r="H24">
        <v>87</v>
      </c>
      <c r="I24" s="3">
        <v>140</v>
      </c>
      <c r="J24">
        <v>73</v>
      </c>
      <c r="K24">
        <v>132</v>
      </c>
      <c r="L24">
        <v>121</v>
      </c>
      <c r="M24">
        <v>124</v>
      </c>
      <c r="N24">
        <v>119</v>
      </c>
      <c r="O24">
        <v>110</v>
      </c>
      <c r="P24">
        <v>96</v>
      </c>
      <c r="Q24" s="3">
        <v>160</v>
      </c>
      <c r="R24" s="4">
        <f t="shared" si="0"/>
        <v>63.478260869565219</v>
      </c>
      <c r="S24" s="4">
        <f t="shared" si="1"/>
        <v>104.76190476190477</v>
      </c>
      <c r="T24" s="4">
        <f t="shared" si="2"/>
        <v>131.52173913043478</v>
      </c>
      <c r="U24" s="4">
        <f t="shared" si="3"/>
        <v>131.91489361702128</v>
      </c>
      <c r="V24" s="4">
        <f t="shared" si="4"/>
        <v>123.95833333333333</v>
      </c>
      <c r="W24" s="4">
        <f t="shared" si="5"/>
        <v>102.803738317757</v>
      </c>
      <c r="X24" s="4">
        <f t="shared" si="6"/>
        <v>110.34482758620689</v>
      </c>
      <c r="Y24" s="5">
        <f t="shared" si="7"/>
        <v>114.28571428571428</v>
      </c>
      <c r="Z24" s="4">
        <f>IF(ISBLANK(R24),"",R24/RelMean*100)</f>
        <v>57.564337069978514</v>
      </c>
      <c r="AA24" s="4">
        <f>IF(ISBLANK(S24),"",S24/RelMean*100)</f>
        <v>95.001808732580315</v>
      </c>
      <c r="AB24" s="4">
        <f>IF(ISBLANK(T24),"",T24/RelMean*100)</f>
        <v>119.26857509361986</v>
      </c>
      <c r="AC24" s="4">
        <f>IF(ISBLANK(U24),"",U24/RelMean*100)</f>
        <v>119.62510151820074</v>
      </c>
      <c r="AD24" s="4">
        <f>IF(ISBLANK(V24),"",V24/RelMean*100)</f>
        <v>112.40981061681732</v>
      </c>
      <c r="AE24" s="4">
        <f>IF(ISBLANK(W24),"",W24/RelMean*100)</f>
        <v>93.22607398991525</v>
      </c>
      <c r="AF24" s="4">
        <f>IF(ISBLANK(X24),"",X24/RelMean*100)</f>
        <v>100.06460104748271</v>
      </c>
      <c r="AG24" s="9">
        <f>IF(ISBLANK(Y24),"",Y24/RelMean*100)</f>
        <v>103.6383367991785</v>
      </c>
      <c r="AH24" s="7">
        <f t="shared" si="8"/>
        <v>100.09983060847165</v>
      </c>
      <c r="AI24" s="5">
        <f t="shared" si="9"/>
        <v>19.982997815593563</v>
      </c>
    </row>
    <row r="25" spans="1:35" x14ac:dyDescent="0.25">
      <c r="A25" s="11" t="s">
        <v>97</v>
      </c>
      <c r="B25">
        <v>0.191667</v>
      </c>
      <c r="C25">
        <v>0.21</v>
      </c>
      <c r="D25">
        <v>0.153333</v>
      </c>
      <c r="E25">
        <v>0.156667</v>
      </c>
      <c r="F25">
        <v>0.16</v>
      </c>
      <c r="G25">
        <v>0.17833299999999999</v>
      </c>
      <c r="H25">
        <v>0.14499999999999999</v>
      </c>
      <c r="I25" s="3">
        <v>0.23333300000000001</v>
      </c>
      <c r="J25">
        <v>0.121667</v>
      </c>
      <c r="K25">
        <v>0.22</v>
      </c>
      <c r="L25">
        <v>0.20166700000000001</v>
      </c>
      <c r="M25">
        <v>0.20666699999999999</v>
      </c>
      <c r="N25">
        <v>0.19833300000000001</v>
      </c>
      <c r="O25">
        <v>0.183333</v>
      </c>
      <c r="P25">
        <v>0.16</v>
      </c>
      <c r="Q25" s="3">
        <v>0.26666699999999999</v>
      </c>
      <c r="R25" s="4">
        <f t="shared" si="0"/>
        <v>63.478324385522797</v>
      </c>
      <c r="S25" s="4">
        <f t="shared" si="1"/>
        <v>104.76190476190477</v>
      </c>
      <c r="T25" s="4">
        <f t="shared" si="2"/>
        <v>131.52224243965748</v>
      </c>
      <c r="U25" s="4">
        <f t="shared" si="3"/>
        <v>131.91482571313676</v>
      </c>
      <c r="V25" s="4">
        <f t="shared" si="4"/>
        <v>123.95812500000001</v>
      </c>
      <c r="W25" s="4">
        <f t="shared" si="5"/>
        <v>102.80374355839919</v>
      </c>
      <c r="X25" s="4">
        <f t="shared" si="6"/>
        <v>110.34482758620692</v>
      </c>
      <c r="Y25" s="5">
        <f t="shared" si="7"/>
        <v>114.28602040860056</v>
      </c>
      <c r="Z25" s="4">
        <f>IF(ISBLANK(R25),"",R25/RelMean*100)</f>
        <v>57.564442595859489</v>
      </c>
      <c r="AA25" s="4">
        <f>IF(ISBLANK(S25),"",S25/RelMean*100)</f>
        <v>95.001887829838921</v>
      </c>
      <c r="AB25" s="4">
        <f>IF(ISBLANK(T25),"",T25/RelMean*100)</f>
        <v>119.26913081409344</v>
      </c>
      <c r="AC25" s="4">
        <f>IF(ISBLANK(U25),"",U25/RelMean*100)</f>
        <v>119.62513953878889</v>
      </c>
      <c r="AD25" s="4">
        <f>IF(ISBLANK(V25),"",V25/RelMean*100)</f>
        <v>112.409715283541</v>
      </c>
      <c r="AE25" s="4">
        <f>IF(ISBLANK(W25),"",W25/RelMean*100)</f>
        <v>93.226156361124481</v>
      </c>
      <c r="AF25" s="4">
        <f>IF(ISBLANK(X25),"",X25/RelMean*100)</f>
        <v>100.06468435995575</v>
      </c>
      <c r="AG25" s="9">
        <f>IF(ISBLANK(Y25),"",Y25/RelMean*100)</f>
        <v>103.63870069041255</v>
      </c>
      <c r="AH25" s="7">
        <f t="shared" si="8"/>
        <v>100.09998218420182</v>
      </c>
      <c r="AI25" s="5">
        <f t="shared" si="9"/>
        <v>19.9830410529216</v>
      </c>
    </row>
    <row r="26" spans="1:35" x14ac:dyDescent="0.25">
      <c r="A26" s="11" t="s">
        <v>98</v>
      </c>
      <c r="B26">
        <v>0.172955</v>
      </c>
      <c r="C26">
        <v>0.20900199999999999</v>
      </c>
      <c r="D26">
        <v>0.30462099999999998</v>
      </c>
      <c r="E26">
        <v>0.34920400000000001</v>
      </c>
      <c r="F26">
        <v>0.66008999999999995</v>
      </c>
      <c r="G26">
        <v>0.33066200000000001</v>
      </c>
      <c r="H26">
        <v>0.29542499999999999</v>
      </c>
      <c r="I26" s="3">
        <v>0.22323899999999999</v>
      </c>
      <c r="J26">
        <v>0.25863999999999998</v>
      </c>
      <c r="K26">
        <v>0.22853899999999999</v>
      </c>
      <c r="L26">
        <v>0.34152100000000002</v>
      </c>
      <c r="M26">
        <v>0.349549</v>
      </c>
      <c r="N26">
        <v>0.388596</v>
      </c>
      <c r="O26">
        <v>0.38067299999999998</v>
      </c>
      <c r="P26">
        <v>0.44368099999999999</v>
      </c>
      <c r="Q26" s="3">
        <v>0.34557300000000002</v>
      </c>
      <c r="R26" s="4">
        <f t="shared" si="0"/>
        <v>149.54178832644328</v>
      </c>
      <c r="S26" s="4">
        <f t="shared" si="1"/>
        <v>109.34775743772786</v>
      </c>
      <c r="T26" s="4">
        <f t="shared" si="2"/>
        <v>112.11341306081985</v>
      </c>
      <c r="U26" s="4">
        <f t="shared" si="3"/>
        <v>100.0987961191739</v>
      </c>
      <c r="V26" s="4">
        <f t="shared" si="4"/>
        <v>58.870154069899563</v>
      </c>
      <c r="W26" s="4">
        <f t="shared" si="5"/>
        <v>115.1245078055537</v>
      </c>
      <c r="X26" s="4">
        <f t="shared" si="6"/>
        <v>150.18397224337818</v>
      </c>
      <c r="Y26" s="5">
        <f t="shared" si="7"/>
        <v>154.79956459220836</v>
      </c>
      <c r="Z26" s="4">
        <f>IF(ISBLANK(R26),"",R26/RelMean*100)</f>
        <v>127.14858437671157</v>
      </c>
      <c r="AA26" s="4">
        <f>IF(ISBLANK(S26),"",S26/RelMean*100)</f>
        <v>92.973427150841488</v>
      </c>
      <c r="AB26" s="4">
        <f>IF(ISBLANK(T26),"",T26/RelMean*100)</f>
        <v>95.324938399202395</v>
      </c>
      <c r="AC26" s="4">
        <f>IF(ISBLANK(U26),"",U26/RelMean*100)</f>
        <v>85.109455803635441</v>
      </c>
      <c r="AD26" s="4">
        <f>IF(ISBLANK(V26),"",V26/RelMean*100)</f>
        <v>50.054615741832919</v>
      </c>
      <c r="AE26" s="4">
        <f>IF(ISBLANK(W26),"",W26/RelMean*100)</f>
        <v>97.885135374922029</v>
      </c>
      <c r="AF26" s="4">
        <f>IF(ISBLANK(X26),"",X26/RelMean*100)</f>
        <v>127.69460416731032</v>
      </c>
      <c r="AG26" s="9">
        <f>IF(ISBLANK(Y26),"",Y26/RelMean*100)</f>
        <v>131.619032514607</v>
      </c>
      <c r="AH26" s="7">
        <f t="shared" si="8"/>
        <v>100.9762241911329</v>
      </c>
      <c r="AI26" s="5">
        <f t="shared" si="9"/>
        <v>27.485443253658111</v>
      </c>
    </row>
    <row r="27" spans="1:35" x14ac:dyDescent="0.25">
      <c r="A27" s="11" t="s">
        <v>99</v>
      </c>
      <c r="B27">
        <v>172.89565200000001</v>
      </c>
      <c r="C27">
        <v>78.769841</v>
      </c>
      <c r="D27">
        <v>183.98912999999999</v>
      </c>
      <c r="E27">
        <v>217.43617</v>
      </c>
      <c r="F27">
        <v>121.104167</v>
      </c>
      <c r="G27">
        <v>96.878505000000004</v>
      </c>
      <c r="H27">
        <v>94.666667000000004</v>
      </c>
      <c r="I27" s="3">
        <v>86.678571000000005</v>
      </c>
      <c r="J27">
        <v>185.46575300000001</v>
      </c>
      <c r="K27">
        <v>83.166667000000004</v>
      </c>
      <c r="L27">
        <v>178.32231400000001</v>
      </c>
      <c r="M27">
        <v>201.75806499999999</v>
      </c>
      <c r="N27">
        <v>84.352941000000001</v>
      </c>
      <c r="O27">
        <v>90.172726999999995</v>
      </c>
      <c r="P27">
        <v>98.21875</v>
      </c>
      <c r="Q27" s="3">
        <v>88.75</v>
      </c>
      <c r="R27" s="4">
        <f t="shared" si="0"/>
        <v>107.27033956874752</v>
      </c>
      <c r="S27" s="4">
        <f t="shared" si="1"/>
        <v>105.5818647647137</v>
      </c>
      <c r="T27" s="4">
        <f t="shared" si="2"/>
        <v>96.920026742884218</v>
      </c>
      <c r="U27" s="4">
        <f t="shared" si="3"/>
        <v>92.789559805068293</v>
      </c>
      <c r="V27" s="4">
        <f t="shared" si="4"/>
        <v>69.653211024522392</v>
      </c>
      <c r="W27" s="4">
        <f t="shared" si="5"/>
        <v>93.078157017389969</v>
      </c>
      <c r="X27" s="4">
        <f t="shared" si="6"/>
        <v>103.75220033890069</v>
      </c>
      <c r="Y27" s="5">
        <f t="shared" si="7"/>
        <v>102.38978212965692</v>
      </c>
      <c r="Z27" s="4">
        <f>IF(ISBLANK(R27),"",R27/RelMean*100)</f>
        <v>113.68604735320508</v>
      </c>
      <c r="AA27" s="4">
        <f>IF(ISBLANK(S27),"",S27/RelMean*100)</f>
        <v>111.8965869366744</v>
      </c>
      <c r="AB27" s="4">
        <f>IF(ISBLANK(T27),"",T27/RelMean*100)</f>
        <v>102.71669497889415</v>
      </c>
      <c r="AC27" s="4">
        <f>IF(ISBLANK(U27),"",U27/RelMean*100)</f>
        <v>98.339189866379371</v>
      </c>
      <c r="AD27" s="4">
        <f>IF(ISBLANK(V27),"",V27/RelMean*100)</f>
        <v>73.81908436825411</v>
      </c>
      <c r="AE27" s="4">
        <f>IF(ISBLANK(W27),"",W27/RelMean*100)</f>
        <v>98.645047724925433</v>
      </c>
      <c r="AF27" s="4">
        <f>IF(ISBLANK(X27),"",X27/RelMean*100)</f>
        <v>109.95749251980489</v>
      </c>
      <c r="AG27" s="9">
        <f>IF(ISBLANK(Y27),"",Y27/RelMean*100)</f>
        <v>108.5135897441295</v>
      </c>
      <c r="AH27" s="7">
        <f t="shared" si="8"/>
        <v>102.19671668653336</v>
      </c>
      <c r="AI27" s="5">
        <f t="shared" si="9"/>
        <v>12.869010328219817</v>
      </c>
    </row>
    <row r="28" spans="1:35" x14ac:dyDescent="0.25">
      <c r="A28" s="11" t="s">
        <v>100</v>
      </c>
      <c r="B28">
        <v>1.06E-3</v>
      </c>
      <c r="C28">
        <v>2.7399999999999998E-3</v>
      </c>
      <c r="D28">
        <v>2.1419999999999998E-3</v>
      </c>
      <c r="E28">
        <v>1.6410000000000001E-3</v>
      </c>
      <c r="F28">
        <v>4.6979999999999999E-3</v>
      </c>
      <c r="G28">
        <v>3.4390000000000002E-3</v>
      </c>
      <c r="H28">
        <v>3.4919999999999999E-3</v>
      </c>
      <c r="I28" s="3">
        <v>2.673E-3</v>
      </c>
      <c r="J28">
        <v>1.768E-3</v>
      </c>
      <c r="K28">
        <v>2.9350000000000001E-3</v>
      </c>
      <c r="L28">
        <v>2.4550000000000002E-3</v>
      </c>
      <c r="M28">
        <v>2.0790000000000001E-3</v>
      </c>
      <c r="N28">
        <v>4.986E-3</v>
      </c>
      <c r="O28">
        <v>4.3949999999999996E-3</v>
      </c>
      <c r="P28">
        <v>5.1900000000000002E-3</v>
      </c>
      <c r="Q28" s="3">
        <v>4.143E-3</v>
      </c>
      <c r="R28" s="4">
        <f t="shared" si="0"/>
        <v>166.79245283018869</v>
      </c>
      <c r="S28" s="4">
        <f t="shared" si="1"/>
        <v>107.11678832116789</v>
      </c>
      <c r="T28" s="4">
        <f t="shared" si="2"/>
        <v>114.61251167133521</v>
      </c>
      <c r="U28" s="4">
        <f t="shared" si="3"/>
        <v>126.69104204753199</v>
      </c>
      <c r="V28" s="4">
        <f t="shared" si="4"/>
        <v>106.13026819923373</v>
      </c>
      <c r="W28" s="4">
        <f t="shared" si="5"/>
        <v>127.79877871474264</v>
      </c>
      <c r="X28" s="4">
        <f t="shared" si="6"/>
        <v>148.62542955326461</v>
      </c>
      <c r="Y28" s="5">
        <f t="shared" si="7"/>
        <v>154.99438832772165</v>
      </c>
      <c r="Z28" s="4">
        <f>IF(ISBLANK(R28),"",R28/RelMean*100)</f>
        <v>117.51887605318305</v>
      </c>
      <c r="AA28" s="4">
        <f>IF(ISBLANK(S28),"",S28/RelMean*100)</f>
        <v>75.472507036912873</v>
      </c>
      <c r="AB28" s="4">
        <f>IF(ISBLANK(T28),"",T28/RelMean*100)</f>
        <v>80.753855013815027</v>
      </c>
      <c r="AC28" s="4">
        <f>IF(ISBLANK(U28),"",U28/RelMean*100)</f>
        <v>89.264164024199459</v>
      </c>
      <c r="AD28" s="4">
        <f>IF(ISBLANK(V28),"",V28/RelMean*100)</f>
        <v>74.777423212876869</v>
      </c>
      <c r="AE28" s="4">
        <f>IF(ISBLANK(W28),"",W28/RelMean*100)</f>
        <v>90.044654783131037</v>
      </c>
      <c r="AF28" s="4">
        <f>IF(ISBLANK(X28),"",X28/RelMean*100)</f>
        <v>104.71872760216326</v>
      </c>
      <c r="AG28" s="9">
        <f>IF(ISBLANK(Y28),"",Y28/RelMean*100)</f>
        <v>109.20617810788409</v>
      </c>
      <c r="AH28" s="7">
        <f t="shared" si="8"/>
        <v>92.7195482292707</v>
      </c>
      <c r="AI28" s="5">
        <f t="shared" si="9"/>
        <v>16.091030154224693</v>
      </c>
    </row>
    <row r="29" spans="1:35" x14ac:dyDescent="0.25">
      <c r="A29" s="11" t="s">
        <v>101</v>
      </c>
      <c r="B29">
        <v>4.8899999999999996E-4</v>
      </c>
      <c r="C29">
        <v>1.1509999999999999E-3</v>
      </c>
      <c r="D29">
        <v>8.0699999999999999E-4</v>
      </c>
      <c r="E29">
        <v>6.0300000000000002E-4</v>
      </c>
      <c r="F29">
        <v>1.7129999999999999E-3</v>
      </c>
      <c r="G29">
        <v>1.516E-3</v>
      </c>
      <c r="H29">
        <v>1.1310000000000001E-3</v>
      </c>
      <c r="I29" s="3">
        <v>9.990000000000001E-4</v>
      </c>
      <c r="J29">
        <v>5.1900000000000004E-4</v>
      </c>
      <c r="K29">
        <v>1.072E-3</v>
      </c>
      <c r="L29">
        <v>9.6699999999999998E-4</v>
      </c>
      <c r="M29">
        <v>7.94E-4</v>
      </c>
      <c r="N29">
        <v>1.769E-3</v>
      </c>
      <c r="O29">
        <v>1.6130000000000001E-3</v>
      </c>
      <c r="P29">
        <v>9.8200000000000002E-4</v>
      </c>
      <c r="Q29" s="3">
        <v>1.108E-3</v>
      </c>
      <c r="R29" s="4">
        <f t="shared" si="0"/>
        <v>106.13496932515338</v>
      </c>
      <c r="S29" s="4">
        <f t="shared" si="1"/>
        <v>93.136403127715042</v>
      </c>
      <c r="T29" s="4">
        <f t="shared" si="2"/>
        <v>119.8265179677819</v>
      </c>
      <c r="U29" s="4">
        <f t="shared" si="3"/>
        <v>131.67495854063017</v>
      </c>
      <c r="V29" s="4">
        <f t="shared" si="4"/>
        <v>103.26911850554583</v>
      </c>
      <c r="W29" s="4">
        <f t="shared" si="5"/>
        <v>106.39841688654354</v>
      </c>
      <c r="X29" s="4">
        <f t="shared" si="6"/>
        <v>86.825817860300617</v>
      </c>
      <c r="Y29" s="5">
        <f t="shared" si="7"/>
        <v>110.9109109109109</v>
      </c>
      <c r="Z29" s="4">
        <f>IF(ISBLANK(R29),"",R29/RelMean*100)</f>
        <v>89.168436903092129</v>
      </c>
      <c r="AA29" s="4">
        <f>IF(ISBLANK(S29),"",S29/RelMean*100)</f>
        <v>78.247796541327261</v>
      </c>
      <c r="AB29" s="4">
        <f>IF(ISBLANK(T29),"",T29/RelMean*100)</f>
        <v>100.67128086685351</v>
      </c>
      <c r="AC29" s="4">
        <f>IF(ISBLANK(U29),"",U29/RelMean*100)</f>
        <v>110.62565247818699</v>
      </c>
      <c r="AD29" s="4">
        <f>IF(ISBLANK(V29),"",V29/RelMean*100)</f>
        <v>86.760715493205339</v>
      </c>
      <c r="AE29" s="4">
        <f>IF(ISBLANK(W29),"",W29/RelMean*100)</f>
        <v>89.389770243125668</v>
      </c>
      <c r="AF29" s="4">
        <f>IF(ISBLANK(X29),"",X29/RelMean*100)</f>
        <v>72.946009318728343</v>
      </c>
      <c r="AG29" s="9">
        <f>IF(ISBLANK(Y29),"",Y29/RelMean*100)</f>
        <v>93.180905636538554</v>
      </c>
      <c r="AH29" s="7">
        <f t="shared" si="8"/>
        <v>90.12382093513223</v>
      </c>
      <c r="AI29" s="5">
        <f t="shared" si="9"/>
        <v>11.891167244845324</v>
      </c>
    </row>
    <row r="30" spans="1:35" x14ac:dyDescent="0.25">
      <c r="A30" s="11" t="s">
        <v>102</v>
      </c>
      <c r="B30">
        <v>0.48554000000000003</v>
      </c>
      <c r="C30">
        <v>0.49759300000000001</v>
      </c>
      <c r="D30">
        <v>0.40846500000000002</v>
      </c>
      <c r="E30">
        <v>0.41211100000000001</v>
      </c>
      <c r="F30">
        <v>0.43839400000000001</v>
      </c>
      <c r="G30">
        <v>0.46485599999999999</v>
      </c>
      <c r="H30">
        <v>0.35664499999999999</v>
      </c>
      <c r="I30" s="3">
        <v>0.43880799999999998</v>
      </c>
      <c r="J30">
        <v>0.35711500000000002</v>
      </c>
      <c r="K30">
        <v>0.452988</v>
      </c>
      <c r="L30">
        <v>0.417881</v>
      </c>
      <c r="M30">
        <v>0.41295300000000001</v>
      </c>
      <c r="N30">
        <v>0.41083199999999997</v>
      </c>
      <c r="O30">
        <v>0.405912</v>
      </c>
      <c r="P30">
        <v>0.19500000000000001</v>
      </c>
      <c r="Q30" s="3">
        <v>0.34544599999999998</v>
      </c>
      <c r="R30" s="4">
        <f t="shared" si="0"/>
        <v>73.550067965564111</v>
      </c>
      <c r="S30" s="4">
        <f t="shared" si="1"/>
        <v>91.035846565365674</v>
      </c>
      <c r="T30" s="4">
        <f t="shared" si="2"/>
        <v>102.30521586916872</v>
      </c>
      <c r="U30" s="4">
        <f t="shared" si="3"/>
        <v>100.20431388630733</v>
      </c>
      <c r="V30" s="4">
        <f t="shared" si="4"/>
        <v>93.712961400019154</v>
      </c>
      <c r="W30" s="4">
        <f t="shared" si="5"/>
        <v>87.319944240797156</v>
      </c>
      <c r="X30" s="4">
        <f t="shared" si="6"/>
        <v>54.676218648796429</v>
      </c>
      <c r="Y30" s="5">
        <f t="shared" si="7"/>
        <v>78.723724271207445</v>
      </c>
      <c r="Z30" s="4">
        <f>IF(ISBLANK(R30),"",R30/RelMean*100)</f>
        <v>81.676489599297</v>
      </c>
      <c r="AA30" s="4">
        <f>IF(ISBLANK(S30),"",S30/RelMean*100)</f>
        <v>101.09424206977695</v>
      </c>
      <c r="AB30" s="4">
        <f>IF(ISBLANK(T30),"",T30/RelMean*100)</f>
        <v>113.6087447778323</v>
      </c>
      <c r="AC30" s="4">
        <f>IF(ISBLANK(U30),"",U30/RelMean*100)</f>
        <v>111.27571771614882</v>
      </c>
      <c r="AD30" s="4">
        <f>IF(ISBLANK(V30),"",V30/RelMean*100)</f>
        <v>104.06714675901631</v>
      </c>
      <c r="AE30" s="4">
        <f>IF(ISBLANK(W30),"",W30/RelMean*100)</f>
        <v>96.967776031612019</v>
      </c>
      <c r="AF30" s="4">
        <f>IF(ISBLANK(X30),"",X30/RelMean*100)</f>
        <v>60.717300844482757</v>
      </c>
      <c r="AG30" s="9">
        <f>IF(ISBLANK(Y30),"",Y30/RelMean*100)</f>
        <v>87.421774370971974</v>
      </c>
      <c r="AH30" s="7">
        <f t="shared" si="8"/>
        <v>94.603649021142274</v>
      </c>
      <c r="AI30" s="5">
        <f t="shared" si="9"/>
        <v>17.498577861927881</v>
      </c>
    </row>
    <row r="31" spans="1:35" x14ac:dyDescent="0.25">
      <c r="A31" s="11" t="s">
        <v>103</v>
      </c>
      <c r="B31">
        <v>13.878261</v>
      </c>
      <c r="C31">
        <v>9.9365079999999999</v>
      </c>
      <c r="D31">
        <v>11.076086999999999</v>
      </c>
      <c r="E31">
        <v>11.244681</v>
      </c>
      <c r="F31">
        <v>9.34375</v>
      </c>
      <c r="G31">
        <v>9.2523359999999997</v>
      </c>
      <c r="H31">
        <v>10.402298999999999</v>
      </c>
      <c r="I31" s="3">
        <v>10.928571</v>
      </c>
      <c r="J31">
        <v>14.136986</v>
      </c>
      <c r="K31">
        <v>9.6060610000000004</v>
      </c>
      <c r="L31">
        <v>10.983471</v>
      </c>
      <c r="M31">
        <v>11.080645000000001</v>
      </c>
      <c r="N31">
        <v>8.5714290000000002</v>
      </c>
      <c r="O31">
        <v>9.0363640000000007</v>
      </c>
      <c r="P31">
        <v>10.302083</v>
      </c>
      <c r="Q31" s="3">
        <v>11.0375</v>
      </c>
      <c r="R31" s="4">
        <f t="shared" si="0"/>
        <v>101.86424653636359</v>
      </c>
      <c r="S31" s="4">
        <f t="shared" si="1"/>
        <v>96.674415196968596</v>
      </c>
      <c r="T31" s="4">
        <f t="shared" si="2"/>
        <v>99.163820219180295</v>
      </c>
      <c r="U31" s="4">
        <f t="shared" si="3"/>
        <v>98.541212507495771</v>
      </c>
      <c r="V31" s="4">
        <f t="shared" si="4"/>
        <v>91.73435719063545</v>
      </c>
      <c r="W31" s="4">
        <f t="shared" si="5"/>
        <v>97.665757058541772</v>
      </c>
      <c r="X31" s="4">
        <f t="shared" si="6"/>
        <v>99.036597582899716</v>
      </c>
      <c r="Y31" s="5">
        <f t="shared" si="7"/>
        <v>100.9967359868001</v>
      </c>
      <c r="Z31" s="4">
        <f>IF(ISBLANK(R31),"",R31/RelMean*100)</f>
        <v>102.62359235565057</v>
      </c>
      <c r="AA31" s="4">
        <f>IF(ISBLANK(S31),"",S31/RelMean*100)</f>
        <v>97.39507348000636</v>
      </c>
      <c r="AB31" s="4">
        <f>IF(ISBLANK(T31),"",T31/RelMean*100)</f>
        <v>99.903035742470692</v>
      </c>
      <c r="AC31" s="4">
        <f>IF(ISBLANK(U31),"",U31/RelMean*100)</f>
        <v>99.275786808973805</v>
      </c>
      <c r="AD31" s="4">
        <f>IF(ISBLANK(V31),"",V31/RelMean*100)</f>
        <v>92.418189869776896</v>
      </c>
      <c r="AE31" s="4">
        <f>IF(ISBLANK(W31),"",W31/RelMean*100)</f>
        <v>98.393805287744811</v>
      </c>
      <c r="AF31" s="4">
        <f>IF(ISBLANK(X31),"",X31/RelMean*100)</f>
        <v>99.774864726554824</v>
      </c>
      <c r="AG31" s="9">
        <f>IF(ISBLANK(Y31),"",Y31/RelMean*100)</f>
        <v>101.74961495897048</v>
      </c>
      <c r="AH31" s="7">
        <f t="shared" si="8"/>
        <v>98.94174540376855</v>
      </c>
      <c r="AI31" s="5">
        <f t="shared" si="9"/>
        <v>3.1263645755176541</v>
      </c>
    </row>
    <row r="32" spans="1:35" x14ac:dyDescent="0.25">
      <c r="A32" s="11" t="s">
        <v>104</v>
      </c>
      <c r="B32">
        <v>12.337839000000001</v>
      </c>
      <c r="C32">
        <v>7.8397750000000004</v>
      </c>
      <c r="D32">
        <v>16.458777000000001</v>
      </c>
      <c r="E32">
        <v>18.952567999999999</v>
      </c>
      <c r="F32">
        <v>12.723618999999999</v>
      </c>
      <c r="G32">
        <v>10.274559</v>
      </c>
      <c r="H32">
        <v>8.8579170000000005</v>
      </c>
      <c r="I32" s="3">
        <v>7.8386199999999997</v>
      </c>
      <c r="J32">
        <v>12.814238</v>
      </c>
      <c r="K32">
        <v>8.5142000000000007</v>
      </c>
      <c r="L32">
        <v>15.972576999999999</v>
      </c>
      <c r="M32">
        <v>17.597477000000001</v>
      </c>
      <c r="N32">
        <v>9.7032830000000008</v>
      </c>
      <c r="O32">
        <v>9.8320640000000008</v>
      </c>
      <c r="P32">
        <v>9.3474699999999995</v>
      </c>
      <c r="Q32" s="3">
        <v>7.8179340000000002</v>
      </c>
      <c r="R32" s="4">
        <f t="shared" si="0"/>
        <v>103.86128397363589</v>
      </c>
      <c r="S32" s="4">
        <f t="shared" si="1"/>
        <v>108.60260657990824</v>
      </c>
      <c r="T32" s="4">
        <f t="shared" si="2"/>
        <v>97.045953049852969</v>
      </c>
      <c r="U32" s="4">
        <f t="shared" si="3"/>
        <v>92.850092926721075</v>
      </c>
      <c r="V32" s="4">
        <f t="shared" si="4"/>
        <v>76.261973892805187</v>
      </c>
      <c r="W32" s="4">
        <f t="shared" si="5"/>
        <v>95.693294476191141</v>
      </c>
      <c r="X32" s="4">
        <f t="shared" si="6"/>
        <v>105.52672823644656</v>
      </c>
      <c r="Y32" s="5">
        <f t="shared" si="7"/>
        <v>99.736101507663349</v>
      </c>
      <c r="Z32" s="4">
        <f>IF(ISBLANK(R32),"",R32/RelMean*100)</f>
        <v>109.78408178455368</v>
      </c>
      <c r="AA32" s="4">
        <f>IF(ISBLANK(S32),"",S32/RelMean*100)</f>
        <v>114.79578324692039</v>
      </c>
      <c r="AB32" s="4">
        <f>IF(ISBLANK(T32),"",T32/RelMean*100)</f>
        <v>102.58009952187234</v>
      </c>
      <c r="AC32" s="4">
        <f>IF(ISBLANK(U32),"",U32/RelMean*100)</f>
        <v>98.144966108430353</v>
      </c>
      <c r="AD32" s="4">
        <f>IF(ISBLANK(V32),"",V32/RelMean*100)</f>
        <v>80.610892322729768</v>
      </c>
      <c r="AE32" s="4">
        <f>IF(ISBLANK(W32),"",W32/RelMean*100)</f>
        <v>101.15030418528509</v>
      </c>
      <c r="AF32" s="4">
        <f>IF(ISBLANK(X32),"",X32/RelMean*100)</f>
        <v>111.54449973974123</v>
      </c>
      <c r="AG32" s="9">
        <f>IF(ISBLANK(Y32),"",Y32/RelMean*100)</f>
        <v>105.42365649522742</v>
      </c>
      <c r="AH32" s="7">
        <f t="shared" si="8"/>
        <v>103.00428542559504</v>
      </c>
      <c r="AI32" s="5">
        <f t="shared" si="9"/>
        <v>10.640138932023618</v>
      </c>
    </row>
    <row r="33" spans="1:35" x14ac:dyDescent="0.25">
      <c r="A33" s="11" t="s">
        <v>105</v>
      </c>
      <c r="B33">
        <v>99.320644999999999</v>
      </c>
      <c r="C33">
        <v>92.722346999999999</v>
      </c>
      <c r="D33">
        <v>99.471117000000007</v>
      </c>
      <c r="E33">
        <v>99.571296000000004</v>
      </c>
      <c r="F33">
        <v>97.730329999999995</v>
      </c>
      <c r="G33">
        <v>94.022676000000004</v>
      </c>
      <c r="H33">
        <v>86.276974999999993</v>
      </c>
      <c r="I33" s="3">
        <v>95.169005999999996</v>
      </c>
      <c r="J33">
        <v>91.964406999999994</v>
      </c>
      <c r="K33">
        <v>85.120570999999998</v>
      </c>
      <c r="L33">
        <v>98.606160000000003</v>
      </c>
      <c r="M33">
        <v>98.403084000000007</v>
      </c>
      <c r="N33">
        <v>94.805440000000004</v>
      </c>
      <c r="O33">
        <v>88.428279000000003</v>
      </c>
      <c r="P33">
        <v>80.199029999999993</v>
      </c>
      <c r="Q33" s="3">
        <v>92.622789999999995</v>
      </c>
      <c r="R33" s="4">
        <f t="shared" si="0"/>
        <v>92.59344519963598</v>
      </c>
      <c r="S33" s="4">
        <f t="shared" si="1"/>
        <v>91.801570769126457</v>
      </c>
      <c r="T33" s="4">
        <f t="shared" si="2"/>
        <v>99.130444066492188</v>
      </c>
      <c r="U33" s="4">
        <f t="shared" si="3"/>
        <v>98.826758265755629</v>
      </c>
      <c r="V33" s="4">
        <f t="shared" si="4"/>
        <v>97.007182928779642</v>
      </c>
      <c r="W33" s="4">
        <f t="shared" si="5"/>
        <v>94.04994918459883</v>
      </c>
      <c r="X33" s="4">
        <f t="shared" si="6"/>
        <v>92.95531049854263</v>
      </c>
      <c r="Y33" s="5">
        <f t="shared" si="7"/>
        <v>97.324532316750265</v>
      </c>
      <c r="Z33" s="4">
        <f>IF(ISBLANK(R33),"",R33/RelMean*100)</f>
        <v>99.086324603588068</v>
      </c>
      <c r="AA33" s="4">
        <f>IF(ISBLANK(S33),"",S33/RelMean*100)</f>
        <v>98.238921996442656</v>
      </c>
      <c r="AB33" s="4">
        <f>IF(ISBLANK(T33),"",T33/RelMean*100)</f>
        <v>106.08171385882174</v>
      </c>
      <c r="AC33" s="4">
        <f>IF(ISBLANK(U33),"",U33/RelMean*100)</f>
        <v>105.7567328651412</v>
      </c>
      <c r="AD33" s="4">
        <f>IF(ISBLANK(V33),"",V33/RelMean*100)</f>
        <v>103.80956444418483</v>
      </c>
      <c r="AE33" s="4">
        <f>IF(ISBLANK(W33),"",W33/RelMean*100)</f>
        <v>100.64496221912651</v>
      </c>
      <c r="AF33" s="4">
        <f>IF(ISBLANK(X33),"",X33/RelMean*100)</f>
        <v>99.473564784498635</v>
      </c>
      <c r="AG33" s="9">
        <f>IF(ISBLANK(Y33),"",Y33/RelMean*100)</f>
        <v>104.14916714933756</v>
      </c>
      <c r="AH33" s="7">
        <f t="shared" si="8"/>
        <v>102.15511899014264</v>
      </c>
      <c r="AI33" s="5">
        <f t="shared" si="9"/>
        <v>3.1470755563169908</v>
      </c>
    </row>
    <row r="34" spans="1:35" x14ac:dyDescent="0.25">
      <c r="A34" s="11" t="s">
        <v>106</v>
      </c>
      <c r="B34">
        <v>0.25640499999999999</v>
      </c>
      <c r="C34">
        <v>0.36122700000000002</v>
      </c>
      <c r="D34">
        <v>0.37936399999999998</v>
      </c>
      <c r="E34">
        <v>0.26280700000000001</v>
      </c>
      <c r="F34">
        <v>0.39062000000000002</v>
      </c>
      <c r="G34">
        <v>0.30939100000000003</v>
      </c>
      <c r="H34">
        <v>0.33571299999999998</v>
      </c>
      <c r="I34" s="3">
        <v>0.40394000000000002</v>
      </c>
      <c r="J34">
        <v>0.47675400000000001</v>
      </c>
      <c r="K34">
        <v>0.40925299999999998</v>
      </c>
      <c r="L34">
        <v>0.37568200000000002</v>
      </c>
      <c r="M34">
        <v>0.32853199999999999</v>
      </c>
      <c r="N34">
        <v>0.31607000000000002</v>
      </c>
      <c r="O34">
        <v>0.383521</v>
      </c>
      <c r="P34">
        <v>0.34125499999999998</v>
      </c>
      <c r="Q34" s="3">
        <v>0.47838799999999998</v>
      </c>
      <c r="R34" s="4">
        <f t="shared" si="0"/>
        <v>185.93787172637039</v>
      </c>
      <c r="S34" s="4">
        <f t="shared" si="1"/>
        <v>113.29524094267592</v>
      </c>
      <c r="T34" s="4">
        <f t="shared" si="2"/>
        <v>99.029428200883601</v>
      </c>
      <c r="U34" s="4">
        <f t="shared" si="3"/>
        <v>125.00884679631821</v>
      </c>
      <c r="V34" s="4">
        <f t="shared" si="4"/>
        <v>80.914955711433095</v>
      </c>
      <c r="W34" s="4">
        <f t="shared" si="5"/>
        <v>123.95997297917521</v>
      </c>
      <c r="X34" s="4">
        <f t="shared" si="6"/>
        <v>101.65081483290788</v>
      </c>
      <c r="Y34" s="5">
        <f t="shared" si="7"/>
        <v>118.43045996930238</v>
      </c>
      <c r="Z34" s="4">
        <f>IF(ISBLANK(R34),"",R34/RelMean*100)</f>
        <v>183.80552752922307</v>
      </c>
      <c r="AA34" s="4">
        <f>IF(ISBLANK(S34),"",S34/RelMean*100)</f>
        <v>111.99596582811483</v>
      </c>
      <c r="AB34" s="4">
        <f>IF(ISBLANK(T34),"",T34/RelMean*100)</f>
        <v>97.8937540931272</v>
      </c>
      <c r="AC34" s="4">
        <f>IF(ISBLANK(U34),"",U34/RelMean*100)</f>
        <v>123.57523950274604</v>
      </c>
      <c r="AD34" s="4">
        <f>IF(ISBLANK(V34),"",V34/RelMean*100)</f>
        <v>79.987019220218343</v>
      </c>
      <c r="AE34" s="4">
        <f>IF(ISBLANK(W34),"",W34/RelMean*100)</f>
        <v>122.53839421952549</v>
      </c>
      <c r="AF34" s="4">
        <f>IF(ISBLANK(X34),"",X34/RelMean*100)</f>
        <v>100.48507854082412</v>
      </c>
      <c r="AG34" s="9">
        <f>IF(ISBLANK(Y34),"",Y34/RelMean*100)</f>
        <v>117.07229392310461</v>
      </c>
      <c r="AH34" s="7">
        <f t="shared" si="8"/>
        <v>117.16915910711046</v>
      </c>
      <c r="AI34" s="5">
        <f t="shared" si="9"/>
        <v>30.634841903448116</v>
      </c>
    </row>
    <row r="35" spans="1:35" x14ac:dyDescent="0.25">
      <c r="A35" s="11" t="s">
        <v>107</v>
      </c>
      <c r="B35">
        <v>0.39596599999999998</v>
      </c>
      <c r="C35">
        <v>0.86144699999999996</v>
      </c>
      <c r="D35">
        <v>0.79055500000000001</v>
      </c>
      <c r="E35">
        <v>0.99126899999999996</v>
      </c>
      <c r="F35">
        <v>1.670722</v>
      </c>
      <c r="G35">
        <v>0.73738599999999999</v>
      </c>
      <c r="H35">
        <v>0.92037599999999997</v>
      </c>
      <c r="I35" s="3">
        <v>0.69937800000000006</v>
      </c>
      <c r="J35">
        <v>0.89649500000000004</v>
      </c>
      <c r="K35">
        <v>0.83695699999999995</v>
      </c>
      <c r="L35">
        <v>0.95138800000000001</v>
      </c>
      <c r="M35">
        <v>0.976074</v>
      </c>
      <c r="N35">
        <v>1.1104719999999999</v>
      </c>
      <c r="O35">
        <v>0.84445199999999998</v>
      </c>
      <c r="P35">
        <v>0.36680099999999999</v>
      </c>
      <c r="Q35" s="3">
        <v>1.3073779999999999</v>
      </c>
      <c r="R35" s="4">
        <f t="shared" si="0"/>
        <v>226.40706525307732</v>
      </c>
      <c r="S35" s="4">
        <f t="shared" si="1"/>
        <v>97.157108910937069</v>
      </c>
      <c r="T35" s="4">
        <f t="shared" si="2"/>
        <v>120.34431506979276</v>
      </c>
      <c r="U35" s="4">
        <f t="shared" si="3"/>
        <v>98.46711639322929</v>
      </c>
      <c r="V35" s="4">
        <f t="shared" si="4"/>
        <v>66.46659348473294</v>
      </c>
      <c r="W35" s="4">
        <f t="shared" si="5"/>
        <v>114.51966812497119</v>
      </c>
      <c r="X35" s="4">
        <f t="shared" si="6"/>
        <v>39.853386007457821</v>
      </c>
      <c r="Y35" s="5">
        <f t="shared" si="7"/>
        <v>186.93439027249926</v>
      </c>
      <c r="Z35" s="4">
        <f>IF(ISBLANK(R35),"",R35/RelMean*100)</f>
        <v>212.33288058910671</v>
      </c>
      <c r="AA35" s="4">
        <f>IF(ISBLANK(S35),"",S35/RelMean*100)</f>
        <v>91.117513412000022</v>
      </c>
      <c r="AB35" s="4">
        <f>IF(ISBLANK(T35),"",T35/RelMean*100)</f>
        <v>112.86332894571549</v>
      </c>
      <c r="AC35" s="4">
        <f>IF(ISBLANK(U35),"",U35/RelMean*100)</f>
        <v>92.346086654612677</v>
      </c>
      <c r="AD35" s="4">
        <f>IF(ISBLANK(V35),"",V35/RelMean*100)</f>
        <v>62.334818225672272</v>
      </c>
      <c r="AE35" s="4">
        <f>IF(ISBLANK(W35),"",W35/RelMean*100)</f>
        <v>107.400760616295</v>
      </c>
      <c r="AF35" s="4">
        <f>IF(ISBLANK(X35),"",X35/RelMean*100)</f>
        <v>37.375972533074915</v>
      </c>
      <c r="AG35" s="9">
        <f>IF(ISBLANK(Y35),"",Y35/RelMean*100)</f>
        <v>175.31395287227485</v>
      </c>
      <c r="AH35" s="7">
        <f t="shared" si="8"/>
        <v>111.38566423109398</v>
      </c>
      <c r="AI35" s="5">
        <f t="shared" si="9"/>
        <v>57.261247104638706</v>
      </c>
    </row>
    <row r="36" spans="1:35" ht="15.75" x14ac:dyDescent="0.25">
      <c r="A36" s="13" t="s">
        <v>911</v>
      </c>
      <c r="I36" s="3"/>
      <c r="Q36" s="3"/>
      <c r="R36" s="4" t="str">
        <f t="shared" si="0"/>
        <v/>
      </c>
      <c r="S36" s="4" t="str">
        <f t="shared" si="1"/>
        <v/>
      </c>
      <c r="T36" s="4" t="str">
        <f t="shared" si="2"/>
        <v/>
      </c>
      <c r="U36" s="4" t="str">
        <f t="shared" si="3"/>
        <v/>
      </c>
      <c r="V36" s="4" t="str">
        <f t="shared" si="4"/>
        <v/>
      </c>
      <c r="W36" s="4" t="str">
        <f t="shared" si="5"/>
        <v/>
      </c>
      <c r="X36" s="4" t="str">
        <f t="shared" si="6"/>
        <v/>
      </c>
      <c r="Y36" s="5" t="str">
        <f t="shared" si="7"/>
        <v/>
      </c>
      <c r="Z36" s="4" t="e">
        <f>IF(ISBLANK(R36),"",R36/RelMean*100)</f>
        <v>#VALUE!</v>
      </c>
      <c r="AA36" s="4" t="e">
        <f>IF(ISBLANK(S36),"",S36/RelMean*100)</f>
        <v>#VALUE!</v>
      </c>
      <c r="AB36" s="4" t="e">
        <f>IF(ISBLANK(T36),"",T36/RelMean*100)</f>
        <v>#VALUE!</v>
      </c>
      <c r="AC36" s="4" t="e">
        <f>IF(ISBLANK(U36),"",U36/RelMean*100)</f>
        <v>#VALUE!</v>
      </c>
      <c r="AD36" s="4" t="e">
        <f>IF(ISBLANK(V36),"",V36/RelMean*100)</f>
        <v>#VALUE!</v>
      </c>
      <c r="AE36" s="4" t="e">
        <f>IF(ISBLANK(W36),"",W36/RelMean*100)</f>
        <v>#VALUE!</v>
      </c>
      <c r="AF36" s="4" t="e">
        <f>IF(ISBLANK(X36),"",X36/RelMean*100)</f>
        <v>#VALUE!</v>
      </c>
      <c r="AG36" s="9" t="e">
        <f>IF(ISBLANK(Y36),"",Y36/RelMean*100)</f>
        <v>#VALUE!</v>
      </c>
      <c r="AH36" s="7" t="e">
        <f t="shared" si="8"/>
        <v>#VALUE!</v>
      </c>
      <c r="AI36" s="5" t="e">
        <f t="shared" si="9"/>
        <v>#VALUE!</v>
      </c>
    </row>
    <row r="37" spans="1:35" x14ac:dyDescent="0.25">
      <c r="A37" s="11" t="s">
        <v>109</v>
      </c>
      <c r="B37">
        <v>0.53681500000000004</v>
      </c>
      <c r="C37">
        <v>0.28151599999999999</v>
      </c>
      <c r="D37">
        <v>0.49630299999999999</v>
      </c>
      <c r="E37">
        <v>0.441438</v>
      </c>
      <c r="F37">
        <v>0.229212</v>
      </c>
      <c r="G37">
        <v>0.213565</v>
      </c>
      <c r="H37">
        <v>0.34066999999999997</v>
      </c>
      <c r="I37" s="3">
        <v>0.32324900000000001</v>
      </c>
      <c r="J37">
        <v>0.64704600000000001</v>
      </c>
      <c r="K37">
        <v>0.31307200000000002</v>
      </c>
      <c r="L37">
        <v>0.475325</v>
      </c>
      <c r="M37">
        <v>0.404891</v>
      </c>
      <c r="N37">
        <v>0.222106</v>
      </c>
      <c r="O37">
        <v>0.203013</v>
      </c>
      <c r="P37">
        <v>0.32880900000000002</v>
      </c>
      <c r="Q37" s="3">
        <v>0.33053500000000002</v>
      </c>
      <c r="R37" s="4">
        <f t="shared" si="0"/>
        <v>120.53426226912435</v>
      </c>
      <c r="S37" s="4">
        <f t="shared" si="1"/>
        <v>111.20930959519175</v>
      </c>
      <c r="T37" s="4">
        <f t="shared" si="2"/>
        <v>95.773146646302763</v>
      </c>
      <c r="U37" s="4">
        <f t="shared" si="3"/>
        <v>91.720921171263015</v>
      </c>
      <c r="V37" s="4">
        <f t="shared" si="4"/>
        <v>96.899813273301575</v>
      </c>
      <c r="W37" s="4">
        <f t="shared" si="5"/>
        <v>95.059115491770655</v>
      </c>
      <c r="X37" s="4">
        <f t="shared" si="6"/>
        <v>96.518331523174936</v>
      </c>
      <c r="Y37" s="5">
        <f t="shared" si="7"/>
        <v>102.25398995820561</v>
      </c>
      <c r="Z37" s="4">
        <f>IF(ISBLANK(R37),"",R37/RelMean*100)</f>
        <v>122.26108076415711</v>
      </c>
      <c r="AA37" s="4">
        <f>IF(ISBLANK(S37),"",S37/RelMean*100)</f>
        <v>112.80253536364609</v>
      </c>
      <c r="AB37" s="4">
        <f>IF(ISBLANK(T37),"",T37/RelMean*100)</f>
        <v>97.145228225788102</v>
      </c>
      <c r="AC37" s="4">
        <f>IF(ISBLANK(U37),"",U37/RelMean*100)</f>
        <v>93.034949067383891</v>
      </c>
      <c r="AD37" s="4">
        <f>IF(ISBLANK(V37),"",V37/RelMean*100)</f>
        <v>98.288035896276227</v>
      </c>
      <c r="AE37" s="4">
        <f>IF(ISBLANK(W37),"",W37/RelMean*100)</f>
        <v>96.420967596412382</v>
      </c>
      <c r="AF37" s="4">
        <f>IF(ISBLANK(X37),"",X37/RelMean*100)</f>
        <v>97.901088897271507</v>
      </c>
      <c r="AG37" s="9">
        <f>IF(ISBLANK(Y37),"",Y37/RelMean*100)</f>
        <v>103.71891849990502</v>
      </c>
      <c r="AH37" s="7">
        <f t="shared" si="8"/>
        <v>102.69660053885505</v>
      </c>
      <c r="AI37" s="5">
        <f t="shared" si="9"/>
        <v>9.9421550253578861</v>
      </c>
    </row>
    <row r="38" spans="1:35" x14ac:dyDescent="0.25">
      <c r="A38" s="11" t="s">
        <v>110</v>
      </c>
      <c r="B38">
        <v>8.9394439999999999</v>
      </c>
      <c r="C38">
        <v>1.6717219999999999</v>
      </c>
      <c r="D38">
        <v>6.7045000000000003</v>
      </c>
      <c r="E38">
        <v>8.5012080000000001</v>
      </c>
      <c r="F38">
        <v>1.5689169999999999</v>
      </c>
      <c r="G38">
        <v>1.5896939999999999</v>
      </c>
      <c r="H38">
        <v>1.918153</v>
      </c>
      <c r="I38" s="3">
        <v>2.5237500000000002</v>
      </c>
      <c r="J38">
        <v>7.7780279999999999</v>
      </c>
      <c r="K38">
        <v>2.2551670000000001</v>
      </c>
      <c r="L38">
        <v>8.1465139999999998</v>
      </c>
      <c r="M38">
        <v>10.227333</v>
      </c>
      <c r="N38">
        <v>1.4735689999999999</v>
      </c>
      <c r="O38">
        <v>1.553625</v>
      </c>
      <c r="P38">
        <v>2.3319860000000001</v>
      </c>
      <c r="Q38" s="3">
        <v>2.9636529999999999</v>
      </c>
      <c r="R38" s="4">
        <f t="shared" si="0"/>
        <v>87.007961568974537</v>
      </c>
      <c r="S38" s="4">
        <f t="shared" si="1"/>
        <v>134.90083877582518</v>
      </c>
      <c r="T38" s="4">
        <f t="shared" si="2"/>
        <v>121.50815124170333</v>
      </c>
      <c r="U38" s="4">
        <f t="shared" si="3"/>
        <v>120.30446731805644</v>
      </c>
      <c r="V38" s="4">
        <f t="shared" si="4"/>
        <v>93.922686796051039</v>
      </c>
      <c r="W38" s="4">
        <f t="shared" si="5"/>
        <v>97.731072772495835</v>
      </c>
      <c r="X38" s="4">
        <f t="shared" si="6"/>
        <v>121.57455635707892</v>
      </c>
      <c r="Y38" s="5">
        <f t="shared" si="7"/>
        <v>117.43052996532937</v>
      </c>
      <c r="Z38" s="4">
        <f>IF(ISBLANK(R38),"",R38/RelMean*100)</f>
        <v>82.43851131702074</v>
      </c>
      <c r="AA38" s="4">
        <f>IF(ISBLANK(S38),"",S38/RelMean*100)</f>
        <v>127.81616904425917</v>
      </c>
      <c r="AB38" s="4">
        <f>IF(ISBLANK(T38),"",T38/RelMean*100)</f>
        <v>115.12683346004617</v>
      </c>
      <c r="AC38" s="4">
        <f>IF(ISBLANK(U38),"",U38/RelMean*100)</f>
        <v>113.9863641400861</v>
      </c>
      <c r="AD38" s="4">
        <f>IF(ISBLANK(V38),"",V38/RelMean*100)</f>
        <v>88.990091696645464</v>
      </c>
      <c r="AE38" s="4">
        <f>IF(ISBLANK(W38),"",W38/RelMean*100)</f>
        <v>92.598470341050799</v>
      </c>
      <c r="AF38" s="4">
        <f>IF(ISBLANK(X38),"",X38/RelMean*100)</f>
        <v>115.18975113742513</v>
      </c>
      <c r="AG38" s="9">
        <f>IF(ISBLANK(Y38),"",Y38/RelMean*100)</f>
        <v>111.26335911037532</v>
      </c>
      <c r="AH38" s="7">
        <f t="shared" si="8"/>
        <v>105.9261937808636</v>
      </c>
      <c r="AI38" s="5">
        <f t="shared" si="9"/>
        <v>15.852980593243496</v>
      </c>
    </row>
    <row r="39" spans="1:35" x14ac:dyDescent="0.25">
      <c r="A39" s="11" t="s">
        <v>111</v>
      </c>
      <c r="B39">
        <v>21</v>
      </c>
      <c r="C39">
        <v>15</v>
      </c>
      <c r="D39">
        <v>22</v>
      </c>
      <c r="E39">
        <v>23</v>
      </c>
      <c r="F39">
        <v>30</v>
      </c>
      <c r="G39">
        <v>30</v>
      </c>
      <c r="H39">
        <v>27</v>
      </c>
      <c r="I39" s="3">
        <v>17</v>
      </c>
      <c r="J39">
        <v>21</v>
      </c>
      <c r="K39">
        <v>14</v>
      </c>
      <c r="L39">
        <v>20</v>
      </c>
      <c r="M39">
        <v>26</v>
      </c>
      <c r="N39">
        <v>25</v>
      </c>
      <c r="O39">
        <v>29</v>
      </c>
      <c r="P39">
        <v>26</v>
      </c>
      <c r="Q39" s="3">
        <v>17</v>
      </c>
      <c r="R39" s="4">
        <f t="shared" si="0"/>
        <v>100</v>
      </c>
      <c r="S39" s="4">
        <f t="shared" si="1"/>
        <v>93.333333333333329</v>
      </c>
      <c r="T39" s="4">
        <f t="shared" si="2"/>
        <v>90.909090909090907</v>
      </c>
      <c r="U39" s="4">
        <f t="shared" si="3"/>
        <v>113.04347826086956</v>
      </c>
      <c r="V39" s="4">
        <f t="shared" si="4"/>
        <v>83.333333333333343</v>
      </c>
      <c r="W39" s="4">
        <f t="shared" si="5"/>
        <v>96.666666666666671</v>
      </c>
      <c r="X39" s="4">
        <f t="shared" si="6"/>
        <v>96.296296296296291</v>
      </c>
      <c r="Y39" s="5">
        <f t="shared" si="7"/>
        <v>100</v>
      </c>
      <c r="Z39" s="4">
        <f>IF(ISBLANK(R39),"",R39/RelMean*100)</f>
        <v>100.45645452114644</v>
      </c>
      <c r="AA39" s="4">
        <f>IF(ISBLANK(S39),"",S39/RelMean*100)</f>
        <v>93.759357553070004</v>
      </c>
      <c r="AB39" s="4">
        <f>IF(ISBLANK(T39),"",T39/RelMean*100)</f>
        <v>91.324049564678589</v>
      </c>
      <c r="AC39" s="4">
        <f>IF(ISBLANK(U39),"",U39/RelMean*100)</f>
        <v>113.55947032825252</v>
      </c>
      <c r="AD39" s="4">
        <f>IF(ISBLANK(V39),"",V39/RelMean*100)</f>
        <v>83.713712100955391</v>
      </c>
      <c r="AE39" s="4">
        <f>IF(ISBLANK(W39),"",W39/RelMean*100)</f>
        <v>97.107906037108236</v>
      </c>
      <c r="AF39" s="4">
        <f>IF(ISBLANK(X39),"",X39/RelMean*100)</f>
        <v>96.735845094437309</v>
      </c>
      <c r="AG39" s="9">
        <f>IF(ISBLANK(Y39),"",Y39/RelMean*100)</f>
        <v>100.45645452114644</v>
      </c>
      <c r="AH39" s="7">
        <f t="shared" si="8"/>
        <v>97.139156215099376</v>
      </c>
      <c r="AI39" s="5">
        <f t="shared" si="9"/>
        <v>8.5963475809249754</v>
      </c>
    </row>
    <row r="40" spans="1:35" x14ac:dyDescent="0.25">
      <c r="A40" s="11" t="s">
        <v>112</v>
      </c>
      <c r="B40">
        <v>75</v>
      </c>
      <c r="C40">
        <v>72</v>
      </c>
      <c r="D40">
        <v>100</v>
      </c>
      <c r="E40">
        <v>99</v>
      </c>
      <c r="F40">
        <v>89</v>
      </c>
      <c r="G40">
        <v>92</v>
      </c>
      <c r="H40">
        <v>71</v>
      </c>
      <c r="I40" s="3">
        <v>65</v>
      </c>
      <c r="J40">
        <v>64</v>
      </c>
      <c r="K40">
        <v>58</v>
      </c>
      <c r="L40">
        <v>107</v>
      </c>
      <c r="M40">
        <v>109</v>
      </c>
      <c r="N40">
        <v>76</v>
      </c>
      <c r="O40">
        <v>89</v>
      </c>
      <c r="P40">
        <v>71</v>
      </c>
      <c r="Q40" s="3">
        <v>59</v>
      </c>
      <c r="R40" s="4">
        <f t="shared" si="0"/>
        <v>85.333333333333343</v>
      </c>
      <c r="S40" s="4">
        <f t="shared" si="1"/>
        <v>80.555555555555557</v>
      </c>
      <c r="T40" s="4">
        <f t="shared" si="2"/>
        <v>107</v>
      </c>
      <c r="U40" s="4">
        <f t="shared" si="3"/>
        <v>110.1010101010101</v>
      </c>
      <c r="V40" s="4">
        <f t="shared" si="4"/>
        <v>85.393258426966284</v>
      </c>
      <c r="W40" s="4">
        <f t="shared" si="5"/>
        <v>96.739130434782609</v>
      </c>
      <c r="X40" s="4">
        <f t="shared" si="6"/>
        <v>100</v>
      </c>
      <c r="Y40" s="5">
        <f t="shared" si="7"/>
        <v>90.769230769230774</v>
      </c>
      <c r="Z40" s="4">
        <f>IF(ISBLANK(R40),"",R40/RelMean*100)</f>
        <v>87.417458581779456</v>
      </c>
      <c r="AA40" s="4">
        <f>IF(ISBLANK(S40),"",S40/RelMean*100)</f>
        <v>82.5229914997267</v>
      </c>
      <c r="AB40" s="4">
        <f>IF(ISBLANK(T40),"",T40/RelMean*100)</f>
        <v>109.61329767480939</v>
      </c>
      <c r="AC40" s="4">
        <f>IF(ISBLANK(U40),"",U40/RelMean*100)</f>
        <v>112.79004480840389</v>
      </c>
      <c r="AD40" s="4">
        <f>IF(ISBLANK(V40),"",V40/RelMean*100)</f>
        <v>87.478847246513837</v>
      </c>
      <c r="AE40" s="4">
        <f>IF(ISBLANK(W40),"",W40/RelMean*100)</f>
        <v>99.101823375234005</v>
      </c>
      <c r="AF40" s="4">
        <f>IF(ISBLANK(X40),"",X40/RelMean*100)</f>
        <v>102.44233427552278</v>
      </c>
      <c r="AG40" s="9">
        <f>IF(ISBLANK(Y40),"",Y40/RelMean*100)</f>
        <v>92.98611880393608</v>
      </c>
      <c r="AH40" s="7">
        <f t="shared" si="8"/>
        <v>96.794114533240759</v>
      </c>
      <c r="AI40" s="5">
        <f t="shared" si="9"/>
        <v>11.021348204467532</v>
      </c>
    </row>
    <row r="41" spans="1:35" x14ac:dyDescent="0.25">
      <c r="A41" s="11" t="s">
        <v>113</v>
      </c>
      <c r="B41" t="s">
        <v>114</v>
      </c>
      <c r="C41" t="s">
        <v>114</v>
      </c>
      <c r="D41" t="s">
        <v>114</v>
      </c>
      <c r="E41" t="s">
        <v>114</v>
      </c>
      <c r="F41" t="s">
        <v>114</v>
      </c>
      <c r="G41" t="s">
        <v>114</v>
      </c>
      <c r="H41" t="s">
        <v>114</v>
      </c>
      <c r="I41" s="3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s="3" t="s">
        <v>114</v>
      </c>
      <c r="R41" s="4" t="e">
        <f t="shared" si="0"/>
        <v>#VALUE!</v>
      </c>
      <c r="S41" s="4" t="e">
        <f t="shared" si="1"/>
        <v>#VALUE!</v>
      </c>
      <c r="T41" s="4" t="e">
        <f t="shared" si="2"/>
        <v>#VALUE!</v>
      </c>
      <c r="U41" s="4" t="e">
        <f t="shared" si="3"/>
        <v>#VALUE!</v>
      </c>
      <c r="V41" s="4" t="e">
        <f t="shared" si="4"/>
        <v>#VALUE!</v>
      </c>
      <c r="W41" s="4" t="e">
        <f t="shared" si="5"/>
        <v>#VALUE!</v>
      </c>
      <c r="X41" s="4" t="e">
        <f t="shared" si="6"/>
        <v>#VALUE!</v>
      </c>
      <c r="Y41" s="5" t="e">
        <f t="shared" si="7"/>
        <v>#VALUE!</v>
      </c>
      <c r="Z41" s="4" t="e">
        <f>IF(ISBLANK(R41),"",R41/RelMean*100)</f>
        <v>#VALUE!</v>
      </c>
      <c r="AA41" s="4" t="e">
        <f>IF(ISBLANK(S41),"",S41/RelMean*100)</f>
        <v>#VALUE!</v>
      </c>
      <c r="AB41" s="4" t="e">
        <f>IF(ISBLANK(T41),"",T41/RelMean*100)</f>
        <v>#VALUE!</v>
      </c>
      <c r="AC41" s="4" t="e">
        <f>IF(ISBLANK(U41),"",U41/RelMean*100)</f>
        <v>#VALUE!</v>
      </c>
      <c r="AD41" s="4" t="e">
        <f>IF(ISBLANK(V41),"",V41/RelMean*100)</f>
        <v>#VALUE!</v>
      </c>
      <c r="AE41" s="4" t="e">
        <f>IF(ISBLANK(W41),"",W41/RelMean*100)</f>
        <v>#VALUE!</v>
      </c>
      <c r="AF41" s="4" t="e">
        <f>IF(ISBLANK(X41),"",X41/RelMean*100)</f>
        <v>#VALUE!</v>
      </c>
      <c r="AG41" s="9" t="e">
        <f>IF(ISBLANK(Y41),"",Y41/RelMean*100)</f>
        <v>#VALUE!</v>
      </c>
      <c r="AH41" s="7" t="e">
        <f t="shared" si="8"/>
        <v>#VALUE!</v>
      </c>
      <c r="AI41" s="5" t="e">
        <f t="shared" si="9"/>
        <v>#VALUE!</v>
      </c>
    </row>
    <row r="42" spans="1:35" x14ac:dyDescent="0.25">
      <c r="A42" s="11" t="s">
        <v>115</v>
      </c>
      <c r="B42" t="s">
        <v>114</v>
      </c>
      <c r="C42" t="s">
        <v>114</v>
      </c>
      <c r="D42" t="s">
        <v>114</v>
      </c>
      <c r="E42" t="s">
        <v>114</v>
      </c>
      <c r="F42" t="s">
        <v>114</v>
      </c>
      <c r="G42" t="s">
        <v>114</v>
      </c>
      <c r="H42" t="s">
        <v>114</v>
      </c>
      <c r="I42" s="3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114</v>
      </c>
      <c r="P42" t="s">
        <v>114</v>
      </c>
      <c r="Q42" s="3" t="s">
        <v>114</v>
      </c>
      <c r="R42" s="4" t="e">
        <f t="shared" si="0"/>
        <v>#VALUE!</v>
      </c>
      <c r="S42" s="4" t="e">
        <f t="shared" si="1"/>
        <v>#VALUE!</v>
      </c>
      <c r="T42" s="4" t="e">
        <f t="shared" si="2"/>
        <v>#VALUE!</v>
      </c>
      <c r="U42" s="4" t="e">
        <f t="shared" si="3"/>
        <v>#VALUE!</v>
      </c>
      <c r="V42" s="4" t="e">
        <f t="shared" si="4"/>
        <v>#VALUE!</v>
      </c>
      <c r="W42" s="4" t="e">
        <f t="shared" si="5"/>
        <v>#VALUE!</v>
      </c>
      <c r="X42" s="4" t="e">
        <f t="shared" si="6"/>
        <v>#VALUE!</v>
      </c>
      <c r="Y42" s="5" t="e">
        <f t="shared" si="7"/>
        <v>#VALUE!</v>
      </c>
      <c r="Z42" s="4" t="e">
        <f>IF(ISBLANK(R42),"",R42/RelMean*100)</f>
        <v>#VALUE!</v>
      </c>
      <c r="AA42" s="4" t="e">
        <f>IF(ISBLANK(S42),"",S42/RelMean*100)</f>
        <v>#VALUE!</v>
      </c>
      <c r="AB42" s="4" t="e">
        <f>IF(ISBLANK(T42),"",T42/RelMean*100)</f>
        <v>#VALUE!</v>
      </c>
      <c r="AC42" s="4" t="e">
        <f>IF(ISBLANK(U42),"",U42/RelMean*100)</f>
        <v>#VALUE!</v>
      </c>
      <c r="AD42" s="4" t="e">
        <f>IF(ISBLANK(V42),"",V42/RelMean*100)</f>
        <v>#VALUE!</v>
      </c>
      <c r="AE42" s="4" t="e">
        <f>IF(ISBLANK(W42),"",W42/RelMean*100)</f>
        <v>#VALUE!</v>
      </c>
      <c r="AF42" s="4" t="e">
        <f>IF(ISBLANK(X42),"",X42/RelMean*100)</f>
        <v>#VALUE!</v>
      </c>
      <c r="AG42" s="9" t="e">
        <f>IF(ISBLANK(Y42),"",Y42/RelMean*100)</f>
        <v>#VALUE!</v>
      </c>
      <c r="AH42" s="7" t="e">
        <f t="shared" si="8"/>
        <v>#VALUE!</v>
      </c>
      <c r="AI42" s="5" t="e">
        <f t="shared" si="9"/>
        <v>#VALUE!</v>
      </c>
    </row>
    <row r="43" spans="1:35" x14ac:dyDescent="0.25">
      <c r="A43" s="11" t="s">
        <v>116</v>
      </c>
      <c r="I43" s="3"/>
      <c r="Q43" s="3"/>
      <c r="R43" s="4" t="str">
        <f t="shared" si="0"/>
        <v/>
      </c>
      <c r="S43" s="4" t="str">
        <f t="shared" si="1"/>
        <v/>
      </c>
      <c r="T43" s="4" t="str">
        <f t="shared" si="2"/>
        <v/>
      </c>
      <c r="U43" s="4" t="str">
        <f t="shared" si="3"/>
        <v/>
      </c>
      <c r="V43" s="4" t="str">
        <f t="shared" si="4"/>
        <v/>
      </c>
      <c r="W43" s="4" t="str">
        <f t="shared" si="5"/>
        <v/>
      </c>
      <c r="X43" s="4" t="str">
        <f t="shared" si="6"/>
        <v/>
      </c>
      <c r="Y43" s="5" t="str">
        <f t="shared" si="7"/>
        <v/>
      </c>
      <c r="Z43" s="4" t="e">
        <f>IF(ISBLANK(R43),"",R43/RelMean*100)</f>
        <v>#VALUE!</v>
      </c>
      <c r="AA43" s="4" t="e">
        <f>IF(ISBLANK(S43),"",S43/RelMean*100)</f>
        <v>#VALUE!</v>
      </c>
      <c r="AB43" s="4" t="e">
        <f>IF(ISBLANK(T43),"",T43/RelMean*100)</f>
        <v>#VALUE!</v>
      </c>
      <c r="AC43" s="4" t="e">
        <f>IF(ISBLANK(U43),"",U43/RelMean*100)</f>
        <v>#VALUE!</v>
      </c>
      <c r="AD43" s="4" t="e">
        <f>IF(ISBLANK(V43),"",V43/RelMean*100)</f>
        <v>#VALUE!</v>
      </c>
      <c r="AE43" s="4" t="e">
        <f>IF(ISBLANK(W43),"",W43/RelMean*100)</f>
        <v>#VALUE!</v>
      </c>
      <c r="AF43" s="4" t="e">
        <f>IF(ISBLANK(X43),"",X43/RelMean*100)</f>
        <v>#VALUE!</v>
      </c>
      <c r="AG43" s="9" t="e">
        <f>IF(ISBLANK(Y43),"",Y43/RelMean*100)</f>
        <v>#VALUE!</v>
      </c>
      <c r="AH43" s="7" t="e">
        <f t="shared" si="8"/>
        <v>#VALUE!</v>
      </c>
      <c r="AI43" s="5" t="e">
        <f t="shared" si="9"/>
        <v>#VALUE!</v>
      </c>
    </row>
    <row r="44" spans="1:35" x14ac:dyDescent="0.25">
      <c r="A44" s="11" t="s">
        <v>117</v>
      </c>
      <c r="B44">
        <v>12</v>
      </c>
      <c r="C44">
        <v>43</v>
      </c>
      <c r="D44">
        <v>41</v>
      </c>
      <c r="E44">
        <v>31</v>
      </c>
      <c r="F44">
        <v>32</v>
      </c>
      <c r="G44">
        <v>21</v>
      </c>
      <c r="H44">
        <v>11</v>
      </c>
      <c r="I44" s="3">
        <v>41</v>
      </c>
      <c r="J44">
        <v>12</v>
      </c>
      <c r="K44">
        <v>43</v>
      </c>
      <c r="L44">
        <v>11</v>
      </c>
      <c r="M44">
        <v>31</v>
      </c>
      <c r="N44">
        <v>11</v>
      </c>
      <c r="O44">
        <v>44</v>
      </c>
      <c r="P44">
        <v>11</v>
      </c>
      <c r="Q44" s="3">
        <v>34</v>
      </c>
      <c r="R44" s="4">
        <f t="shared" si="0"/>
        <v>100</v>
      </c>
      <c r="S44" s="4">
        <f t="shared" si="1"/>
        <v>100</v>
      </c>
      <c r="T44" s="4">
        <f t="shared" si="2"/>
        <v>26.829268292682929</v>
      </c>
      <c r="U44" s="4">
        <f t="shared" si="3"/>
        <v>100</v>
      </c>
      <c r="V44" s="4">
        <f t="shared" si="4"/>
        <v>34.375</v>
      </c>
      <c r="W44" s="4">
        <f t="shared" si="5"/>
        <v>209.52380952380955</v>
      </c>
      <c r="X44" s="4">
        <f t="shared" si="6"/>
        <v>100</v>
      </c>
      <c r="Y44" s="5">
        <f t="shared" si="7"/>
        <v>82.926829268292678</v>
      </c>
      <c r="Z44" s="4">
        <f>IF(ISBLANK(R44),"",R44/RelMean*100)</f>
        <v>105.77572418695576</v>
      </c>
      <c r="AA44" s="4">
        <f>IF(ISBLANK(S44),"",S44/RelMean*100)</f>
        <v>105.77572418695576</v>
      </c>
      <c r="AB44" s="4">
        <f>IF(ISBLANK(T44),"",T44/RelMean*100)</f>
        <v>28.378852830646668</v>
      </c>
      <c r="AC44" s="4">
        <f>IF(ISBLANK(U44),"",U44/RelMean*100)</f>
        <v>105.77572418695576</v>
      </c>
      <c r="AD44" s="4">
        <f>IF(ISBLANK(V44),"",V44/RelMean*100)</f>
        <v>36.360405189266046</v>
      </c>
      <c r="AE44" s="4">
        <f>IF(ISBLANK(W44),"",W44/RelMean*100)</f>
        <v>221.62532686790732</v>
      </c>
      <c r="AF44" s="4">
        <f>IF(ISBLANK(X44),"",X44/RelMean*100)</f>
        <v>105.77572418695576</v>
      </c>
      <c r="AG44" s="9">
        <f>IF(ISBLANK(Y44),"",Y44/RelMean*100)</f>
        <v>87.716454203816966</v>
      </c>
      <c r="AH44" s="7">
        <f t="shared" si="8"/>
        <v>99.647991979932499</v>
      </c>
      <c r="AI44" s="5">
        <f t="shared" si="9"/>
        <v>58.86502364968571</v>
      </c>
    </row>
    <row r="45" spans="1:35" x14ac:dyDescent="0.25">
      <c r="A45" s="11" t="s">
        <v>118</v>
      </c>
      <c r="B45">
        <v>28.695651999999999</v>
      </c>
      <c r="C45">
        <v>49.206349000000003</v>
      </c>
      <c r="D45">
        <v>21.739129999999999</v>
      </c>
      <c r="E45">
        <v>29.787234000000002</v>
      </c>
      <c r="F45">
        <v>36.458333000000003</v>
      </c>
      <c r="G45">
        <v>23.364485999999999</v>
      </c>
      <c r="H45">
        <v>25.287355999999999</v>
      </c>
      <c r="I45" s="3">
        <v>53.571429000000002</v>
      </c>
      <c r="J45">
        <v>34.246575</v>
      </c>
      <c r="K45">
        <v>33.333333000000003</v>
      </c>
      <c r="L45">
        <v>22.314050000000002</v>
      </c>
      <c r="M45">
        <v>27.419354999999999</v>
      </c>
      <c r="N45">
        <v>44.537815000000002</v>
      </c>
      <c r="O45">
        <v>28.181818</v>
      </c>
      <c r="P45">
        <v>75</v>
      </c>
      <c r="Q45" s="3">
        <v>37.5</v>
      </c>
      <c r="R45" s="4">
        <f t="shared" si="0"/>
        <v>119.34412572329774</v>
      </c>
      <c r="S45" s="4">
        <f t="shared" si="1"/>
        <v>67.741935090530703</v>
      </c>
      <c r="T45" s="4">
        <f t="shared" si="2"/>
        <v>102.64463205289265</v>
      </c>
      <c r="U45" s="4">
        <f t="shared" si="3"/>
        <v>92.050691917215261</v>
      </c>
      <c r="V45" s="4">
        <f t="shared" si="4"/>
        <v>122.16086511689934</v>
      </c>
      <c r="W45" s="4">
        <f t="shared" si="5"/>
        <v>120.61818094350545</v>
      </c>
      <c r="X45" s="4">
        <f t="shared" si="6"/>
        <v>296.59091286570253</v>
      </c>
      <c r="Y45" s="5">
        <f t="shared" si="7"/>
        <v>69.999999440000011</v>
      </c>
      <c r="Z45" s="4">
        <f>IF(ISBLANK(R45),"",R45/RelMean*100)</f>
        <v>93.397097296119966</v>
      </c>
      <c r="AA45" s="4">
        <f>IF(ISBLANK(S45),"",S45/RelMean*100)</f>
        <v>53.013921417018985</v>
      </c>
      <c r="AB45" s="4">
        <f>IF(ISBLANK(T45),"",T45/RelMean*100)</f>
        <v>80.328299601402009</v>
      </c>
      <c r="AC45" s="4">
        <f>IF(ISBLANK(U45),"",U45/RelMean*100)</f>
        <v>72.037625455485681</v>
      </c>
      <c r="AD45" s="4">
        <f>IF(ISBLANK(V45),"",V45/RelMean*100)</f>
        <v>95.601439416920869</v>
      </c>
      <c r="AE45" s="4">
        <f>IF(ISBLANK(W45),"",W45/RelMean*100)</f>
        <v>94.394155665278902</v>
      </c>
      <c r="AF45" s="4">
        <f>IF(ISBLANK(X45),"",X45/RelMean*100)</f>
        <v>232.10803362276815</v>
      </c>
      <c r="AG45" s="9">
        <f>IF(ISBLANK(Y45),"",Y45/RelMean*100)</f>
        <v>54.781052010754728</v>
      </c>
      <c r="AH45" s="7">
        <f t="shared" si="8"/>
        <v>96.957703060718657</v>
      </c>
      <c r="AI45" s="5">
        <f t="shared" si="9"/>
        <v>57.189127534330495</v>
      </c>
    </row>
    <row r="46" spans="1:35" x14ac:dyDescent="0.25">
      <c r="A46" s="11" t="s">
        <v>119</v>
      </c>
      <c r="B46">
        <v>1617.391304</v>
      </c>
      <c r="C46">
        <v>976.19047599999999</v>
      </c>
      <c r="D46">
        <v>1869.5652170000001</v>
      </c>
      <c r="E46">
        <v>1744.6808510000001</v>
      </c>
      <c r="F46">
        <v>947.91666699999996</v>
      </c>
      <c r="G46">
        <v>813.084112</v>
      </c>
      <c r="H46">
        <v>781.609195</v>
      </c>
      <c r="I46" s="3">
        <v>928.57142899999997</v>
      </c>
      <c r="J46">
        <v>1424.6575339999999</v>
      </c>
      <c r="K46">
        <v>901.51515199999994</v>
      </c>
      <c r="L46">
        <v>1454.5454549999999</v>
      </c>
      <c r="M46">
        <v>1403.2258059999999</v>
      </c>
      <c r="N46">
        <v>554.621849</v>
      </c>
      <c r="O46">
        <v>527.27272700000003</v>
      </c>
      <c r="P46">
        <v>72.916667000000004</v>
      </c>
      <c r="Q46" s="3">
        <v>762.5</v>
      </c>
      <c r="R46" s="4">
        <f t="shared" si="0"/>
        <v>88.083664755501857</v>
      </c>
      <c r="S46" s="4">
        <f t="shared" si="1"/>
        <v>92.35033266192201</v>
      </c>
      <c r="T46" s="4">
        <f t="shared" si="2"/>
        <v>77.801268539539791</v>
      </c>
      <c r="U46" s="4">
        <f t="shared" si="3"/>
        <v>80.428796200503484</v>
      </c>
      <c r="V46" s="4">
        <f t="shared" si="4"/>
        <v>58.509557676128509</v>
      </c>
      <c r="W46" s="4">
        <f t="shared" si="5"/>
        <v>64.848484826868685</v>
      </c>
      <c r="X46" s="4">
        <f t="shared" si="6"/>
        <v>9.3290441650958318</v>
      </c>
      <c r="Y46" s="5">
        <f t="shared" si="7"/>
        <v>82.115384577485202</v>
      </c>
      <c r="Z46" s="4">
        <f>IF(ISBLANK(R46),"",R46/RelMean*100)</f>
        <v>127.88454228680388</v>
      </c>
      <c r="AA46" s="4">
        <f>IF(ISBLANK(S46),"",S46/RelMean*100)</f>
        <v>134.07911734015684</v>
      </c>
      <c r="AB46" s="4">
        <f>IF(ISBLANK(T46),"",T46/RelMean*100)</f>
        <v>112.9560134007741</v>
      </c>
      <c r="AC46" s="4">
        <f>IF(ISBLANK(U46),"",U46/RelMean*100)</f>
        <v>116.7707975971511</v>
      </c>
      <c r="AD46" s="4">
        <f>IF(ISBLANK(V46),"",V46/RelMean*100)</f>
        <v>84.947283058493312</v>
      </c>
      <c r="AE46" s="4">
        <f>IF(ISBLANK(W46),"",W46/RelMean*100)</f>
        <v>94.150474132706265</v>
      </c>
      <c r="AF46" s="4">
        <f>IF(ISBLANK(X46),"",X46/RelMean*100)</f>
        <v>13.544401749612032</v>
      </c>
      <c r="AG46" s="9">
        <f>IF(ISBLANK(Y46),"",Y46/RelMean*100)</f>
        <v>119.21947617126864</v>
      </c>
      <c r="AH46" s="7">
        <f t="shared" si="8"/>
        <v>100.44401321712077</v>
      </c>
      <c r="AI46" s="5">
        <f t="shared" si="9"/>
        <v>38.71366437234547</v>
      </c>
    </row>
    <row r="47" spans="1:35" x14ac:dyDescent="0.25">
      <c r="A47" s="11" t="s">
        <v>120</v>
      </c>
      <c r="B47">
        <v>68.5</v>
      </c>
      <c r="C47">
        <v>14.5</v>
      </c>
      <c r="D47">
        <v>42.5</v>
      </c>
      <c r="E47">
        <v>60.5</v>
      </c>
      <c r="F47">
        <v>58.5</v>
      </c>
      <c r="G47">
        <v>70.5</v>
      </c>
      <c r="H47">
        <v>34.5</v>
      </c>
      <c r="I47" s="3">
        <v>30.5</v>
      </c>
      <c r="J47">
        <v>40.5</v>
      </c>
      <c r="K47">
        <v>12.5</v>
      </c>
      <c r="L47">
        <v>43.5</v>
      </c>
      <c r="M47">
        <v>70.5</v>
      </c>
      <c r="N47">
        <v>54.5</v>
      </c>
      <c r="O47">
        <v>29.5</v>
      </c>
      <c r="P47">
        <v>94.5</v>
      </c>
      <c r="Q47" s="3">
        <v>24.5</v>
      </c>
      <c r="R47" s="4">
        <f t="shared" si="0"/>
        <v>59.12408759124088</v>
      </c>
      <c r="S47" s="4">
        <f t="shared" si="1"/>
        <v>86.206896551724128</v>
      </c>
      <c r="T47" s="4">
        <f t="shared" si="2"/>
        <v>102.35294117647058</v>
      </c>
      <c r="U47" s="4">
        <f t="shared" si="3"/>
        <v>116.52892561983469</v>
      </c>
      <c r="V47" s="4">
        <f t="shared" si="4"/>
        <v>93.162393162393158</v>
      </c>
      <c r="W47" s="4">
        <f t="shared" si="5"/>
        <v>41.843971631205676</v>
      </c>
      <c r="X47" s="4">
        <f t="shared" si="6"/>
        <v>273.91304347826087</v>
      </c>
      <c r="Y47" s="5">
        <f t="shared" si="7"/>
        <v>80.327868852459019</v>
      </c>
      <c r="Z47" s="4">
        <f>IF(ISBLANK(R47),"",R47/RelMean*100)</f>
        <v>73.75143262781819</v>
      </c>
      <c r="AA47" s="4">
        <f>IF(ISBLANK(S47),"",S47/RelMean*100)</f>
        <v>107.53454948926236</v>
      </c>
      <c r="AB47" s="4">
        <f>IF(ISBLANK(T47),"",T47/RelMean*100)</f>
        <v>127.67513805242774</v>
      </c>
      <c r="AC47" s="4">
        <f>IF(ISBLANK(U47),"",U47/RelMean*100)</f>
        <v>145.35827202036157</v>
      </c>
      <c r="AD47" s="4">
        <f>IF(ISBLANK(V47),"",V47/RelMean*100)</f>
        <v>116.21084134549002</v>
      </c>
      <c r="AE47" s="4">
        <f>IF(ISBLANK(W47),"",W47/RelMean*100)</f>
        <v>52.196202603156863</v>
      </c>
      <c r="AF47" s="4">
        <f>IF(ISBLANK(X47),"",X47/RelMean*100)</f>
        <v>341.67934246414325</v>
      </c>
      <c r="AG47" s="9">
        <f>IF(ISBLANK(Y47),"",Y47/RelMean*100)</f>
        <v>100.20104578638809</v>
      </c>
      <c r="AH47" s="7">
        <f t="shared" si="8"/>
        <v>133.07585304863102</v>
      </c>
      <c r="AI47" s="5">
        <f t="shared" si="9"/>
        <v>89.261962630731716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"/>
  <sheetViews>
    <sheetView zoomScale="75" zoomScaleNormal="75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48.7109375" style="12" bestFit="1" customWidth="1"/>
    <col min="2" max="17" width="9.28515625" bestFit="1" customWidth="1"/>
    <col min="18" max="25" width="10.5703125" bestFit="1" customWidth="1"/>
    <col min="34" max="34" width="10.5703125" bestFit="1" customWidth="1"/>
  </cols>
  <sheetData>
    <row r="1" spans="1:35" x14ac:dyDescent="0.25">
      <c r="A1" s="10" t="s">
        <v>916</v>
      </c>
      <c r="B1" t="s">
        <v>902</v>
      </c>
    </row>
    <row r="2" spans="1:35" x14ac:dyDescent="0.25">
      <c r="A2" s="11"/>
      <c r="B2" t="s">
        <v>903</v>
      </c>
      <c r="I2" s="3"/>
      <c r="J2" t="s">
        <v>904</v>
      </c>
      <c r="Q2" s="3"/>
      <c r="R2" t="s">
        <v>905</v>
      </c>
      <c r="Y2" s="3"/>
      <c r="Z2" t="s">
        <v>913</v>
      </c>
      <c r="AI2" s="3"/>
    </row>
    <row r="3" spans="1:35" ht="15.75" x14ac:dyDescent="0.25">
      <c r="A3" s="13"/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s="3" t="s">
        <v>59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s="3" t="s">
        <v>59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s="3" t="s">
        <v>59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s="8" t="s">
        <v>59</v>
      </c>
      <c r="AH3" s="6" t="s">
        <v>907</v>
      </c>
      <c r="AI3" s="3" t="s">
        <v>914</v>
      </c>
    </row>
    <row r="4" spans="1:35" x14ac:dyDescent="0.25">
      <c r="A4" s="11" t="s">
        <v>76</v>
      </c>
      <c r="I4" s="3"/>
      <c r="Q4" s="3"/>
      <c r="Y4" s="3"/>
      <c r="AG4" s="8"/>
      <c r="AH4" s="6"/>
      <c r="AI4" s="3"/>
    </row>
    <row r="5" spans="1:35" ht="15.75" x14ac:dyDescent="0.25">
      <c r="A5" s="13" t="s">
        <v>908</v>
      </c>
      <c r="I5" s="3"/>
      <c r="Q5" s="3"/>
      <c r="R5" s="4" t="str">
        <f t="shared" ref="R5:R47" si="0">IF(ISBLANK(J5),"",J5/B5*100)</f>
        <v/>
      </c>
      <c r="S5" s="4" t="str">
        <f t="shared" ref="S5:S47" si="1">IF(ISBLANK(K5),"",K5/C5*100)</f>
        <v/>
      </c>
      <c r="T5" s="4" t="str">
        <f t="shared" ref="T5:T47" si="2">IF(ISBLANK(L5),"",L5/D5*100)</f>
        <v/>
      </c>
      <c r="U5" s="4" t="str">
        <f t="shared" ref="U5:U47" si="3">IF(ISBLANK(M5),"",M5/E5*100)</f>
        <v/>
      </c>
      <c r="V5" s="4" t="str">
        <f t="shared" ref="V5:V47" si="4">IF(ISBLANK(N5),"",N5/F5*100)</f>
        <v/>
      </c>
      <c r="W5" s="4" t="str">
        <f t="shared" ref="W5:W47" si="5">IF(ISBLANK(O5),"",O5/G5*100)</f>
        <v/>
      </c>
      <c r="X5" s="4" t="str">
        <f t="shared" ref="X5:X47" si="6">IF(ISBLANK(P5),"",P5/H5*100)</f>
        <v/>
      </c>
      <c r="Y5" s="5" t="str">
        <f t="shared" ref="Y5:Y47" si="7">IF(ISBLANK(Q5),"",Q5/I5*100)</f>
        <v/>
      </c>
      <c r="Z5" s="4" t="e">
        <f>IF(ISBLANK(R5),"",R5/RelMean*100)</f>
        <v>#VALUE!</v>
      </c>
      <c r="AA5" s="4" t="e">
        <f>IF(ISBLANK(S5),"",S5/RelMean*100)</f>
        <v>#VALUE!</v>
      </c>
      <c r="AB5" s="4" t="e">
        <f>IF(ISBLANK(T5),"",T5/RelMean*100)</f>
        <v>#VALUE!</v>
      </c>
      <c r="AC5" s="4" t="e">
        <f>IF(ISBLANK(U5),"",U5/RelMean*100)</f>
        <v>#VALUE!</v>
      </c>
      <c r="AD5" s="4" t="e">
        <f>IF(ISBLANK(V5),"",V5/RelMean*100)</f>
        <v>#VALUE!</v>
      </c>
      <c r="AE5" s="4" t="e">
        <f>IF(ISBLANK(W5),"",W5/RelMean*100)</f>
        <v>#VALUE!</v>
      </c>
      <c r="AF5" s="4" t="e">
        <f>IF(ISBLANK(X5),"",X5/RelMean*100)</f>
        <v>#VALUE!</v>
      </c>
      <c r="AG5" s="9" t="e">
        <f>IF(ISBLANK(Y5),"",Y5/RelMean*100)</f>
        <v>#VALUE!</v>
      </c>
      <c r="AH5" s="7" t="e">
        <f t="shared" ref="AH5:AH47" si="8">AVERAGE(Z5:AG5)</f>
        <v>#VALUE!</v>
      </c>
      <c r="AI5" s="5" t="e">
        <f t="shared" ref="AI5:AI47" si="9">STDEV(Z5:AG5)</f>
        <v>#VALUE!</v>
      </c>
    </row>
    <row r="6" spans="1:35" x14ac:dyDescent="0.25">
      <c r="A6" s="11" t="s">
        <v>78</v>
      </c>
      <c r="B6">
        <v>19106</v>
      </c>
      <c r="C6">
        <v>5132</v>
      </c>
      <c r="D6">
        <v>12038</v>
      </c>
      <c r="E6">
        <v>17395</v>
      </c>
      <c r="F6">
        <v>8761</v>
      </c>
      <c r="G6">
        <v>17767</v>
      </c>
      <c r="H6">
        <v>12536</v>
      </c>
      <c r="I6" s="3">
        <v>17452</v>
      </c>
      <c r="J6">
        <v>29253</v>
      </c>
      <c r="K6">
        <v>9296</v>
      </c>
      <c r="L6">
        <v>17508</v>
      </c>
      <c r="M6">
        <v>24832</v>
      </c>
      <c r="N6">
        <v>12893</v>
      </c>
      <c r="O6">
        <v>28571</v>
      </c>
      <c r="P6">
        <v>22379</v>
      </c>
      <c r="Q6" s="3">
        <v>32950</v>
      </c>
      <c r="R6" s="4">
        <f t="shared" si="0"/>
        <v>153.10897100387314</v>
      </c>
      <c r="S6" s="4">
        <f t="shared" si="1"/>
        <v>181.13795791114575</v>
      </c>
      <c r="T6" s="4">
        <f t="shared" si="2"/>
        <v>145.4394417677355</v>
      </c>
      <c r="U6" s="4">
        <f t="shared" si="3"/>
        <v>142.75366484622018</v>
      </c>
      <c r="V6" s="4">
        <f t="shared" si="4"/>
        <v>147.16356580299052</v>
      </c>
      <c r="W6" s="4">
        <f t="shared" si="5"/>
        <v>160.80936567794225</v>
      </c>
      <c r="X6" s="4">
        <f t="shared" si="6"/>
        <v>178.51786853860881</v>
      </c>
      <c r="Y6" s="5">
        <f t="shared" si="7"/>
        <v>188.80357552143022</v>
      </c>
      <c r="Z6" s="4">
        <f>IF(ISBLANK(R6),"",R6/RelMean*100)</f>
        <v>138.43350129828735</v>
      </c>
      <c r="AA6" s="4">
        <f>IF(ISBLANK(S6),"",S6/RelMean*100)</f>
        <v>163.77591441736871</v>
      </c>
      <c r="AB6" s="4">
        <f>IF(ISBLANK(T6),"",T6/RelMean*100)</f>
        <v>131.49909517886243</v>
      </c>
      <c r="AC6" s="4">
        <f>IF(ISBLANK(U6),"",U6/RelMean*100)</f>
        <v>129.0707495338375</v>
      </c>
      <c r="AD6" s="4">
        <f>IF(ISBLANK(V6),"",V6/RelMean*100)</f>
        <v>133.0579622087169</v>
      </c>
      <c r="AE6" s="4">
        <f>IF(ISBLANK(W6),"",W6/RelMean*100)</f>
        <v>145.39581440849111</v>
      </c>
      <c r="AF6" s="4">
        <f>IF(ISBLANK(X6),"",X6/RelMean*100)</f>
        <v>161.40696018054908</v>
      </c>
      <c r="AG6" s="9">
        <f>IF(ISBLANK(Y6),"",Y6/RelMean*100)</f>
        <v>170.70678383963559</v>
      </c>
      <c r="AH6" s="7">
        <f t="shared" si="8"/>
        <v>146.66834763321859</v>
      </c>
      <c r="AI6" s="5">
        <f t="shared" si="9"/>
        <v>16.397727462788577</v>
      </c>
    </row>
    <row r="7" spans="1:35" x14ac:dyDescent="0.25">
      <c r="A7" s="11" t="s">
        <v>79</v>
      </c>
      <c r="B7">
        <v>2.449487153846154</v>
      </c>
      <c r="C7">
        <v>1.7106666000000004</v>
      </c>
      <c r="D7">
        <v>1.671944416666667</v>
      </c>
      <c r="E7">
        <v>1.8119792500000003</v>
      </c>
      <c r="F7">
        <v>1.6224073333333333</v>
      </c>
      <c r="G7">
        <v>1.8507291249999998</v>
      </c>
      <c r="H7">
        <v>1.3928888000000001</v>
      </c>
      <c r="I7" s="3">
        <v>2.0776190000000003</v>
      </c>
      <c r="J7">
        <v>3.7503846153846156</v>
      </c>
      <c r="K7">
        <v>3.0986667999999997</v>
      </c>
      <c r="L7">
        <v>2.4316667499999993</v>
      </c>
      <c r="M7">
        <v>2.5866666875000002</v>
      </c>
      <c r="N7">
        <v>2.3875924444444445</v>
      </c>
      <c r="O7">
        <v>2.9761458749999998</v>
      </c>
      <c r="P7">
        <v>2.4865555333333331</v>
      </c>
      <c r="Q7" s="3">
        <v>3.9226190714285707</v>
      </c>
      <c r="R7" s="4">
        <f t="shared" si="0"/>
        <v>153.10897260660496</v>
      </c>
      <c r="S7" s="4">
        <f t="shared" si="1"/>
        <v>181.13797276453511</v>
      </c>
      <c r="T7" s="4">
        <f t="shared" si="2"/>
        <v>145.43944916829116</v>
      </c>
      <c r="U7" s="4">
        <f t="shared" si="3"/>
        <v>142.75365943070264</v>
      </c>
      <c r="V7" s="4">
        <f t="shared" si="4"/>
        <v>147.16356339064325</v>
      </c>
      <c r="W7" s="4">
        <f t="shared" si="5"/>
        <v>160.80937154971289</v>
      </c>
      <c r="X7" s="4">
        <f t="shared" si="6"/>
        <v>178.51787833553783</v>
      </c>
      <c r="Y7" s="5">
        <f t="shared" si="7"/>
        <v>188.8035809948104</v>
      </c>
      <c r="Z7" s="4">
        <f>IF(ISBLANK(R7),"",R7/RelMean*100)</f>
        <v>138.43350473494715</v>
      </c>
      <c r="AA7" s="4">
        <f>IF(ISBLANK(S7),"",S7/RelMean*100)</f>
        <v>163.77593019846481</v>
      </c>
      <c r="AB7" s="4">
        <f>IF(ISBLANK(T7),"",T7/RelMean*100)</f>
        <v>131.49910375806539</v>
      </c>
      <c r="AC7" s="4">
        <f>IF(ISBLANK(U7),"",U7/RelMean*100)</f>
        <v>129.0707464905208</v>
      </c>
      <c r="AD7" s="4">
        <f>IF(ISBLANK(V7),"",V7/RelMean*100)</f>
        <v>133.05796193796328</v>
      </c>
      <c r="AE7" s="4">
        <f>IF(ISBLANK(W7),"",W7/RelMean*100)</f>
        <v>145.39582180496402</v>
      </c>
      <c r="AF7" s="4">
        <f>IF(ISBLANK(X7),"",X7/RelMean*100)</f>
        <v>161.40697135583358</v>
      </c>
      <c r="AG7" s="9">
        <f>IF(ISBLANK(Y7),"",Y7/RelMean*100)</f>
        <v>170.70679123930424</v>
      </c>
      <c r="AH7" s="7">
        <f t="shared" si="8"/>
        <v>146.6683539400079</v>
      </c>
      <c r="AI7" s="5">
        <f t="shared" si="9"/>
        <v>16.397731835766344</v>
      </c>
    </row>
    <row r="8" spans="1:35" x14ac:dyDescent="0.25">
      <c r="A8" s="11" t="s">
        <v>80</v>
      </c>
      <c r="B8">
        <v>2.5755305384615381</v>
      </c>
      <c r="C8">
        <v>2.6576241999999999</v>
      </c>
      <c r="D8">
        <v>2.8150820000000003</v>
      </c>
      <c r="E8">
        <v>3.2525439999999999</v>
      </c>
      <c r="F8">
        <v>2.5990915555555554</v>
      </c>
      <c r="G8">
        <v>3.1695778125</v>
      </c>
      <c r="H8">
        <v>2.703679866666667</v>
      </c>
      <c r="I8" s="3">
        <v>2.3851367857142862</v>
      </c>
      <c r="J8">
        <v>3.7087816923076926</v>
      </c>
      <c r="K8">
        <v>2.9410560000000001</v>
      </c>
      <c r="L8">
        <v>3.2428825833333335</v>
      </c>
      <c r="M8">
        <v>3.4156759375000005</v>
      </c>
      <c r="N8">
        <v>2.8871374444444444</v>
      </c>
      <c r="O8">
        <v>3.6084615000000007</v>
      </c>
      <c r="P8">
        <v>3.062436533333333</v>
      </c>
      <c r="Q8" s="3">
        <v>3.3179187142857147</v>
      </c>
      <c r="R8" s="4">
        <f t="shared" si="0"/>
        <v>144.00068789411787</v>
      </c>
      <c r="S8" s="4">
        <f t="shared" si="1"/>
        <v>110.66485622760361</v>
      </c>
      <c r="T8" s="4">
        <f t="shared" si="2"/>
        <v>115.19673612823118</v>
      </c>
      <c r="U8" s="4">
        <f t="shared" si="3"/>
        <v>105.01551823741664</v>
      </c>
      <c r="V8" s="4">
        <f t="shared" si="4"/>
        <v>111.0825602997013</v>
      </c>
      <c r="W8" s="4">
        <f t="shared" si="5"/>
        <v>113.84675541862883</v>
      </c>
      <c r="X8" s="4">
        <f t="shared" si="6"/>
        <v>113.26919917885738</v>
      </c>
      <c r="Y8" s="5">
        <f t="shared" si="7"/>
        <v>139.10811045128736</v>
      </c>
      <c r="Z8" s="4">
        <f>IF(ISBLANK(R8),"",R8/RelMean*100)</f>
        <v>160.67782616942802</v>
      </c>
      <c r="AA8" s="4">
        <f>IF(ISBLANK(S8),"",S8/RelMean*100)</f>
        <v>123.48127493028433</v>
      </c>
      <c r="AB8" s="4">
        <f>IF(ISBLANK(T8),"",T8/RelMean*100)</f>
        <v>128.53800501638767</v>
      </c>
      <c r="AC8" s="4">
        <f>IF(ISBLANK(U8),"",U8/RelMean*100)</f>
        <v>117.17767068481682</v>
      </c>
      <c r="AD8" s="4">
        <f>IF(ISBLANK(V8),"",V8/RelMean*100)</f>
        <v>123.94735452523827</v>
      </c>
      <c r="AE8" s="4">
        <f>IF(ISBLANK(W8),"",W8/RelMean*100)</f>
        <v>127.03167911640962</v>
      </c>
      <c r="AF8" s="4">
        <f>IF(ISBLANK(X8),"",X8/RelMean*100)</f>
        <v>126.38723440955306</v>
      </c>
      <c r="AG8" s="9">
        <f>IF(ISBLANK(Y8),"",Y8/RelMean*100)</f>
        <v>155.21862511021075</v>
      </c>
      <c r="AH8" s="7">
        <f t="shared" si="8"/>
        <v>132.80745874529106</v>
      </c>
      <c r="AI8" s="5">
        <f t="shared" si="9"/>
        <v>15.953478484712264</v>
      </c>
    </row>
    <row r="9" spans="1:35" x14ac:dyDescent="0.25">
      <c r="A9" s="11" t="s">
        <v>81</v>
      </c>
      <c r="B9">
        <v>13</v>
      </c>
      <c r="C9">
        <v>5</v>
      </c>
      <c r="D9">
        <v>12</v>
      </c>
      <c r="E9">
        <v>16</v>
      </c>
      <c r="F9">
        <v>9</v>
      </c>
      <c r="G9">
        <v>16</v>
      </c>
      <c r="H9">
        <v>15</v>
      </c>
      <c r="I9" s="3">
        <v>14</v>
      </c>
      <c r="J9">
        <v>13</v>
      </c>
      <c r="K9">
        <v>5</v>
      </c>
      <c r="L9">
        <v>12</v>
      </c>
      <c r="M9">
        <v>16</v>
      </c>
      <c r="N9">
        <v>9</v>
      </c>
      <c r="O9">
        <v>16</v>
      </c>
      <c r="P9">
        <v>15</v>
      </c>
      <c r="Q9" s="3">
        <v>14</v>
      </c>
      <c r="R9" s="4">
        <f t="shared" si="0"/>
        <v>100</v>
      </c>
      <c r="S9" s="4">
        <f t="shared" si="1"/>
        <v>100</v>
      </c>
      <c r="T9" s="4">
        <f t="shared" si="2"/>
        <v>100</v>
      </c>
      <c r="U9" s="4">
        <f t="shared" si="3"/>
        <v>100</v>
      </c>
      <c r="V9" s="4">
        <f t="shared" si="4"/>
        <v>100</v>
      </c>
      <c r="W9" s="4">
        <f t="shared" si="5"/>
        <v>100</v>
      </c>
      <c r="X9" s="4">
        <f t="shared" si="6"/>
        <v>100</v>
      </c>
      <c r="Y9" s="5">
        <f t="shared" si="7"/>
        <v>100</v>
      </c>
      <c r="Z9" s="4">
        <f>IF(ISBLANK(R9),"",R9/RelMean*100)</f>
        <v>100</v>
      </c>
      <c r="AA9" s="4">
        <f>IF(ISBLANK(S9),"",S9/RelMean*100)</f>
        <v>100</v>
      </c>
      <c r="AB9" s="4">
        <f>IF(ISBLANK(T9),"",T9/RelMean*100)</f>
        <v>100</v>
      </c>
      <c r="AC9" s="4">
        <f>IF(ISBLANK(U9),"",U9/RelMean*100)</f>
        <v>100</v>
      </c>
      <c r="AD9" s="4">
        <f>IF(ISBLANK(V9),"",V9/RelMean*100)</f>
        <v>100</v>
      </c>
      <c r="AE9" s="4">
        <f>IF(ISBLANK(W9),"",W9/RelMean*100)</f>
        <v>100</v>
      </c>
      <c r="AF9" s="4">
        <f>IF(ISBLANK(X9),"",X9/RelMean*100)</f>
        <v>100</v>
      </c>
      <c r="AG9" s="9">
        <f>IF(ISBLANK(Y9),"",Y9/RelMean*100)</f>
        <v>100</v>
      </c>
      <c r="AH9" s="7">
        <f t="shared" si="8"/>
        <v>100</v>
      </c>
      <c r="AI9" s="5">
        <f t="shared" si="9"/>
        <v>0</v>
      </c>
    </row>
    <row r="10" spans="1:35" x14ac:dyDescent="0.25">
      <c r="A10" s="11" t="s">
        <v>82</v>
      </c>
      <c r="B10" t="s">
        <v>114</v>
      </c>
      <c r="C10" t="s">
        <v>114</v>
      </c>
      <c r="D10" t="s">
        <v>114</v>
      </c>
      <c r="E10" t="s">
        <v>114</v>
      </c>
      <c r="F10" t="s">
        <v>114</v>
      </c>
      <c r="G10" t="s">
        <v>114</v>
      </c>
      <c r="H10" t="s">
        <v>114</v>
      </c>
      <c r="I10" s="3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s="3" t="s">
        <v>114</v>
      </c>
      <c r="R10" s="4" t="e">
        <f t="shared" si="0"/>
        <v>#VALUE!</v>
      </c>
      <c r="S10" s="4" t="e">
        <f t="shared" si="1"/>
        <v>#VALUE!</v>
      </c>
      <c r="T10" s="4" t="e">
        <f t="shared" si="2"/>
        <v>#VALUE!</v>
      </c>
      <c r="U10" s="4" t="e">
        <f t="shared" si="3"/>
        <v>#VALUE!</v>
      </c>
      <c r="V10" s="4" t="e">
        <f t="shared" si="4"/>
        <v>#VALUE!</v>
      </c>
      <c r="W10" s="4" t="e">
        <f t="shared" si="5"/>
        <v>#VALUE!</v>
      </c>
      <c r="X10" s="4" t="e">
        <f t="shared" si="6"/>
        <v>#VALUE!</v>
      </c>
      <c r="Y10" s="5" t="e">
        <f t="shared" si="7"/>
        <v>#VALUE!</v>
      </c>
      <c r="Z10" s="4" t="e">
        <f>IF(ISBLANK(R10),"",R10/RelMean*100)</f>
        <v>#VALUE!</v>
      </c>
      <c r="AA10" s="4" t="e">
        <f>IF(ISBLANK(S10),"",S10/RelMean*100)</f>
        <v>#VALUE!</v>
      </c>
      <c r="AB10" s="4" t="e">
        <f>IF(ISBLANK(T10),"",T10/RelMean*100)</f>
        <v>#VALUE!</v>
      </c>
      <c r="AC10" s="4" t="e">
        <f>IF(ISBLANK(U10),"",U10/RelMean*100)</f>
        <v>#VALUE!</v>
      </c>
      <c r="AD10" s="4" t="e">
        <f>IF(ISBLANK(V10),"",V10/RelMean*100)</f>
        <v>#VALUE!</v>
      </c>
      <c r="AE10" s="4" t="e">
        <f>IF(ISBLANK(W10),"",W10/RelMean*100)</f>
        <v>#VALUE!</v>
      </c>
      <c r="AF10" s="4" t="e">
        <f>IF(ISBLANK(X10),"",X10/RelMean*100)</f>
        <v>#VALUE!</v>
      </c>
      <c r="AG10" s="9" t="e">
        <f>IF(ISBLANK(Y10),"",Y10/RelMean*100)</f>
        <v>#VALUE!</v>
      </c>
      <c r="AH10" s="7" t="e">
        <f t="shared" si="8"/>
        <v>#VALUE!</v>
      </c>
      <c r="AI10" s="5" t="e">
        <f t="shared" si="9"/>
        <v>#VALUE!</v>
      </c>
    </row>
    <row r="11" spans="1:35" ht="15.75" x14ac:dyDescent="0.25">
      <c r="A11" s="13" t="s">
        <v>909</v>
      </c>
      <c r="I11" s="3"/>
      <c r="Q11" s="3"/>
      <c r="R11" s="4" t="str">
        <f t="shared" si="0"/>
        <v/>
      </c>
      <c r="S11" s="4" t="str">
        <f t="shared" si="1"/>
        <v/>
      </c>
      <c r="T11" s="4" t="str">
        <f t="shared" si="2"/>
        <v/>
      </c>
      <c r="U11" s="4" t="str">
        <f t="shared" si="3"/>
        <v/>
      </c>
      <c r="V11" s="4" t="str">
        <f t="shared" si="4"/>
        <v/>
      </c>
      <c r="W11" s="4" t="str">
        <f t="shared" si="5"/>
        <v/>
      </c>
      <c r="X11" s="4" t="str">
        <f t="shared" si="6"/>
        <v/>
      </c>
      <c r="Y11" s="5" t="str">
        <f t="shared" si="7"/>
        <v/>
      </c>
      <c r="Z11" s="4" t="e">
        <f>IF(ISBLANK(R11),"",R11/RelMean*100)</f>
        <v>#VALUE!</v>
      </c>
      <c r="AA11" s="4" t="e">
        <f>IF(ISBLANK(S11),"",S11/RelMean*100)</f>
        <v>#VALUE!</v>
      </c>
      <c r="AB11" s="4" t="e">
        <f>IF(ISBLANK(T11),"",T11/RelMean*100)</f>
        <v>#VALUE!</v>
      </c>
      <c r="AC11" s="4" t="e">
        <f>IF(ISBLANK(U11),"",U11/RelMean*100)</f>
        <v>#VALUE!</v>
      </c>
      <c r="AD11" s="4" t="e">
        <f>IF(ISBLANK(V11),"",V11/RelMean*100)</f>
        <v>#VALUE!</v>
      </c>
      <c r="AE11" s="4" t="e">
        <f>IF(ISBLANK(W11),"",W11/RelMean*100)</f>
        <v>#VALUE!</v>
      </c>
      <c r="AF11" s="4" t="e">
        <f>IF(ISBLANK(X11),"",X11/RelMean*100)</f>
        <v>#VALUE!</v>
      </c>
      <c r="AG11" s="9" t="e">
        <f>IF(ISBLANK(Y11),"",Y11/RelMean*100)</f>
        <v>#VALUE!</v>
      </c>
      <c r="AH11" s="7" t="e">
        <f t="shared" si="8"/>
        <v>#VALUE!</v>
      </c>
      <c r="AI11" s="5" t="e">
        <f t="shared" si="9"/>
        <v>#VALUE!</v>
      </c>
    </row>
    <row r="12" spans="1:35" x14ac:dyDescent="0.25">
      <c r="A12" s="11" t="s">
        <v>84</v>
      </c>
      <c r="B12">
        <v>1083</v>
      </c>
      <c r="C12">
        <v>288</v>
      </c>
      <c r="D12">
        <v>506</v>
      </c>
      <c r="E12">
        <v>855</v>
      </c>
      <c r="F12">
        <v>441</v>
      </c>
      <c r="G12">
        <v>824</v>
      </c>
      <c r="H12">
        <v>617</v>
      </c>
      <c r="I12" s="3">
        <v>788</v>
      </c>
      <c r="J12">
        <v>1368</v>
      </c>
      <c r="K12">
        <v>541</v>
      </c>
      <c r="L12">
        <v>931</v>
      </c>
      <c r="M12">
        <v>1310</v>
      </c>
      <c r="N12">
        <v>719</v>
      </c>
      <c r="O12">
        <v>1295</v>
      </c>
      <c r="P12">
        <v>1097</v>
      </c>
      <c r="Q12" s="3">
        <v>1306</v>
      </c>
      <c r="R12" s="4">
        <f t="shared" si="0"/>
        <v>126.31578947368421</v>
      </c>
      <c r="S12" s="4">
        <f t="shared" si="1"/>
        <v>187.84722222222223</v>
      </c>
      <c r="T12" s="4">
        <f t="shared" si="2"/>
        <v>183.99209486166009</v>
      </c>
      <c r="U12" s="4">
        <f t="shared" si="3"/>
        <v>153.21637426900585</v>
      </c>
      <c r="V12" s="4">
        <f t="shared" si="4"/>
        <v>163.03854875283449</v>
      </c>
      <c r="W12" s="4">
        <f t="shared" si="5"/>
        <v>157.16019417475729</v>
      </c>
      <c r="X12" s="4">
        <f t="shared" si="6"/>
        <v>177.79578606158833</v>
      </c>
      <c r="Y12" s="5">
        <f t="shared" si="7"/>
        <v>165.73604060913704</v>
      </c>
      <c r="Z12" s="4">
        <f>IF(ISBLANK(R12),"",R12/RelMean*100)</f>
        <v>123.28311340432026</v>
      </c>
      <c r="AA12" s="4">
        <f>IF(ISBLANK(S12),"",S12/RelMean*100)</f>
        <v>183.33725733261113</v>
      </c>
      <c r="AB12" s="4">
        <f>IF(ISBLANK(T12),"",T12/RelMean*100)</f>
        <v>179.57468651260058</v>
      </c>
      <c r="AC12" s="4">
        <f>IF(ISBLANK(U12),"",U12/RelMean*100)</f>
        <v>149.5378505182033</v>
      </c>
      <c r="AD12" s="4">
        <f>IF(ISBLANK(V12),"",V12/RelMean*100)</f>
        <v>159.12420750344097</v>
      </c>
      <c r="AE12" s="4">
        <f>IF(ISBLANK(W12),"",W12/RelMean*100)</f>
        <v>153.38698449197514</v>
      </c>
      <c r="AF12" s="4">
        <f>IF(ISBLANK(X12),"",X12/RelMean*100)</f>
        <v>173.52714294207505</v>
      </c>
      <c r="AG12" s="9">
        <f>IF(ISBLANK(Y12),"",Y12/RelMean*100)</f>
        <v>161.75693612599423</v>
      </c>
      <c r="AH12" s="7">
        <f t="shared" si="8"/>
        <v>160.44102235390255</v>
      </c>
      <c r="AI12" s="5">
        <f t="shared" si="9"/>
        <v>19.325762474457516</v>
      </c>
    </row>
    <row r="13" spans="1:35" x14ac:dyDescent="0.25">
      <c r="A13" s="11" t="s">
        <v>85</v>
      </c>
      <c r="B13">
        <v>11</v>
      </c>
      <c r="C13">
        <v>4</v>
      </c>
      <c r="D13">
        <v>12</v>
      </c>
      <c r="E13">
        <v>16</v>
      </c>
      <c r="F13">
        <v>8</v>
      </c>
      <c r="G13">
        <v>15</v>
      </c>
      <c r="H13">
        <v>14</v>
      </c>
      <c r="I13" s="3">
        <v>9</v>
      </c>
      <c r="J13">
        <v>11</v>
      </c>
      <c r="K13">
        <v>4</v>
      </c>
      <c r="L13">
        <v>12</v>
      </c>
      <c r="M13">
        <v>16</v>
      </c>
      <c r="N13">
        <v>8</v>
      </c>
      <c r="O13">
        <v>15</v>
      </c>
      <c r="P13">
        <v>13</v>
      </c>
      <c r="Q13" s="3">
        <v>9</v>
      </c>
      <c r="R13" s="4">
        <f t="shared" si="0"/>
        <v>100</v>
      </c>
      <c r="S13" s="4">
        <f t="shared" si="1"/>
        <v>100</v>
      </c>
      <c r="T13" s="4">
        <f t="shared" si="2"/>
        <v>100</v>
      </c>
      <c r="U13" s="4">
        <f t="shared" si="3"/>
        <v>100</v>
      </c>
      <c r="V13" s="4">
        <f t="shared" si="4"/>
        <v>100</v>
      </c>
      <c r="W13" s="4">
        <f t="shared" si="5"/>
        <v>100</v>
      </c>
      <c r="X13" s="4">
        <f t="shared" si="6"/>
        <v>92.857142857142861</v>
      </c>
      <c r="Y13" s="5">
        <f t="shared" si="7"/>
        <v>100</v>
      </c>
      <c r="Z13" s="4">
        <f>IF(ISBLANK(R13),"",R13/RelMean*100)</f>
        <v>100</v>
      </c>
      <c r="AA13" s="4">
        <f>IF(ISBLANK(S13),"",S13/RelMean*100)</f>
        <v>100</v>
      </c>
      <c r="AB13" s="4">
        <f>IF(ISBLANK(T13),"",T13/RelMean*100)</f>
        <v>100</v>
      </c>
      <c r="AC13" s="4">
        <f>IF(ISBLANK(U13),"",U13/RelMean*100)</f>
        <v>100</v>
      </c>
      <c r="AD13" s="4">
        <f>IF(ISBLANK(V13),"",V13/RelMean*100)</f>
        <v>100</v>
      </c>
      <c r="AE13" s="4">
        <f>IF(ISBLANK(W13),"",W13/RelMean*100)</f>
        <v>100</v>
      </c>
      <c r="AF13" s="4">
        <f>IF(ISBLANK(X13),"",X13/RelMean*100)</f>
        <v>92.857142857142861</v>
      </c>
      <c r="AG13" s="9">
        <f>IF(ISBLANK(Y13),"",Y13/RelMean*100)</f>
        <v>100</v>
      </c>
      <c r="AH13" s="7">
        <f t="shared" si="8"/>
        <v>99.107142857142861</v>
      </c>
      <c r="AI13" s="5">
        <f t="shared" si="9"/>
        <v>2.5253813613805254</v>
      </c>
    </row>
    <row r="14" spans="1:35" x14ac:dyDescent="0.25">
      <c r="A14" s="11" t="s">
        <v>86</v>
      </c>
      <c r="B14">
        <v>7.0076363636363659E-2</v>
      </c>
      <c r="C14">
        <v>0.10605425</v>
      </c>
      <c r="D14">
        <v>0.22604541666666667</v>
      </c>
      <c r="E14">
        <v>0.1609664375</v>
      </c>
      <c r="F14">
        <v>0.25489800000000001</v>
      </c>
      <c r="G14">
        <v>0.15237386666666666</v>
      </c>
      <c r="H14">
        <v>9.9029071428571425E-2</v>
      </c>
      <c r="I14" s="3">
        <v>9.4945666666666664E-2</v>
      </c>
      <c r="J14">
        <v>0.12990909090909089</v>
      </c>
      <c r="K14">
        <v>7.1854500000000002E-2</v>
      </c>
      <c r="L14">
        <v>0.16776841666666667</v>
      </c>
      <c r="M14">
        <v>0.10077750000000002</v>
      </c>
      <c r="N14">
        <v>0.10416774999999999</v>
      </c>
      <c r="O14">
        <v>0.11922706666666667</v>
      </c>
      <c r="P14">
        <v>7.2389857142857159E-2</v>
      </c>
      <c r="Q14" s="3">
        <v>0.11442222222222223</v>
      </c>
      <c r="R14" s="4">
        <f t="shared" si="0"/>
        <v>185.38218047843901</v>
      </c>
      <c r="S14" s="4">
        <f t="shared" si="1"/>
        <v>67.752588887291182</v>
      </c>
      <c r="T14" s="4">
        <f t="shared" si="2"/>
        <v>74.218897751005059</v>
      </c>
      <c r="U14" s="4">
        <f t="shared" si="3"/>
        <v>62.607771884123373</v>
      </c>
      <c r="V14" s="4">
        <f t="shared" si="4"/>
        <v>40.866444617062506</v>
      </c>
      <c r="W14" s="4">
        <f t="shared" si="5"/>
        <v>78.246400957644539</v>
      </c>
      <c r="X14" s="4">
        <f t="shared" si="6"/>
        <v>73.099602064905923</v>
      </c>
      <c r="Y14" s="5">
        <f t="shared" si="7"/>
        <v>120.513369634797</v>
      </c>
      <c r="Z14" s="4">
        <f>IF(ISBLANK(R14),"",R14/RelMean*100)</f>
        <v>181.96454889787856</v>
      </c>
      <c r="AA14" s="4">
        <f>IF(ISBLANK(S14),"",S14/RelMean*100)</f>
        <v>66.503529312911724</v>
      </c>
      <c r="AB14" s="4">
        <f>IF(ISBLANK(T14),"",T14/RelMean*100)</f>
        <v>72.850627898025735</v>
      </c>
      <c r="AC14" s="4">
        <f>IF(ISBLANK(U14),"",U14/RelMean*100)</f>
        <v>61.453560094039318</v>
      </c>
      <c r="AD14" s="4">
        <f>IF(ISBLANK(V14),"",V14/RelMean*100)</f>
        <v>40.113047222835931</v>
      </c>
      <c r="AE14" s="4">
        <f>IF(ISBLANK(W14),"",W14/RelMean*100)</f>
        <v>76.803881669717939</v>
      </c>
      <c r="AF14" s="4">
        <f>IF(ISBLANK(X14),"",X14/RelMean*100)</f>
        <v>71.751967098596523</v>
      </c>
      <c r="AG14" s="9">
        <f>IF(ISBLANK(Y14),"",Y14/RelMean*100)</f>
        <v>118.29163345238362</v>
      </c>
      <c r="AH14" s="7">
        <f t="shared" si="8"/>
        <v>86.216599455798672</v>
      </c>
      <c r="AI14" s="5">
        <f t="shared" si="9"/>
        <v>44.401258750924328</v>
      </c>
    </row>
    <row r="15" spans="1:35" x14ac:dyDescent="0.25">
      <c r="A15" s="11" t="s">
        <v>87</v>
      </c>
      <c r="B15">
        <v>11.798174909090909</v>
      </c>
      <c r="C15">
        <v>13.696043750000001</v>
      </c>
      <c r="D15">
        <v>15.641191333333333</v>
      </c>
      <c r="E15">
        <v>15.0912591875</v>
      </c>
      <c r="F15">
        <v>13.0621385</v>
      </c>
      <c r="G15">
        <v>14.987564933333335</v>
      </c>
      <c r="H15">
        <v>12.399887071428571</v>
      </c>
      <c r="I15" s="3">
        <v>13.587269777777777</v>
      </c>
      <c r="J15">
        <v>17.920278272727273</v>
      </c>
      <c r="K15">
        <v>14.086634500000001</v>
      </c>
      <c r="L15">
        <v>14.333538249999998</v>
      </c>
      <c r="M15">
        <v>15.073274749999998</v>
      </c>
      <c r="N15">
        <v>12.39661825</v>
      </c>
      <c r="O15">
        <v>17.01372173333333</v>
      </c>
      <c r="P15">
        <v>13.717016999999998</v>
      </c>
      <c r="Q15" s="3">
        <v>20.136207555555558</v>
      </c>
      <c r="R15" s="4">
        <f t="shared" si="0"/>
        <v>151.89025769501916</v>
      </c>
      <c r="S15" s="4">
        <f t="shared" si="1"/>
        <v>102.8518509222782</v>
      </c>
      <c r="T15" s="4">
        <f t="shared" si="2"/>
        <v>91.639683605515629</v>
      </c>
      <c r="U15" s="4">
        <f t="shared" si="3"/>
        <v>99.880828781239813</v>
      </c>
      <c r="V15" s="4">
        <f t="shared" si="4"/>
        <v>94.904967130764987</v>
      </c>
      <c r="W15" s="4">
        <f t="shared" si="5"/>
        <v>113.51891924413744</v>
      </c>
      <c r="X15" s="4">
        <f t="shared" si="6"/>
        <v>110.62211229008945</v>
      </c>
      <c r="Y15" s="5">
        <f t="shared" si="7"/>
        <v>148.19907078380592</v>
      </c>
      <c r="Z15" s="4">
        <f>IF(ISBLANK(R15),"",R15/RelMean*100)</f>
        <v>152.79078271416179</v>
      </c>
      <c r="AA15" s="4">
        <f>IF(ISBLANK(S15),"",S15/RelMean*100)</f>
        <v>103.46163766190315</v>
      </c>
      <c r="AB15" s="4">
        <f>IF(ISBLANK(T15),"",T15/RelMean*100)</f>
        <v>92.182995790809187</v>
      </c>
      <c r="AC15" s="4">
        <f>IF(ISBLANK(U15),"",U15/RelMean*100)</f>
        <v>100.47300096275529</v>
      </c>
      <c r="AD15" s="4">
        <f>IF(ISBLANK(V15),"",V15/RelMean*100)</f>
        <v>95.467638487302992</v>
      </c>
      <c r="AE15" s="4">
        <f>IF(ISBLANK(W15),"",W15/RelMean*100)</f>
        <v>114.19194876213746</v>
      </c>
      <c r="AF15" s="4">
        <f>IF(ISBLANK(X15),"",X15/RelMean*100)</f>
        <v>111.27796725603238</v>
      </c>
      <c r="AG15" s="9">
        <f>IF(ISBLANK(Y15),"",Y15/RelMean*100)</f>
        <v>149.0777115411511</v>
      </c>
      <c r="AH15" s="7">
        <f t="shared" si="8"/>
        <v>114.86546039703167</v>
      </c>
      <c r="AI15" s="5">
        <f t="shared" si="9"/>
        <v>23.452358039106745</v>
      </c>
    </row>
    <row r="16" spans="1:35" x14ac:dyDescent="0.25">
      <c r="A16" s="11" t="s">
        <v>88</v>
      </c>
      <c r="B16">
        <v>7.6290909090909083E-3</v>
      </c>
      <c r="C16">
        <v>7.6532499999999995E-3</v>
      </c>
      <c r="D16">
        <v>1.4624749999999999E-2</v>
      </c>
      <c r="E16">
        <v>1.0193562500000001E-2</v>
      </c>
      <c r="F16">
        <v>1.6293624999999999E-2</v>
      </c>
      <c r="G16">
        <v>1.1753866666666668E-2</v>
      </c>
      <c r="H16">
        <v>9.9799999999999993E-3</v>
      </c>
      <c r="I16" s="3">
        <v>7.5761111111111125E-3</v>
      </c>
      <c r="J16">
        <v>7.1307272727272738E-3</v>
      </c>
      <c r="K16">
        <v>5.7342500000000006E-3</v>
      </c>
      <c r="L16">
        <v>1.2230666666666669E-2</v>
      </c>
      <c r="M16">
        <v>7.6008125000000008E-3</v>
      </c>
      <c r="N16">
        <v>8.5468750000000007E-3</v>
      </c>
      <c r="O16">
        <v>8.3763999999999991E-3</v>
      </c>
      <c r="P16">
        <v>6.3225714285714291E-3</v>
      </c>
      <c r="Q16" s="3">
        <v>4.9978888888888885E-3</v>
      </c>
      <c r="R16" s="4">
        <f t="shared" si="0"/>
        <v>93.467588179218325</v>
      </c>
      <c r="S16" s="4">
        <f t="shared" si="1"/>
        <v>74.925685166432572</v>
      </c>
      <c r="T16" s="4">
        <f t="shared" si="2"/>
        <v>83.629919599765259</v>
      </c>
      <c r="U16" s="4">
        <f t="shared" si="3"/>
        <v>74.56482951863002</v>
      </c>
      <c r="V16" s="4">
        <f t="shared" si="4"/>
        <v>52.455331456321119</v>
      </c>
      <c r="W16" s="4">
        <f t="shared" si="5"/>
        <v>71.265058874242783</v>
      </c>
      <c r="X16" s="4">
        <f t="shared" si="6"/>
        <v>63.352419123962221</v>
      </c>
      <c r="Y16" s="5">
        <f t="shared" si="7"/>
        <v>65.969054777443702</v>
      </c>
      <c r="Z16" s="4">
        <f>IF(ISBLANK(R16),"",R16/RelMean*100)</f>
        <v>93.152214925804927</v>
      </c>
      <c r="AA16" s="4">
        <f>IF(ISBLANK(S16),"",S16/RelMean*100)</f>
        <v>74.672874993885301</v>
      </c>
      <c r="AB16" s="4">
        <f>IF(ISBLANK(T16),"",T16/RelMean*100)</f>
        <v>83.347740072715666</v>
      </c>
      <c r="AC16" s="4">
        <f>IF(ISBLANK(U16),"",U16/RelMean*100)</f>
        <v>74.313236925586807</v>
      </c>
      <c r="AD16" s="4">
        <f>IF(ISBLANK(V16),"",V16/RelMean*100)</f>
        <v>52.278339529359897</v>
      </c>
      <c r="AE16" s="4">
        <f>IF(ISBLANK(W16),"",W16/RelMean*100)</f>
        <v>71.024600187871499</v>
      </c>
      <c r="AF16" s="4">
        <f>IF(ISBLANK(X16),"",X16/RelMean*100)</f>
        <v>63.138658836359397</v>
      </c>
      <c r="AG16" s="9">
        <f>IF(ISBLANK(Y16),"",Y16/RelMean*100)</f>
        <v>65.74646558010744</v>
      </c>
      <c r="AH16" s="7">
        <f t="shared" si="8"/>
        <v>72.209266381461362</v>
      </c>
      <c r="AI16" s="5">
        <f t="shared" si="9"/>
        <v>12.512038454206797</v>
      </c>
    </row>
    <row r="17" spans="1:35" x14ac:dyDescent="0.25">
      <c r="A17" s="11" t="s">
        <v>89</v>
      </c>
      <c r="B17">
        <v>6.3476363636363635E-3</v>
      </c>
      <c r="C17">
        <v>5.8872500000000001E-3</v>
      </c>
      <c r="D17">
        <v>1.0311333333333334E-2</v>
      </c>
      <c r="E17">
        <v>7.5069999999999998E-3</v>
      </c>
      <c r="F17">
        <v>1.1546625E-2</v>
      </c>
      <c r="G17">
        <v>8.7711999999999998E-3</v>
      </c>
      <c r="H17">
        <v>7.3517857142857135E-3</v>
      </c>
      <c r="I17" s="3">
        <v>5.3115555555555555E-3</v>
      </c>
      <c r="J17">
        <v>5.5680909090909106E-3</v>
      </c>
      <c r="K17">
        <v>4.5989999999999998E-3</v>
      </c>
      <c r="L17">
        <v>9.0918333333333337E-3</v>
      </c>
      <c r="M17">
        <v>5.9363749999999989E-3</v>
      </c>
      <c r="N17">
        <v>6.084E-3</v>
      </c>
      <c r="O17">
        <v>7.0728666666666669E-3</v>
      </c>
      <c r="P17">
        <v>4.9799999999999992E-3</v>
      </c>
      <c r="Q17" s="3">
        <v>3.8306666666666667E-3</v>
      </c>
      <c r="R17" s="4">
        <f t="shared" si="0"/>
        <v>87.719122364802956</v>
      </c>
      <c r="S17" s="4">
        <f t="shared" si="1"/>
        <v>78.11796679264512</v>
      </c>
      <c r="T17" s="4">
        <f t="shared" si="2"/>
        <v>88.173207473976859</v>
      </c>
      <c r="U17" s="4">
        <f t="shared" si="3"/>
        <v>79.077860663380832</v>
      </c>
      <c r="V17" s="4">
        <f t="shared" si="4"/>
        <v>52.690721314669872</v>
      </c>
      <c r="W17" s="4">
        <f t="shared" si="5"/>
        <v>80.637389030767366</v>
      </c>
      <c r="X17" s="4">
        <f t="shared" si="6"/>
        <v>67.73864464415837</v>
      </c>
      <c r="Y17" s="5">
        <f t="shared" si="7"/>
        <v>72.119487908961602</v>
      </c>
      <c r="Z17" s="4">
        <f>IF(ISBLANK(R17),"",R17/RelMean*100)</f>
        <v>90.659183888893438</v>
      </c>
      <c r="AA17" s="4">
        <f>IF(ISBLANK(S17),"",S17/RelMean*100)</f>
        <v>80.736228607350512</v>
      </c>
      <c r="AB17" s="4">
        <f>IF(ISBLANK(T17),"",T17/RelMean*100)</f>
        <v>91.128488463585839</v>
      </c>
      <c r="AC17" s="4">
        <f>IF(ISBLANK(U17),"",U17/RelMean*100)</f>
        <v>81.728295018810286</v>
      </c>
      <c r="AD17" s="4">
        <f>IF(ISBLANK(V17),"",V17/RelMean*100)</f>
        <v>54.456744027135976</v>
      </c>
      <c r="AE17" s="4">
        <f>IF(ISBLANK(W17),"",W17/RelMean*100)</f>
        <v>83.340093737575998</v>
      </c>
      <c r="AF17" s="4">
        <f>IF(ISBLANK(X17),"",X17/RelMean*100)</f>
        <v>70.009025120425406</v>
      </c>
      <c r="AG17" s="9">
        <f>IF(ISBLANK(Y17),"",Y17/RelMean*100)</f>
        <v>74.536700095107747</v>
      </c>
      <c r="AH17" s="7">
        <f t="shared" si="8"/>
        <v>78.324344869860653</v>
      </c>
      <c r="AI17" s="5">
        <f t="shared" si="9"/>
        <v>12.022653075047032</v>
      </c>
    </row>
    <row r="18" spans="1:35" x14ac:dyDescent="0.25">
      <c r="A18" s="11" t="s">
        <v>90</v>
      </c>
      <c r="B18">
        <v>0.82733909090909075</v>
      </c>
      <c r="C18">
        <v>0.77877875000000008</v>
      </c>
      <c r="D18">
        <v>0.80501174999999991</v>
      </c>
      <c r="E18">
        <v>0.78984187500000003</v>
      </c>
      <c r="F18">
        <v>0.76622999999999997</v>
      </c>
      <c r="G18">
        <v>0.79695439999999995</v>
      </c>
      <c r="H18">
        <v>0.78354385714285713</v>
      </c>
      <c r="I18" s="3">
        <v>0.74363933333333343</v>
      </c>
      <c r="J18">
        <v>0.82361709090909097</v>
      </c>
      <c r="K18">
        <v>0.81438450000000007</v>
      </c>
      <c r="L18">
        <v>0.80057575000000003</v>
      </c>
      <c r="M18">
        <v>0.80135624999999999</v>
      </c>
      <c r="N18">
        <v>0.77381212500000007</v>
      </c>
      <c r="O18">
        <v>0.83276393333333332</v>
      </c>
      <c r="P18">
        <v>0.75247700000000006</v>
      </c>
      <c r="Q18" s="3">
        <v>0.81419377777777779</v>
      </c>
      <c r="R18" s="4">
        <f t="shared" si="0"/>
        <v>99.550124001041709</v>
      </c>
      <c r="S18" s="4">
        <f t="shared" si="1"/>
        <v>104.57199814453078</v>
      </c>
      <c r="T18" s="4">
        <f t="shared" si="2"/>
        <v>99.448952142624009</v>
      </c>
      <c r="U18" s="4">
        <f t="shared" si="3"/>
        <v>101.45780761497356</v>
      </c>
      <c r="V18" s="4">
        <f t="shared" si="4"/>
        <v>100.98953643161977</v>
      </c>
      <c r="W18" s="4">
        <f t="shared" si="5"/>
        <v>104.49329765082337</v>
      </c>
      <c r="X18" s="4">
        <f t="shared" si="6"/>
        <v>96.035083823368822</v>
      </c>
      <c r="Y18" s="5">
        <f t="shared" si="7"/>
        <v>109.48772358882455</v>
      </c>
      <c r="Z18" s="4">
        <f>IF(ISBLANK(R18),"",R18/RelMean*100)</f>
        <v>100.98108311891623</v>
      </c>
      <c r="AA18" s="4">
        <f>IF(ISBLANK(S18),"",S18/RelMean*100)</f>
        <v>106.0751429745433</v>
      </c>
      <c r="AB18" s="4">
        <f>IF(ISBLANK(T18),"",T18/RelMean*100)</f>
        <v>100.87845699015251</v>
      </c>
      <c r="AC18" s="4">
        <f>IF(ISBLANK(U18),"",U18/RelMean*100)</f>
        <v>102.91618826836869</v>
      </c>
      <c r="AD18" s="4">
        <f>IF(ISBLANK(V18),"",V18/RelMean*100)</f>
        <v>102.44118603443928</v>
      </c>
      <c r="AE18" s="4">
        <f>IF(ISBLANK(W18),"",W18/RelMean*100)</f>
        <v>105.99531121967291</v>
      </c>
      <c r="AF18" s="4">
        <f>IF(ISBLANK(X18),"",X18/RelMean*100)</f>
        <v>97.415516848559776</v>
      </c>
      <c r="AG18" s="9">
        <f>IF(ISBLANK(Y18),"",Y18/RelMean*100)</f>
        <v>111.06152832223816</v>
      </c>
      <c r="AH18" s="7">
        <f t="shared" si="8"/>
        <v>103.47055172211135</v>
      </c>
      <c r="AI18" s="5">
        <f t="shared" si="9"/>
        <v>4.1700976480501879</v>
      </c>
    </row>
    <row r="19" spans="1:35" x14ac:dyDescent="0.25">
      <c r="A19" s="11" t="s">
        <v>91</v>
      </c>
      <c r="B19">
        <v>18.103023545454548</v>
      </c>
      <c r="C19">
        <v>12.017080999999999</v>
      </c>
      <c r="D19">
        <v>23.020473333333332</v>
      </c>
      <c r="E19">
        <v>22.313690125000001</v>
      </c>
      <c r="F19">
        <v>27.450154999999999</v>
      </c>
      <c r="G19">
        <v>17.640595733333331</v>
      </c>
      <c r="H19">
        <v>25.876780428571429</v>
      </c>
      <c r="I19" s="3">
        <v>11.288341222222222</v>
      </c>
      <c r="J19">
        <v>7.5421986363636364</v>
      </c>
      <c r="K19">
        <v>4.6551632500000002</v>
      </c>
      <c r="L19">
        <v>12.227921</v>
      </c>
      <c r="M19">
        <v>14.039122625000001</v>
      </c>
      <c r="N19">
        <v>12.334481125000002</v>
      </c>
      <c r="O19">
        <v>8.3891636666666685</v>
      </c>
      <c r="P19">
        <v>15.947246857142856</v>
      </c>
      <c r="Q19" s="3">
        <v>4.2356721111111106</v>
      </c>
      <c r="R19" s="4">
        <f t="shared" si="0"/>
        <v>41.662646117793912</v>
      </c>
      <c r="S19" s="4">
        <f t="shared" si="1"/>
        <v>38.73788692944651</v>
      </c>
      <c r="T19" s="4">
        <f t="shared" si="2"/>
        <v>53.117591558354874</v>
      </c>
      <c r="U19" s="4">
        <f t="shared" si="3"/>
        <v>62.917081604851766</v>
      </c>
      <c r="V19" s="4">
        <f t="shared" si="4"/>
        <v>44.934103741855019</v>
      </c>
      <c r="W19" s="4">
        <f t="shared" si="5"/>
        <v>47.556011109163762</v>
      </c>
      <c r="X19" s="4">
        <f t="shared" si="6"/>
        <v>61.627631386225154</v>
      </c>
      <c r="Y19" s="5">
        <f t="shared" si="7"/>
        <v>37.522537879815054</v>
      </c>
      <c r="Z19" s="4">
        <f>IF(ISBLANK(R19),"",R19/RelMean*100)</f>
        <v>44.596055534614258</v>
      </c>
      <c r="AA19" s="4">
        <f>IF(ISBLANK(S19),"",S19/RelMean*100)</f>
        <v>41.465368088115106</v>
      </c>
      <c r="AB19" s="4">
        <f>IF(ISBLANK(T19),"",T19/RelMean*100)</f>
        <v>56.857527875302992</v>
      </c>
      <c r="AC19" s="4">
        <f>IF(ISBLANK(U19),"",U19/RelMean*100)</f>
        <v>67.346986492234834</v>
      </c>
      <c r="AD19" s="4">
        <f>IF(ISBLANK(V19),"",V19/RelMean*100)</f>
        <v>48.09785197522622</v>
      </c>
      <c r="AE19" s="4">
        <f>IF(ISBLANK(W19),"",W19/RelMean*100)</f>
        <v>50.904364221916573</v>
      </c>
      <c r="AF19" s="4">
        <f>IF(ISBLANK(X19),"",X19/RelMean*100)</f>
        <v>65.966747863214266</v>
      </c>
      <c r="AG19" s="9">
        <f>IF(ISBLANK(Y19),"",Y19/RelMean*100)</f>
        <v>40.164447989135681</v>
      </c>
      <c r="AH19" s="7">
        <f t="shared" si="8"/>
        <v>51.924918754969994</v>
      </c>
      <c r="AI19" s="5">
        <f t="shared" si="9"/>
        <v>10.531957159811235</v>
      </c>
    </row>
    <row r="20" spans="1:35" x14ac:dyDescent="0.25">
      <c r="A20" s="11" t="s">
        <v>92</v>
      </c>
      <c r="B20">
        <v>0.16409081818181817</v>
      </c>
      <c r="C20">
        <v>0.12000000000000001</v>
      </c>
      <c r="D20">
        <v>7.0277750000000014E-2</v>
      </c>
      <c r="E20">
        <v>8.9062624999999992E-2</v>
      </c>
      <c r="F20">
        <v>9.1874999999999998E-2</v>
      </c>
      <c r="G20">
        <v>9.1555466666666668E-2</v>
      </c>
      <c r="H20">
        <v>7.3452357142857153E-2</v>
      </c>
      <c r="I20" s="3">
        <v>0.145926</v>
      </c>
      <c r="J20">
        <v>0.20727281818181814</v>
      </c>
      <c r="K20">
        <v>0.22541674999999997</v>
      </c>
      <c r="L20">
        <v>0.12930558333333333</v>
      </c>
      <c r="M20">
        <v>0.13645831249999998</v>
      </c>
      <c r="N20">
        <v>0.14979150000000002</v>
      </c>
      <c r="O20">
        <v>0.14388893333333336</v>
      </c>
      <c r="P20">
        <v>0.13059535714285714</v>
      </c>
      <c r="Q20" s="3">
        <v>0.24185188888888889</v>
      </c>
      <c r="R20" s="4">
        <f t="shared" si="0"/>
        <v>126.31591485646251</v>
      </c>
      <c r="S20" s="4">
        <f t="shared" si="1"/>
        <v>187.84729166666662</v>
      </c>
      <c r="T20" s="4">
        <f t="shared" si="2"/>
        <v>183.99220711154427</v>
      </c>
      <c r="U20" s="4">
        <f t="shared" si="3"/>
        <v>153.21613583700233</v>
      </c>
      <c r="V20" s="4">
        <f t="shared" si="4"/>
        <v>163.0383673469388</v>
      </c>
      <c r="W20" s="4">
        <f t="shared" si="5"/>
        <v>157.1603953013547</v>
      </c>
      <c r="X20" s="4">
        <f t="shared" si="6"/>
        <v>177.79600576855938</v>
      </c>
      <c r="Y20" s="5">
        <f t="shared" si="7"/>
        <v>165.7359818599077</v>
      </c>
      <c r="Z20" s="4">
        <f>IF(ISBLANK(R20),"",R20/RelMean*100)</f>
        <v>123.28326631771702</v>
      </c>
      <c r="AA20" s="4">
        <f>IF(ISBLANK(S20),"",S20/RelMean*100)</f>
        <v>183.33737052784923</v>
      </c>
      <c r="AB20" s="4">
        <f>IF(ISBLANK(T20),"",T20/RelMean*100)</f>
        <v>179.57484055348672</v>
      </c>
      <c r="AC20" s="4">
        <f>IF(ISBLANK(U20),"",U20/RelMean*100)</f>
        <v>149.53765485551779</v>
      </c>
      <c r="AD20" s="4">
        <f>IF(ISBLANK(V20),"",V20/RelMean*100)</f>
        <v>159.12406987257864</v>
      </c>
      <c r="AE20" s="4">
        <f>IF(ISBLANK(W20),"",W20/RelMean*100)</f>
        <v>153.38721878831666</v>
      </c>
      <c r="AF20" s="4">
        <f>IF(ISBLANK(X20),"",X20/RelMean*100)</f>
        <v>173.52740036201567</v>
      </c>
      <c r="AG20" s="9">
        <f>IF(ISBLANK(Y20),"",Y20/RelMean*100)</f>
        <v>161.75691885920708</v>
      </c>
      <c r="AH20" s="7">
        <f t="shared" si="8"/>
        <v>160.44109251708608</v>
      </c>
      <c r="AI20" s="5">
        <f t="shared" si="9"/>
        <v>19.325791044875558</v>
      </c>
    </row>
    <row r="21" spans="1:35" x14ac:dyDescent="0.25">
      <c r="A21" s="11" t="s">
        <v>93</v>
      </c>
      <c r="B21">
        <v>0.63564127272727278</v>
      </c>
      <c r="C21">
        <v>0.64053950000000004</v>
      </c>
      <c r="D21">
        <v>0.63386558333333343</v>
      </c>
      <c r="E21">
        <v>0.59929256250000007</v>
      </c>
      <c r="F21">
        <v>0.58463187500000013</v>
      </c>
      <c r="G21">
        <v>0.52255513333333314</v>
      </c>
      <c r="H21">
        <v>0.59551235714285711</v>
      </c>
      <c r="I21" s="3">
        <v>0.52189677777777777</v>
      </c>
      <c r="J21">
        <v>0.52633390909090905</v>
      </c>
      <c r="K21">
        <v>0.40993524999999997</v>
      </c>
      <c r="L21">
        <v>0.46715224999999999</v>
      </c>
      <c r="M21">
        <v>0.43064156249999996</v>
      </c>
      <c r="N21">
        <v>0.64144800000000002</v>
      </c>
      <c r="O21">
        <v>0.5278487999999999</v>
      </c>
      <c r="P21">
        <v>0.4427415714285714</v>
      </c>
      <c r="Q21" s="3">
        <v>0.37863799999999997</v>
      </c>
      <c r="R21" s="4">
        <f t="shared" si="0"/>
        <v>82.803608210119648</v>
      </c>
      <c r="S21" s="4">
        <f t="shared" si="1"/>
        <v>63.998434132477378</v>
      </c>
      <c r="T21" s="4">
        <f t="shared" si="2"/>
        <v>73.698945373144952</v>
      </c>
      <c r="U21" s="4">
        <f t="shared" si="3"/>
        <v>71.85831919948113</v>
      </c>
      <c r="V21" s="4">
        <f t="shared" si="4"/>
        <v>109.71827357172405</v>
      </c>
      <c r="W21" s="4">
        <f t="shared" si="5"/>
        <v>101.01303505199517</v>
      </c>
      <c r="X21" s="4">
        <f t="shared" si="6"/>
        <v>74.346328185825101</v>
      </c>
      <c r="Y21" s="5">
        <f t="shared" si="7"/>
        <v>72.550361704134332</v>
      </c>
      <c r="Z21" s="4">
        <f>IF(ISBLANK(R21),"",R21/RelMean*100)</f>
        <v>93.478708659115284</v>
      </c>
      <c r="AA21" s="4">
        <f>IF(ISBLANK(S21),"",S21/RelMean*100)</f>
        <v>72.24915807688555</v>
      </c>
      <c r="AB21" s="4">
        <f>IF(ISBLANK(T21),"",T21/RelMean*100)</f>
        <v>83.200266171230837</v>
      </c>
      <c r="AC21" s="4">
        <f>IF(ISBLANK(U21),"",U21/RelMean*100)</f>
        <v>81.122345153566357</v>
      </c>
      <c r="AD21" s="4">
        <f>IF(ISBLANK(V21),"",V21/RelMean*100)</f>
        <v>123.86323194716591</v>
      </c>
      <c r="AE21" s="4">
        <f>IF(ISBLANK(W21),"",W21/RelMean*100)</f>
        <v>114.03570784545178</v>
      </c>
      <c r="AF21" s="4">
        <f>IF(ISBLANK(X21),"",X21/RelMean*100)</f>
        <v>83.931110039578712</v>
      </c>
      <c r="AG21" s="9">
        <f>IF(ISBLANK(Y21),"",Y21/RelMean*100)</f>
        <v>81.903606273348032</v>
      </c>
      <c r="AH21" s="7">
        <f t="shared" si="8"/>
        <v>91.72301677079281</v>
      </c>
      <c r="AI21" s="5">
        <f t="shared" si="9"/>
        <v>17.949569794118748</v>
      </c>
    </row>
    <row r="22" spans="1:35" x14ac:dyDescent="0.25">
      <c r="A22" s="11" t="s">
        <v>94</v>
      </c>
      <c r="B22">
        <v>66.811424363636363</v>
      </c>
      <c r="C22">
        <v>77.850651999999997</v>
      </c>
      <c r="D22">
        <v>64.524346749999992</v>
      </c>
      <c r="E22">
        <v>73.184244812500012</v>
      </c>
      <c r="F22">
        <v>61.315950874999999</v>
      </c>
      <c r="G22">
        <v>74.376855666666671</v>
      </c>
      <c r="H22">
        <v>64.866739928571434</v>
      </c>
      <c r="I22" s="3">
        <v>67.387695333333326</v>
      </c>
      <c r="J22">
        <v>85.499381454545457</v>
      </c>
      <c r="K22">
        <v>84.257499249999995</v>
      </c>
      <c r="L22">
        <v>75.143658666666653</v>
      </c>
      <c r="M22">
        <v>79.655464374999994</v>
      </c>
      <c r="N22">
        <v>69.25755375</v>
      </c>
      <c r="O22">
        <v>80.974061399999997</v>
      </c>
      <c r="P22">
        <v>69.063984071428564</v>
      </c>
      <c r="Q22" s="3">
        <v>89.52560311111111</v>
      </c>
      <c r="R22" s="4">
        <f t="shared" si="0"/>
        <v>127.97119993909372</v>
      </c>
      <c r="S22" s="4">
        <f t="shared" si="1"/>
        <v>108.2296642165566</v>
      </c>
      <c r="T22" s="4">
        <f t="shared" si="2"/>
        <v>116.45783715999676</v>
      </c>
      <c r="U22" s="4">
        <f t="shared" si="3"/>
        <v>108.8423670683211</v>
      </c>
      <c r="V22" s="4">
        <f t="shared" si="4"/>
        <v>112.95193626074547</v>
      </c>
      <c r="W22" s="4">
        <f t="shared" si="5"/>
        <v>108.86997127560743</v>
      </c>
      <c r="X22" s="4">
        <f t="shared" si="6"/>
        <v>106.47056434079924</v>
      </c>
      <c r="Y22" s="5">
        <f t="shared" si="7"/>
        <v>132.85155794136094</v>
      </c>
      <c r="Z22" s="4">
        <f>IF(ISBLANK(R22),"",R22/RelMean*100)</f>
        <v>137.8112357180234</v>
      </c>
      <c r="AA22" s="4">
        <f>IF(ISBLANK(S22),"",S22/RelMean*100)</f>
        <v>116.55172237291775</v>
      </c>
      <c r="AB22" s="4">
        <f>IF(ISBLANK(T22),"",T22/RelMean*100)</f>
        <v>125.41258076587474</v>
      </c>
      <c r="AC22" s="4">
        <f>IF(ISBLANK(U22),"",U22/RelMean*100)</f>
        <v>117.21153752796678</v>
      </c>
      <c r="AD22" s="4">
        <f>IF(ISBLANK(V22),"",V22/RelMean*100)</f>
        <v>121.63710209988818</v>
      </c>
      <c r="AE22" s="4">
        <f>IF(ISBLANK(W22),"",W22/RelMean*100)</f>
        <v>117.24126429398099</v>
      </c>
      <c r="AF22" s="4">
        <f>IF(ISBLANK(X22),"",X22/RelMean*100)</f>
        <v>114.65736076854958</v>
      </c>
      <c r="AG22" s="9">
        <f>IF(ISBLANK(Y22),"",Y22/RelMean*100)</f>
        <v>143.06685704031221</v>
      </c>
      <c r="AH22" s="7">
        <f t="shared" si="8"/>
        <v>124.19870757343921</v>
      </c>
      <c r="AI22" s="5">
        <f t="shared" si="9"/>
        <v>10.664249630425376</v>
      </c>
    </row>
    <row r="23" spans="1:35" ht="15.75" x14ac:dyDescent="0.25">
      <c r="A23" s="13" t="s">
        <v>910</v>
      </c>
      <c r="I23" s="3"/>
      <c r="Q23" s="3"/>
      <c r="R23" s="4" t="str">
        <f t="shared" si="0"/>
        <v/>
      </c>
      <c r="S23" s="4" t="str">
        <f t="shared" si="1"/>
        <v/>
      </c>
      <c r="T23" s="4" t="str">
        <f t="shared" si="2"/>
        <v/>
      </c>
      <c r="U23" s="4" t="str">
        <f t="shared" si="3"/>
        <v/>
      </c>
      <c r="V23" s="4" t="str">
        <f t="shared" si="4"/>
        <v/>
      </c>
      <c r="W23" s="4" t="str">
        <f t="shared" si="5"/>
        <v/>
      </c>
      <c r="X23" s="4" t="str">
        <f t="shared" si="6"/>
        <v/>
      </c>
      <c r="Y23" s="5" t="str">
        <f t="shared" si="7"/>
        <v/>
      </c>
      <c r="Z23" s="4" t="e">
        <f>IF(ISBLANK(R23),"",R23/RelMean*100)</f>
        <v>#VALUE!</v>
      </c>
      <c r="AA23" s="4" t="e">
        <f>IF(ISBLANK(S23),"",S23/RelMean*100)</f>
        <v>#VALUE!</v>
      </c>
      <c r="AB23" s="4" t="e">
        <f>IF(ISBLANK(T23),"",T23/RelMean*100)</f>
        <v>#VALUE!</v>
      </c>
      <c r="AC23" s="4" t="e">
        <f>IF(ISBLANK(U23),"",U23/RelMean*100)</f>
        <v>#VALUE!</v>
      </c>
      <c r="AD23" s="4" t="e">
        <f>IF(ISBLANK(V23),"",V23/RelMean*100)</f>
        <v>#VALUE!</v>
      </c>
      <c r="AE23" s="4" t="e">
        <f>IF(ISBLANK(W23),"",W23/RelMean*100)</f>
        <v>#VALUE!</v>
      </c>
      <c r="AF23" s="4" t="e">
        <f>IF(ISBLANK(X23),"",X23/RelMean*100)</f>
        <v>#VALUE!</v>
      </c>
      <c r="AG23" s="9" t="e">
        <f>IF(ISBLANK(Y23),"",Y23/RelMean*100)</f>
        <v>#VALUE!</v>
      </c>
      <c r="AH23" s="7" t="e">
        <f t="shared" si="8"/>
        <v>#VALUE!</v>
      </c>
      <c r="AI23" s="5" t="e">
        <f t="shared" si="9"/>
        <v>#VALUE!</v>
      </c>
    </row>
    <row r="24" spans="1:35" x14ac:dyDescent="0.25">
      <c r="A24" s="11" t="s">
        <v>96</v>
      </c>
      <c r="B24">
        <v>174</v>
      </c>
      <c r="C24">
        <v>44</v>
      </c>
      <c r="D24">
        <v>90</v>
      </c>
      <c r="E24">
        <v>96</v>
      </c>
      <c r="F24">
        <v>97</v>
      </c>
      <c r="G24">
        <v>96</v>
      </c>
      <c r="H24">
        <v>89</v>
      </c>
      <c r="I24" s="3">
        <v>149</v>
      </c>
      <c r="J24">
        <v>149</v>
      </c>
      <c r="K24">
        <v>134</v>
      </c>
      <c r="L24">
        <v>122</v>
      </c>
      <c r="M24">
        <v>112</v>
      </c>
      <c r="N24">
        <v>134</v>
      </c>
      <c r="O24">
        <v>115</v>
      </c>
      <c r="P24">
        <v>120</v>
      </c>
      <c r="Q24" s="3">
        <v>166</v>
      </c>
      <c r="R24" s="4">
        <f t="shared" si="0"/>
        <v>85.632183908045974</v>
      </c>
      <c r="S24" s="4">
        <f t="shared" si="1"/>
        <v>304.54545454545456</v>
      </c>
      <c r="T24" s="4">
        <f t="shared" si="2"/>
        <v>135.55555555555557</v>
      </c>
      <c r="U24" s="4">
        <f t="shared" si="3"/>
        <v>116.66666666666667</v>
      </c>
      <c r="V24" s="4">
        <f t="shared" si="4"/>
        <v>138.14432989690721</v>
      </c>
      <c r="W24" s="4">
        <f t="shared" si="5"/>
        <v>119.79166666666667</v>
      </c>
      <c r="X24" s="4">
        <f t="shared" si="6"/>
        <v>134.83146067415731</v>
      </c>
      <c r="Y24" s="5">
        <f t="shared" si="7"/>
        <v>111.40939597315436</v>
      </c>
      <c r="Z24" s="4">
        <f>IF(ISBLANK(R24),"",R24/RelMean*100)</f>
        <v>77.654299771223549</v>
      </c>
      <c r="AA24" s="4">
        <f>IF(ISBLANK(S24),"",S24/RelMean*100)</f>
        <v>276.17261340235643</v>
      </c>
      <c r="AB24" s="4">
        <f>IF(ISBLANK(T24),"",T24/RelMean*100)</f>
        <v>122.9265828145812</v>
      </c>
      <c r="AC24" s="4">
        <f>IF(ISBLANK(U24),"",U24/RelMean*100)</f>
        <v>105.79746881582808</v>
      </c>
      <c r="AD24" s="4">
        <f>IF(ISBLANK(V24),"",V24/RelMean*100)</f>
        <v>125.27417515158434</v>
      </c>
      <c r="AE24" s="4">
        <f>IF(ISBLANK(W24),"",W24/RelMean*100)</f>
        <v>108.63132958768063</v>
      </c>
      <c r="AF24" s="4">
        <f>IF(ISBLANK(X24),"",X24/RelMean*100)</f>
        <v>122.26994790914321</v>
      </c>
      <c r="AG24" s="9">
        <f>IF(ISBLANK(Y24),"",Y24/RelMean*100)</f>
        <v>101.02998939651464</v>
      </c>
      <c r="AH24" s="7">
        <f t="shared" si="8"/>
        <v>129.96955085611401</v>
      </c>
      <c r="AI24" s="5">
        <f t="shared" si="9"/>
        <v>61.085726981366371</v>
      </c>
    </row>
    <row r="25" spans="1:35" x14ac:dyDescent="0.25">
      <c r="A25" s="11" t="s">
        <v>97</v>
      </c>
      <c r="B25">
        <v>0.28999999999999998</v>
      </c>
      <c r="C25">
        <v>7.3332999999999995E-2</v>
      </c>
      <c r="D25">
        <v>0.15</v>
      </c>
      <c r="E25">
        <v>0.16</v>
      </c>
      <c r="F25">
        <v>0.16166700000000001</v>
      </c>
      <c r="G25">
        <v>0.16</v>
      </c>
      <c r="H25">
        <v>0.14833299999999999</v>
      </c>
      <c r="I25" s="3">
        <v>0.248333</v>
      </c>
      <c r="J25">
        <v>0.248333</v>
      </c>
      <c r="K25">
        <v>0.223333</v>
      </c>
      <c r="L25">
        <v>0.20333300000000001</v>
      </c>
      <c r="M25">
        <v>0.186667</v>
      </c>
      <c r="N25">
        <v>0.223333</v>
      </c>
      <c r="O25">
        <v>0.191667</v>
      </c>
      <c r="P25">
        <v>0.2</v>
      </c>
      <c r="Q25" s="3">
        <v>0.276667</v>
      </c>
      <c r="R25" s="4">
        <f t="shared" si="0"/>
        <v>85.632068965517249</v>
      </c>
      <c r="S25" s="4">
        <f t="shared" si="1"/>
        <v>304.54638430174685</v>
      </c>
      <c r="T25" s="4">
        <f t="shared" si="2"/>
        <v>135.55533333333335</v>
      </c>
      <c r="U25" s="4">
        <f t="shared" si="3"/>
        <v>116.66687499999999</v>
      </c>
      <c r="V25" s="4">
        <f t="shared" si="4"/>
        <v>138.14383887868271</v>
      </c>
      <c r="W25" s="4">
        <f t="shared" si="5"/>
        <v>119.79187499999999</v>
      </c>
      <c r="X25" s="4">
        <f t="shared" si="6"/>
        <v>134.83176366688465</v>
      </c>
      <c r="Y25" s="5">
        <f t="shared" si="7"/>
        <v>111.40967974453658</v>
      </c>
      <c r="Z25" s="4">
        <f>IF(ISBLANK(R25),"",R25/RelMean*100)</f>
        <v>77.654260191127761</v>
      </c>
      <c r="AA25" s="4">
        <f>IF(ISBLANK(S25),"",S25/RelMean*100)</f>
        <v>276.17368647671316</v>
      </c>
      <c r="AB25" s="4">
        <f>IF(ISBLANK(T25),"",T25/RelMean*100)</f>
        <v>122.92648364248406</v>
      </c>
      <c r="AC25" s="4">
        <f>IF(ISBLANK(U25),"",U25/RelMean*100)</f>
        <v>105.79774582562027</v>
      </c>
      <c r="AD25" s="4">
        <f>IF(ISBLANK(V25),"",V25/RelMean*100)</f>
        <v>125.27383418011593</v>
      </c>
      <c r="AE25" s="4">
        <f>IF(ISBLANK(W25),"",W25/RelMean*100)</f>
        <v>108.63160895690807</v>
      </c>
      <c r="AF25" s="4">
        <f>IF(ISBLANK(X25),"",X25/RelMean*100)</f>
        <v>122.27032447427058</v>
      </c>
      <c r="AG25" s="9">
        <f>IF(ISBLANK(Y25),"",Y25/RelMean*100)</f>
        <v>101.0303308469198</v>
      </c>
      <c r="AH25" s="7">
        <f t="shared" si="8"/>
        <v>129.96978432426994</v>
      </c>
      <c r="AI25" s="5">
        <f t="shared" si="9"/>
        <v>61.086044612631632</v>
      </c>
    </row>
    <row r="26" spans="1:35" x14ac:dyDescent="0.25">
      <c r="A26" s="11" t="s">
        <v>98</v>
      </c>
      <c r="B26">
        <v>0.130832</v>
      </c>
      <c r="C26">
        <v>0.18070700000000001</v>
      </c>
      <c r="D26">
        <v>0.30387199999999998</v>
      </c>
      <c r="E26">
        <v>0.31789499999999998</v>
      </c>
      <c r="F26">
        <v>0.39449899999999999</v>
      </c>
      <c r="G26">
        <v>0.425201</v>
      </c>
      <c r="H26">
        <v>0.31731999999999999</v>
      </c>
      <c r="I26" s="3">
        <v>0.22389300000000001</v>
      </c>
      <c r="J26">
        <v>0.19734299999999999</v>
      </c>
      <c r="K26">
        <v>0.145928</v>
      </c>
      <c r="L26">
        <v>0.27884100000000001</v>
      </c>
      <c r="M26">
        <v>0.276781</v>
      </c>
      <c r="N26">
        <v>0.31633499999999998</v>
      </c>
      <c r="O26">
        <v>0.50453499999999996</v>
      </c>
      <c r="P26">
        <v>0.26063199999999997</v>
      </c>
      <c r="Q26" s="3">
        <v>0.23516799999999999</v>
      </c>
      <c r="R26" s="4">
        <f t="shared" si="0"/>
        <v>150.83695120459825</v>
      </c>
      <c r="S26" s="4">
        <f t="shared" si="1"/>
        <v>80.753927628702812</v>
      </c>
      <c r="T26" s="4">
        <f t="shared" si="2"/>
        <v>91.762650063184509</v>
      </c>
      <c r="U26" s="4">
        <f t="shared" si="3"/>
        <v>87.0667987857626</v>
      </c>
      <c r="V26" s="4">
        <f t="shared" si="4"/>
        <v>80.186515048200363</v>
      </c>
      <c r="W26" s="4">
        <f t="shared" si="5"/>
        <v>118.65799939322814</v>
      </c>
      <c r="X26" s="4">
        <f t="shared" si="6"/>
        <v>82.135383839657123</v>
      </c>
      <c r="Y26" s="5">
        <f t="shared" si="7"/>
        <v>105.03588767848926</v>
      </c>
      <c r="Z26" s="4">
        <f>IF(ISBLANK(R26),"",R26/RelMean*100)</f>
        <v>128.24980249331713</v>
      </c>
      <c r="AA26" s="4">
        <f>IF(ISBLANK(S26),"",S26/RelMean*100)</f>
        <v>68.661393552649841</v>
      </c>
      <c r="AB26" s="4">
        <f>IF(ISBLANK(T26),"",T26/RelMean*100)</f>
        <v>78.021609777193802</v>
      </c>
      <c r="AC26" s="4">
        <f>IF(ISBLANK(U26),"",U26/RelMean*100)</f>
        <v>74.028940911522696</v>
      </c>
      <c r="AD26" s="4">
        <f>IF(ISBLANK(V26),"",V26/RelMean*100)</f>
        <v>68.178948430280883</v>
      </c>
      <c r="AE26" s="4">
        <f>IF(ISBLANK(W26),"",W26/RelMean*100)</f>
        <v>100.88950263779752</v>
      </c>
      <c r="AF26" s="4">
        <f>IF(ISBLANK(X26),"",X26/RelMean*100)</f>
        <v>69.835982967200778</v>
      </c>
      <c r="AG26" s="9">
        <f>IF(ISBLANK(Y26),"",Y26/RelMean*100)</f>
        <v>89.307240314108341</v>
      </c>
      <c r="AH26" s="7">
        <f t="shared" si="8"/>
        <v>84.646677635508851</v>
      </c>
      <c r="AI26" s="5">
        <f t="shared" si="9"/>
        <v>21.008442697820364</v>
      </c>
    </row>
    <row r="27" spans="1:35" x14ac:dyDescent="0.25">
      <c r="A27" s="11" t="s">
        <v>99</v>
      </c>
      <c r="B27">
        <v>109.005747</v>
      </c>
      <c r="C27">
        <v>66.295455000000004</v>
      </c>
      <c r="D27">
        <v>120.64444399999999</v>
      </c>
      <c r="E27">
        <v>180.4375</v>
      </c>
      <c r="F27">
        <v>81.030928000000003</v>
      </c>
      <c r="G27">
        <v>184.70833300000001</v>
      </c>
      <c r="H27">
        <v>136.56179800000001</v>
      </c>
      <c r="I27" s="3">
        <v>103.97315399999999</v>
      </c>
      <c r="J27">
        <v>196.18791899999999</v>
      </c>
      <c r="K27">
        <v>60.746268999999998</v>
      </c>
      <c r="L27">
        <v>143.442623</v>
      </c>
      <c r="M27">
        <v>221.16964300000001</v>
      </c>
      <c r="N27">
        <v>93.888059999999996</v>
      </c>
      <c r="O27">
        <v>247.73912999999999</v>
      </c>
      <c r="P27">
        <v>187.25833299999999</v>
      </c>
      <c r="Q27" s="3">
        <v>190.80120500000001</v>
      </c>
      <c r="R27" s="4">
        <f t="shared" si="0"/>
        <v>179.97942713974518</v>
      </c>
      <c r="S27" s="4">
        <f t="shared" si="1"/>
        <v>91.629613221600167</v>
      </c>
      <c r="T27" s="4">
        <f t="shared" si="2"/>
        <v>118.89699868814515</v>
      </c>
      <c r="U27" s="4">
        <f t="shared" si="3"/>
        <v>122.5741007273987</v>
      </c>
      <c r="V27" s="4">
        <f t="shared" si="4"/>
        <v>115.86694403894768</v>
      </c>
      <c r="W27" s="4">
        <f t="shared" si="5"/>
        <v>134.12450103158039</v>
      </c>
      <c r="X27" s="4">
        <f t="shared" si="6"/>
        <v>137.1235116573377</v>
      </c>
      <c r="Y27" s="5">
        <f t="shared" si="7"/>
        <v>183.5100674160563</v>
      </c>
      <c r="Z27" s="4">
        <f>IF(ISBLANK(R27),"",R27/RelMean*100)</f>
        <v>190.74377650588715</v>
      </c>
      <c r="AA27" s="4">
        <f>IF(ISBLANK(S27),"",S27/RelMean*100)</f>
        <v>97.109868296731193</v>
      </c>
      <c r="AB27" s="4">
        <f>IF(ISBLANK(T27),"",T27/RelMean*100)</f>
        <v>126.00808273149626</v>
      </c>
      <c r="AC27" s="4">
        <f>IF(ISBLANK(U27),"",U27/RelMean*100)</f>
        <v>129.90510774547261</v>
      </c>
      <c r="AD27" s="4">
        <f>IF(ISBLANK(V27),"",V27/RelMean*100)</f>
        <v>122.79680422043407</v>
      </c>
      <c r="AE27" s="4">
        <f>IF(ISBLANK(W27),"",W27/RelMean*100)</f>
        <v>142.14632336209814</v>
      </c>
      <c r="AF27" s="4">
        <f>IF(ISBLANK(X27),"",X27/RelMean*100)</f>
        <v>145.32470114465474</v>
      </c>
      <c r="AG27" s="9">
        <f>IF(ISBLANK(Y27),"",Y27/RelMean*100)</f>
        <v>194.48558005804796</v>
      </c>
      <c r="AH27" s="7">
        <f t="shared" si="8"/>
        <v>143.56503050810278</v>
      </c>
      <c r="AI27" s="5">
        <f t="shared" si="9"/>
        <v>33.611407152587901</v>
      </c>
    </row>
    <row r="28" spans="1:35" x14ac:dyDescent="0.25">
      <c r="A28" s="11" t="s">
        <v>100</v>
      </c>
      <c r="B28">
        <v>1.2600000000000001E-3</v>
      </c>
      <c r="C28">
        <v>2.6120000000000002E-3</v>
      </c>
      <c r="D28">
        <v>3.0339999999999998E-3</v>
      </c>
      <c r="E28">
        <v>1.64E-3</v>
      </c>
      <c r="F28">
        <v>4.777E-3</v>
      </c>
      <c r="G28">
        <v>2.2369999999999998E-3</v>
      </c>
      <c r="H28">
        <v>2.7789999999999998E-3</v>
      </c>
      <c r="I28" s="3">
        <v>2.392E-3</v>
      </c>
      <c r="J28">
        <v>8.6899999999999998E-4</v>
      </c>
      <c r="K28">
        <v>2.3869999999999998E-3</v>
      </c>
      <c r="L28">
        <v>2.0890000000000001E-3</v>
      </c>
      <c r="M28">
        <v>1.1689999999999999E-3</v>
      </c>
      <c r="N28">
        <v>3.2290000000000001E-3</v>
      </c>
      <c r="O28">
        <v>1.9250000000000001E-3</v>
      </c>
      <c r="P28">
        <v>1.4159999999999999E-3</v>
      </c>
      <c r="Q28" s="3">
        <v>1.1950000000000001E-3</v>
      </c>
      <c r="R28" s="4">
        <f t="shared" si="0"/>
        <v>68.968253968253961</v>
      </c>
      <c r="S28" s="4">
        <f t="shared" si="1"/>
        <v>91.385911179173036</v>
      </c>
      <c r="T28" s="4">
        <f t="shared" si="2"/>
        <v>68.852999340804232</v>
      </c>
      <c r="U28" s="4">
        <f t="shared" si="3"/>
        <v>71.280487804878049</v>
      </c>
      <c r="V28" s="4">
        <f t="shared" si="4"/>
        <v>67.594724722629266</v>
      </c>
      <c r="W28" s="4">
        <f t="shared" si="5"/>
        <v>86.052749217702285</v>
      </c>
      <c r="X28" s="4">
        <f t="shared" si="6"/>
        <v>50.953580424613179</v>
      </c>
      <c r="Y28" s="5">
        <f t="shared" si="7"/>
        <v>49.958193979933114</v>
      </c>
      <c r="Z28" s="4">
        <f>IF(ISBLANK(R28),"",R28/RelMean*100)</f>
        <v>48.593755605665542</v>
      </c>
      <c r="AA28" s="4">
        <f>IF(ISBLANK(S28),"",S28/RelMean*100)</f>
        <v>64.388822075818865</v>
      </c>
      <c r="AB28" s="4">
        <f>IF(ISBLANK(T28),"",T28/RelMean*100)</f>
        <v>48.512549327755536</v>
      </c>
      <c r="AC28" s="4">
        <f>IF(ISBLANK(U28),"",U28/RelMean*100)</f>
        <v>50.22291278299209</v>
      </c>
      <c r="AD28" s="4">
        <f>IF(ISBLANK(V28),"",V28/RelMean*100)</f>
        <v>47.62599231402352</v>
      </c>
      <c r="AE28" s="4">
        <f>IF(ISBLANK(W28),"",W28/RelMean*100)</f>
        <v>60.631174838867906</v>
      </c>
      <c r="AF28" s="4">
        <f>IF(ISBLANK(X28),"",X28/RelMean*100)</f>
        <v>35.900949957744174</v>
      </c>
      <c r="AG28" s="9">
        <f>IF(ISBLANK(Y28),"",Y28/RelMean*100)</f>
        <v>35.19961908675765</v>
      </c>
      <c r="AH28" s="7">
        <f t="shared" si="8"/>
        <v>48.884471998703155</v>
      </c>
      <c r="AI28" s="5">
        <f t="shared" si="9"/>
        <v>10.266554437191353</v>
      </c>
    </row>
    <row r="29" spans="1:35" x14ac:dyDescent="0.25">
      <c r="A29" s="11" t="s">
        <v>101</v>
      </c>
      <c r="B29">
        <v>7.2599999999999997E-4</v>
      </c>
      <c r="C29">
        <v>1.7060000000000001E-3</v>
      </c>
      <c r="D29">
        <v>1.0139999999999999E-3</v>
      </c>
      <c r="E29">
        <v>6.2399999999999999E-4</v>
      </c>
      <c r="F29">
        <v>1.5009999999999999E-3</v>
      </c>
      <c r="G29">
        <v>8.03E-4</v>
      </c>
      <c r="H29">
        <v>1.041E-3</v>
      </c>
      <c r="I29" s="3">
        <v>7.5900000000000002E-4</v>
      </c>
      <c r="J29">
        <v>4.0499999999999998E-4</v>
      </c>
      <c r="K29">
        <v>1.3179999999999999E-3</v>
      </c>
      <c r="L29">
        <v>7.6800000000000002E-4</v>
      </c>
      <c r="M29">
        <v>4.15E-4</v>
      </c>
      <c r="N29">
        <v>9.8499999999999998E-4</v>
      </c>
      <c r="O29">
        <v>4.57E-4</v>
      </c>
      <c r="P29">
        <v>5.0199999999999995E-4</v>
      </c>
      <c r="Q29" s="3">
        <v>4.4700000000000002E-4</v>
      </c>
      <c r="R29" s="4">
        <f t="shared" si="0"/>
        <v>55.785123966942152</v>
      </c>
      <c r="S29" s="4">
        <f t="shared" si="1"/>
        <v>77.25674091441968</v>
      </c>
      <c r="T29" s="4">
        <f t="shared" si="2"/>
        <v>75.739644970414204</v>
      </c>
      <c r="U29" s="4">
        <f t="shared" si="3"/>
        <v>66.506410256410248</v>
      </c>
      <c r="V29" s="4">
        <f t="shared" si="4"/>
        <v>65.622918054630247</v>
      </c>
      <c r="W29" s="4">
        <f t="shared" si="5"/>
        <v>56.91158156911581</v>
      </c>
      <c r="X29" s="4">
        <f t="shared" si="6"/>
        <v>48.222862632084528</v>
      </c>
      <c r="Y29" s="5">
        <f t="shared" si="7"/>
        <v>58.89328063241107</v>
      </c>
      <c r="Z29" s="4">
        <f>IF(ISBLANK(R29),"",R29/RelMean*100)</f>
        <v>46.867421154458093</v>
      </c>
      <c r="AA29" s="4">
        <f>IF(ISBLANK(S29),"",S29/RelMean*100)</f>
        <v>64.906626641228485</v>
      </c>
      <c r="AB29" s="4">
        <f>IF(ISBLANK(T29),"",T29/RelMean*100)</f>
        <v>63.632050742077304</v>
      </c>
      <c r="AC29" s="4">
        <f>IF(ISBLANK(U29),"",U29/RelMean*100)</f>
        <v>55.8748232020682</v>
      </c>
      <c r="AD29" s="4">
        <f>IF(ISBLANK(V29),"",V29/RelMean*100)</f>
        <v>55.13256436740037</v>
      </c>
      <c r="AE29" s="4">
        <f>IF(ISBLANK(W29),"",W29/RelMean*100)</f>
        <v>47.813805407095039</v>
      </c>
      <c r="AF29" s="4">
        <f>IF(ISBLANK(X29),"",X29/RelMean*100)</f>
        <v>40.514048397396991</v>
      </c>
      <c r="AG29" s="9">
        <f>IF(ISBLANK(Y29),"",Y29/RelMean*100)</f>
        <v>49.478713862902943</v>
      </c>
      <c r="AH29" s="7">
        <f t="shared" si="8"/>
        <v>53.027506721828438</v>
      </c>
      <c r="AI29" s="5">
        <f t="shared" si="9"/>
        <v>8.4550764831898277</v>
      </c>
    </row>
    <row r="30" spans="1:35" x14ac:dyDescent="0.25">
      <c r="A30" s="11" t="s">
        <v>102</v>
      </c>
      <c r="B30">
        <v>0.58615399999999995</v>
      </c>
      <c r="C30">
        <v>0.68856600000000001</v>
      </c>
      <c r="D30">
        <v>0.40282200000000001</v>
      </c>
      <c r="E30">
        <v>0.44560499999999997</v>
      </c>
      <c r="F30">
        <v>0.37559599999999999</v>
      </c>
      <c r="G30">
        <v>0.38950899999999999</v>
      </c>
      <c r="H30">
        <v>0.369087</v>
      </c>
      <c r="I30" s="3">
        <v>0.38749899999999998</v>
      </c>
      <c r="J30">
        <v>0.48413699999999998</v>
      </c>
      <c r="K30">
        <v>0.62990900000000005</v>
      </c>
      <c r="L30">
        <v>0.40092499999999998</v>
      </c>
      <c r="M30">
        <v>0.391347</v>
      </c>
      <c r="N30">
        <v>0.37722699999999998</v>
      </c>
      <c r="O30">
        <v>0.26040799999999997</v>
      </c>
      <c r="P30">
        <v>0.38069500000000001</v>
      </c>
      <c r="Q30" s="3">
        <v>0.42978699999999997</v>
      </c>
      <c r="R30" s="4">
        <f t="shared" si="0"/>
        <v>82.595529502485704</v>
      </c>
      <c r="S30" s="4">
        <f t="shared" si="1"/>
        <v>91.481281387695589</v>
      </c>
      <c r="T30" s="4">
        <f t="shared" si="2"/>
        <v>99.529072394258506</v>
      </c>
      <c r="U30" s="4">
        <f t="shared" si="3"/>
        <v>87.823745245228395</v>
      </c>
      <c r="V30" s="4">
        <f t="shared" si="4"/>
        <v>100.43424317617865</v>
      </c>
      <c r="W30" s="4">
        <f t="shared" si="5"/>
        <v>66.855451350289712</v>
      </c>
      <c r="X30" s="4">
        <f t="shared" si="6"/>
        <v>103.14505794026883</v>
      </c>
      <c r="Y30" s="5">
        <f t="shared" si="7"/>
        <v>110.91306042080109</v>
      </c>
      <c r="Z30" s="4">
        <f>IF(ISBLANK(R30),"",R30/RelMean*100)</f>
        <v>91.72136876225197</v>
      </c>
      <c r="AA30" s="4">
        <f>IF(ISBLANK(S30),"",S30/RelMean*100)</f>
        <v>101.58889222632376</v>
      </c>
      <c r="AB30" s="4">
        <f>IF(ISBLANK(T30),"",T30/RelMean*100)</f>
        <v>110.52586994268161</v>
      </c>
      <c r="AC30" s="4">
        <f>IF(ISBLANK(U30),"",U30/RelMean*100)</f>
        <v>97.527241150227667</v>
      </c>
      <c r="AD30" s="4">
        <f>IF(ISBLANK(V30),"",V30/RelMean*100)</f>
        <v>111.53105150131326</v>
      </c>
      <c r="AE30" s="4">
        <f>IF(ISBLANK(W30),"",W30/RelMean*100)</f>
        <v>74.242196206057073</v>
      </c>
      <c r="AF30" s="4">
        <f>IF(ISBLANK(X30),"",X30/RelMean*100)</f>
        <v>114.54137956774679</v>
      </c>
      <c r="AG30" s="9">
        <f>IF(ISBLANK(Y30),"",Y30/RelMean*100)</f>
        <v>123.16765540076926</v>
      </c>
      <c r="AH30" s="7">
        <f t="shared" si="8"/>
        <v>103.10570684467143</v>
      </c>
      <c r="AI30" s="5">
        <f t="shared" si="9"/>
        <v>15.378217663453187</v>
      </c>
    </row>
    <row r="31" spans="1:35" x14ac:dyDescent="0.25">
      <c r="A31" s="11" t="s">
        <v>103</v>
      </c>
      <c r="B31">
        <v>12.132184000000001</v>
      </c>
      <c r="C31">
        <v>4.9545450000000004</v>
      </c>
      <c r="D31">
        <v>11.833333</v>
      </c>
      <c r="E31">
        <v>14.46875</v>
      </c>
      <c r="F31">
        <v>8.6185569999999991</v>
      </c>
      <c r="G31">
        <v>14.052083</v>
      </c>
      <c r="H31">
        <v>12.595506</v>
      </c>
      <c r="I31" s="3">
        <v>11.798658</v>
      </c>
      <c r="J31">
        <v>12.644295</v>
      </c>
      <c r="K31">
        <v>5.3134329999999999</v>
      </c>
      <c r="L31">
        <v>12.729507999999999</v>
      </c>
      <c r="M31">
        <v>15.330356999999999</v>
      </c>
      <c r="N31">
        <v>8.6492540000000009</v>
      </c>
      <c r="O31">
        <v>15.408696000000001</v>
      </c>
      <c r="P31">
        <v>14.966666999999999</v>
      </c>
      <c r="Q31" s="3">
        <v>13.337349</v>
      </c>
      <c r="R31" s="4">
        <f t="shared" si="0"/>
        <v>104.22109489931903</v>
      </c>
      <c r="S31" s="4">
        <f t="shared" si="1"/>
        <v>107.24361167372582</v>
      </c>
      <c r="T31" s="4">
        <f t="shared" si="2"/>
        <v>107.5733100724876</v>
      </c>
      <c r="U31" s="4">
        <f t="shared" si="3"/>
        <v>105.95495118790497</v>
      </c>
      <c r="V31" s="4">
        <f t="shared" si="4"/>
        <v>100.35617331300357</v>
      </c>
      <c r="W31" s="4">
        <f t="shared" si="5"/>
        <v>109.65417724902422</v>
      </c>
      <c r="X31" s="4">
        <f t="shared" si="6"/>
        <v>118.82545250663212</v>
      </c>
      <c r="Y31" s="5">
        <f t="shared" si="7"/>
        <v>113.04123740174519</v>
      </c>
      <c r="Z31" s="4">
        <f>IF(ISBLANK(R31),"",R31/RelMean*100)</f>
        <v>104.99800981681227</v>
      </c>
      <c r="AA31" s="4">
        <f>IF(ISBLANK(S31),"",S31/RelMean*100)</f>
        <v>108.04305790671404</v>
      </c>
      <c r="AB31" s="4">
        <f>IF(ISBLANK(T31),"",T31/RelMean*100)</f>
        <v>108.37521403828431</v>
      </c>
      <c r="AC31" s="4">
        <f>IF(ISBLANK(U31),"",U31/RelMean*100)</f>
        <v>106.74479111656501</v>
      </c>
      <c r="AD31" s="4">
        <f>IF(ISBLANK(V31),"",V31/RelMean*100)</f>
        <v>101.10427721830919</v>
      </c>
      <c r="AE31" s="4">
        <f>IF(ISBLANK(W31),"",W31/RelMean*100)</f>
        <v>110.47159301454185</v>
      </c>
      <c r="AF31" s="4">
        <f>IF(ISBLANK(X31),"",X31/RelMean*100)</f>
        <v>119.71123543492956</v>
      </c>
      <c r="AG31" s="9">
        <f>IF(ISBLANK(Y31),"",Y31/RelMean*100)</f>
        <v>113.88390196705369</v>
      </c>
      <c r="AH31" s="7">
        <f t="shared" si="8"/>
        <v>109.16651006415125</v>
      </c>
      <c r="AI31" s="5">
        <f t="shared" si="9"/>
        <v>5.6729593008341714</v>
      </c>
    </row>
    <row r="32" spans="1:35" x14ac:dyDescent="0.25">
      <c r="A32" s="11" t="s">
        <v>104</v>
      </c>
      <c r="B32">
        <v>8.9545499999999993</v>
      </c>
      <c r="C32">
        <v>13.676136</v>
      </c>
      <c r="D32">
        <v>9.473573</v>
      </c>
      <c r="E32">
        <v>12.102209999999999</v>
      </c>
      <c r="F32">
        <v>9.3651929999999997</v>
      </c>
      <c r="G32">
        <v>12.676992</v>
      </c>
      <c r="H32">
        <v>10.159402</v>
      </c>
      <c r="I32" s="3">
        <v>8.772729</v>
      </c>
      <c r="J32">
        <v>15.610566</v>
      </c>
      <c r="K32">
        <v>11.598330000000001</v>
      </c>
      <c r="L32">
        <v>11.020267</v>
      </c>
      <c r="M32">
        <v>14.313575</v>
      </c>
      <c r="N32">
        <v>10.849624</v>
      </c>
      <c r="O32">
        <v>15.891952</v>
      </c>
      <c r="P32">
        <v>12.440149</v>
      </c>
      <c r="Q32" s="3">
        <v>14.060857</v>
      </c>
      <c r="R32" s="4">
        <f t="shared" si="0"/>
        <v>174.33110541568254</v>
      </c>
      <c r="S32" s="4">
        <f t="shared" si="1"/>
        <v>84.807068312277693</v>
      </c>
      <c r="T32" s="4">
        <f t="shared" si="2"/>
        <v>116.32640609831159</v>
      </c>
      <c r="U32" s="4">
        <f t="shared" si="3"/>
        <v>118.27240644477332</v>
      </c>
      <c r="V32" s="4">
        <f t="shared" si="4"/>
        <v>115.85051156980961</v>
      </c>
      <c r="W32" s="4">
        <f t="shared" si="5"/>
        <v>125.36059027251892</v>
      </c>
      <c r="X32" s="4">
        <f t="shared" si="6"/>
        <v>122.44961858975559</v>
      </c>
      <c r="Y32" s="5">
        <f t="shared" si="7"/>
        <v>160.27916740617428</v>
      </c>
      <c r="Z32" s="4">
        <f>IF(ISBLANK(R32),"",R32/RelMean*100)</f>
        <v>184.2725181349108</v>
      </c>
      <c r="AA32" s="4">
        <f>IF(ISBLANK(S32),"",S32/RelMean*100)</f>
        <v>89.643279644671921</v>
      </c>
      <c r="AB32" s="4">
        <f>IF(ISBLANK(T32),"",T32/RelMean*100)</f>
        <v>122.96004047130762</v>
      </c>
      <c r="AC32" s="4">
        <f>IF(ISBLANK(U32),"",U32/RelMean*100)</f>
        <v>125.01701351280165</v>
      </c>
      <c r="AD32" s="4">
        <f>IF(ISBLANK(V32),"",V32/RelMean*100)</f>
        <v>122.45700756203659</v>
      </c>
      <c r="AE32" s="4">
        <f>IF(ISBLANK(W32),"",W32/RelMean*100)</f>
        <v>132.50940840026234</v>
      </c>
      <c r="AF32" s="4">
        <f>IF(ISBLANK(X32),"",X32/RelMean*100)</f>
        <v>129.43243552773239</v>
      </c>
      <c r="AG32" s="9">
        <f>IF(ISBLANK(Y32),"",Y32/RelMean*100)</f>
        <v>169.41925373603311</v>
      </c>
      <c r="AH32" s="7">
        <f t="shared" si="8"/>
        <v>134.46386962371955</v>
      </c>
      <c r="AI32" s="5">
        <f t="shared" si="9"/>
        <v>29.535805850994571</v>
      </c>
    </row>
    <row r="33" spans="1:35" x14ac:dyDescent="0.25">
      <c r="A33" s="11" t="s">
        <v>105</v>
      </c>
      <c r="B33">
        <v>99.215357999999995</v>
      </c>
      <c r="C33">
        <v>56.574863999999998</v>
      </c>
      <c r="D33">
        <v>89.373610999999997</v>
      </c>
      <c r="E33">
        <v>99.580338999999995</v>
      </c>
      <c r="F33">
        <v>89.440145999999999</v>
      </c>
      <c r="G33">
        <v>99.803005999999996</v>
      </c>
      <c r="H33">
        <v>96.790634999999995</v>
      </c>
      <c r="I33" s="3">
        <v>88.748853999999994</v>
      </c>
      <c r="J33">
        <v>99.907720999999995</v>
      </c>
      <c r="K33">
        <v>84.203992999999997</v>
      </c>
      <c r="L33">
        <v>98.752892000000003</v>
      </c>
      <c r="M33">
        <v>99.754349000000005</v>
      </c>
      <c r="N33">
        <v>97.285803000000001</v>
      </c>
      <c r="O33">
        <v>99.716496000000006</v>
      </c>
      <c r="P33">
        <v>99.786846999999995</v>
      </c>
      <c r="Q33" s="3">
        <v>96.074862999999993</v>
      </c>
      <c r="R33" s="4">
        <f t="shared" si="0"/>
        <v>100.69783853423178</v>
      </c>
      <c r="S33" s="4">
        <f t="shared" si="1"/>
        <v>148.83640374283533</v>
      </c>
      <c r="T33" s="4">
        <f t="shared" si="2"/>
        <v>110.4944635167533</v>
      </c>
      <c r="U33" s="4">
        <f t="shared" si="3"/>
        <v>100.17474332960445</v>
      </c>
      <c r="V33" s="4">
        <f t="shared" si="4"/>
        <v>108.77196354308276</v>
      </c>
      <c r="W33" s="4">
        <f t="shared" si="5"/>
        <v>99.913319244111747</v>
      </c>
      <c r="X33" s="4">
        <f t="shared" si="6"/>
        <v>103.09555981319886</v>
      </c>
      <c r="Y33" s="5">
        <f t="shared" si="7"/>
        <v>108.25476461927046</v>
      </c>
      <c r="Z33" s="4">
        <f>IF(ISBLANK(R33),"",R33/RelMean*100)</f>
        <v>107.75901786967763</v>
      </c>
      <c r="AA33" s="4">
        <f>IF(ISBLANK(S33),"",S33/RelMean*100)</f>
        <v>159.27317729993322</v>
      </c>
      <c r="AB33" s="4">
        <f>IF(ISBLANK(T33),"",T33/RelMean*100)</f>
        <v>118.24260621596765</v>
      </c>
      <c r="AC33" s="4">
        <f>IF(ISBLANK(U33),"",U33/RelMean*100)</f>
        <v>107.19924194674341</v>
      </c>
      <c r="AD33" s="4">
        <f>IF(ISBLANK(V33),"",V33/RelMean*100)</f>
        <v>116.39932032080731</v>
      </c>
      <c r="AE33" s="4">
        <f>IF(ISBLANK(W33),"",W33/RelMean*100)</f>
        <v>106.91948616339961</v>
      </c>
      <c r="AF33" s="4">
        <f>IF(ISBLANK(X33),"",X33/RelMean*100)</f>
        <v>110.32487324361284</v>
      </c>
      <c r="AG33" s="9">
        <f>IF(ISBLANK(Y33),"",Y33/RelMean*100)</f>
        <v>115.84585414035577</v>
      </c>
      <c r="AH33" s="7">
        <f t="shared" si="8"/>
        <v>117.74544715006218</v>
      </c>
      <c r="AI33" s="5">
        <f t="shared" si="9"/>
        <v>17.375835486300048</v>
      </c>
    </row>
    <row r="34" spans="1:35" x14ac:dyDescent="0.25">
      <c r="A34" s="11" t="s">
        <v>106</v>
      </c>
      <c r="B34">
        <v>0.25957400000000003</v>
      </c>
      <c r="C34">
        <v>0.66313900000000003</v>
      </c>
      <c r="D34">
        <v>0.44961899999999999</v>
      </c>
      <c r="E34">
        <v>0.41416799999999998</v>
      </c>
      <c r="F34">
        <v>0.38409500000000002</v>
      </c>
      <c r="G34">
        <v>0.252691</v>
      </c>
      <c r="H34">
        <v>0.32639400000000002</v>
      </c>
      <c r="I34" s="3">
        <v>0.39315600000000001</v>
      </c>
      <c r="J34">
        <v>0.43785000000000002</v>
      </c>
      <c r="K34">
        <v>0.37305500000000003</v>
      </c>
      <c r="L34">
        <v>0.32066600000000001</v>
      </c>
      <c r="M34">
        <v>0.24465200000000001</v>
      </c>
      <c r="N34">
        <v>0.30442000000000002</v>
      </c>
      <c r="O34">
        <v>0.29462899999999997</v>
      </c>
      <c r="P34">
        <v>0.24532000000000001</v>
      </c>
      <c r="Q34" s="3">
        <v>0.36359399999999997</v>
      </c>
      <c r="R34" s="4">
        <f t="shared" si="0"/>
        <v>168.68022221023676</v>
      </c>
      <c r="S34" s="4">
        <f t="shared" si="1"/>
        <v>56.255928244304741</v>
      </c>
      <c r="T34" s="4">
        <f t="shared" si="2"/>
        <v>71.319494950168931</v>
      </c>
      <c r="U34" s="4">
        <f t="shared" si="3"/>
        <v>59.070715265302972</v>
      </c>
      <c r="V34" s="4">
        <f t="shared" si="4"/>
        <v>79.256433955141304</v>
      </c>
      <c r="W34" s="4">
        <f t="shared" si="5"/>
        <v>116.5965546853667</v>
      </c>
      <c r="X34" s="4">
        <f t="shared" si="6"/>
        <v>75.160695355919529</v>
      </c>
      <c r="Y34" s="5">
        <f t="shared" si="7"/>
        <v>92.480847297256048</v>
      </c>
      <c r="Z34" s="4">
        <f>IF(ISBLANK(R34),"",R34/RelMean*100)</f>
        <v>166.74578954375536</v>
      </c>
      <c r="AA34" s="4">
        <f>IF(ISBLANK(S34),"",S34/RelMean*100)</f>
        <v>55.610782631777724</v>
      </c>
      <c r="AB34" s="4">
        <f>IF(ISBLANK(T34),"",T34/RelMean*100)</f>
        <v>70.50159965111834</v>
      </c>
      <c r="AC34" s="4">
        <f>IF(ISBLANK(U34),"",U34/RelMean*100)</f>
        <v>58.39328954375511</v>
      </c>
      <c r="AD34" s="4">
        <f>IF(ISBLANK(V34),"",V34/RelMean*100)</f>
        <v>78.347517468888611</v>
      </c>
      <c r="AE34" s="4">
        <f>IF(ISBLANK(W34),"",W34/RelMean*100)</f>
        <v>115.25941995061729</v>
      </c>
      <c r="AF34" s="4">
        <f>IF(ISBLANK(X34),"",X34/RelMean*100)</f>
        <v>74.29874899121333</v>
      </c>
      <c r="AG34" s="9">
        <f>IF(ISBLANK(Y34),"",Y34/RelMean*100)</f>
        <v>91.420272621152534</v>
      </c>
      <c r="AH34" s="7">
        <f t="shared" si="8"/>
        <v>88.822177550284778</v>
      </c>
      <c r="AI34" s="5">
        <f t="shared" si="9"/>
        <v>36.767557949672771</v>
      </c>
    </row>
    <row r="35" spans="1:35" x14ac:dyDescent="0.25">
      <c r="A35" s="11" t="s">
        <v>107</v>
      </c>
      <c r="B35">
        <v>0.17288400000000001</v>
      </c>
      <c r="C35">
        <v>0.32680399999999998</v>
      </c>
      <c r="D35">
        <v>0.78218500000000002</v>
      </c>
      <c r="E35">
        <v>0.81338100000000002</v>
      </c>
      <c r="F35">
        <v>0.79238699999999995</v>
      </c>
      <c r="G35">
        <v>1.3475520000000001</v>
      </c>
      <c r="H35">
        <v>0.636293</v>
      </c>
      <c r="I35" s="3">
        <v>0.79036799999999996</v>
      </c>
      <c r="J35">
        <v>0.39126100000000003</v>
      </c>
      <c r="K35">
        <v>0.383378</v>
      </c>
      <c r="L35">
        <v>0.81692100000000001</v>
      </c>
      <c r="M35">
        <v>0.52750900000000001</v>
      </c>
      <c r="N35">
        <v>1.1243320000000001</v>
      </c>
      <c r="O35">
        <v>0.50321300000000002</v>
      </c>
      <c r="P35">
        <v>0.343144</v>
      </c>
      <c r="Q35" s="3">
        <v>0.86915699999999996</v>
      </c>
      <c r="R35" s="4">
        <f t="shared" si="0"/>
        <v>226.31417597926932</v>
      </c>
      <c r="S35" s="4">
        <f t="shared" si="1"/>
        <v>117.31129361941714</v>
      </c>
      <c r="T35" s="4">
        <f t="shared" si="2"/>
        <v>104.44089313909113</v>
      </c>
      <c r="U35" s="4">
        <f t="shared" si="3"/>
        <v>64.853863072778921</v>
      </c>
      <c r="V35" s="4">
        <f t="shared" si="4"/>
        <v>141.89177762886067</v>
      </c>
      <c r="W35" s="4">
        <f t="shared" si="5"/>
        <v>37.342751893804468</v>
      </c>
      <c r="X35" s="4">
        <f t="shared" si="6"/>
        <v>53.928614647654463</v>
      </c>
      <c r="Y35" s="5">
        <f t="shared" si="7"/>
        <v>109.96864751609377</v>
      </c>
      <c r="Z35" s="4">
        <f>IF(ISBLANK(R35),"",R35/RelMean*100)</f>
        <v>212.24576560856741</v>
      </c>
      <c r="AA35" s="4">
        <f>IF(ISBLANK(S35),"",S35/RelMean*100)</f>
        <v>110.01884977397707</v>
      </c>
      <c r="AB35" s="4">
        <f>IF(ISBLANK(T35),"",T35/RelMean*100)</f>
        <v>97.948514401411202</v>
      </c>
      <c r="AC35" s="4">
        <f>IF(ISBLANK(U35),"",U35/RelMean*100)</f>
        <v>60.822340275388001</v>
      </c>
      <c r="AD35" s="4">
        <f>IF(ISBLANK(V35),"",V35/RelMean*100)</f>
        <v>133.07133256715119</v>
      </c>
      <c r="AE35" s="4">
        <f>IF(ISBLANK(W35),"",W35/RelMean*100)</f>
        <v>35.021407436524555</v>
      </c>
      <c r="AF35" s="4">
        <f>IF(ISBLANK(X35),"",X35/RelMean*100)</f>
        <v>50.576240107686864</v>
      </c>
      <c r="AG35" s="9">
        <f>IF(ISBLANK(Y35),"",Y35/RelMean*100)</f>
        <v>103.13264595113129</v>
      </c>
      <c r="AH35" s="7">
        <f t="shared" si="8"/>
        <v>100.3546370152297</v>
      </c>
      <c r="AI35" s="5">
        <f t="shared" si="9"/>
        <v>56.068876985684227</v>
      </c>
    </row>
    <row r="36" spans="1:35" ht="15.75" x14ac:dyDescent="0.25">
      <c r="A36" s="13" t="s">
        <v>911</v>
      </c>
      <c r="I36" s="3"/>
      <c r="Q36" s="3"/>
      <c r="R36" s="4" t="str">
        <f t="shared" si="0"/>
        <v/>
      </c>
      <c r="S36" s="4" t="str">
        <f t="shared" si="1"/>
        <v/>
      </c>
      <c r="T36" s="4" t="str">
        <f t="shared" si="2"/>
        <v/>
      </c>
      <c r="U36" s="4" t="str">
        <f t="shared" si="3"/>
        <v/>
      </c>
      <c r="V36" s="4" t="str">
        <f t="shared" si="4"/>
        <v/>
      </c>
      <c r="W36" s="4" t="str">
        <f t="shared" si="5"/>
        <v/>
      </c>
      <c r="X36" s="4" t="str">
        <f t="shared" si="6"/>
        <v/>
      </c>
      <c r="Y36" s="5" t="str">
        <f t="shared" si="7"/>
        <v/>
      </c>
      <c r="Z36" s="4" t="e">
        <f>IF(ISBLANK(R36),"",R36/RelMean*100)</f>
        <v>#VALUE!</v>
      </c>
      <c r="AA36" s="4" t="e">
        <f>IF(ISBLANK(S36),"",S36/RelMean*100)</f>
        <v>#VALUE!</v>
      </c>
      <c r="AB36" s="4" t="e">
        <f>IF(ISBLANK(T36),"",T36/RelMean*100)</f>
        <v>#VALUE!</v>
      </c>
      <c r="AC36" s="4" t="e">
        <f>IF(ISBLANK(U36),"",U36/RelMean*100)</f>
        <v>#VALUE!</v>
      </c>
      <c r="AD36" s="4" t="e">
        <f>IF(ISBLANK(V36),"",V36/RelMean*100)</f>
        <v>#VALUE!</v>
      </c>
      <c r="AE36" s="4" t="e">
        <f>IF(ISBLANK(W36),"",W36/RelMean*100)</f>
        <v>#VALUE!</v>
      </c>
      <c r="AF36" s="4" t="e">
        <f>IF(ISBLANK(X36),"",X36/RelMean*100)</f>
        <v>#VALUE!</v>
      </c>
      <c r="AG36" s="9" t="e">
        <f>IF(ISBLANK(Y36),"",Y36/RelMean*100)</f>
        <v>#VALUE!</v>
      </c>
      <c r="AH36" s="7" t="e">
        <f t="shared" si="8"/>
        <v>#VALUE!</v>
      </c>
      <c r="AI36" s="5" t="e">
        <f t="shared" si="9"/>
        <v>#VALUE!</v>
      </c>
    </row>
    <row r="37" spans="1:35" x14ac:dyDescent="0.25">
      <c r="A37" s="11" t="s">
        <v>109</v>
      </c>
      <c r="B37">
        <v>0.37009599999999998</v>
      </c>
      <c r="C37">
        <v>0.156608</v>
      </c>
      <c r="D37">
        <v>0.42882199999999998</v>
      </c>
      <c r="E37">
        <v>0.48146800000000001</v>
      </c>
      <c r="F37">
        <v>0.235789</v>
      </c>
      <c r="G37">
        <v>0.44621300000000003</v>
      </c>
      <c r="H37">
        <v>0.43856699999999998</v>
      </c>
      <c r="I37" s="3">
        <v>0.40393899999999999</v>
      </c>
      <c r="J37">
        <v>0.54440699999999997</v>
      </c>
      <c r="K37">
        <v>0.20707400000000001</v>
      </c>
      <c r="L37">
        <v>0.49762499999999998</v>
      </c>
      <c r="M37">
        <v>0.57329399999999997</v>
      </c>
      <c r="N37">
        <v>0.28656700000000002</v>
      </c>
      <c r="O37">
        <v>0.56853500000000001</v>
      </c>
      <c r="P37">
        <v>0.53708699999999998</v>
      </c>
      <c r="Q37" s="3">
        <v>0.51137900000000003</v>
      </c>
      <c r="R37" s="4">
        <f t="shared" si="0"/>
        <v>147.09886083610741</v>
      </c>
      <c r="S37" s="4">
        <f t="shared" si="1"/>
        <v>132.22440743767879</v>
      </c>
      <c r="T37" s="4">
        <f t="shared" si="2"/>
        <v>116.04465255980337</v>
      </c>
      <c r="U37" s="4">
        <f t="shared" si="3"/>
        <v>119.07208786461405</v>
      </c>
      <c r="V37" s="4">
        <f t="shared" si="4"/>
        <v>121.5353557629915</v>
      </c>
      <c r="W37" s="4">
        <f t="shared" si="5"/>
        <v>127.41336536586788</v>
      </c>
      <c r="X37" s="4">
        <f t="shared" si="6"/>
        <v>122.46407048409935</v>
      </c>
      <c r="Y37" s="5">
        <f t="shared" si="7"/>
        <v>126.59807545198657</v>
      </c>
      <c r="Z37" s="4">
        <f>IF(ISBLANK(R37),"",R37/RelMean*100)</f>
        <v>149.20625361147356</v>
      </c>
      <c r="AA37" s="4">
        <f>IF(ISBLANK(S37),"",S37/RelMean*100)</f>
        <v>134.11870328318975</v>
      </c>
      <c r="AB37" s="4">
        <f>IF(ISBLANK(T37),"",T37/RelMean*100)</f>
        <v>117.70715124289566</v>
      </c>
      <c r="AC37" s="4">
        <f>IF(ISBLANK(U37),"",U37/RelMean*100)</f>
        <v>120.77795870744285</v>
      </c>
      <c r="AD37" s="4">
        <f>IF(ISBLANK(V37),"",V37/RelMean*100)</f>
        <v>123.27651629428782</v>
      </c>
      <c r="AE37" s="4">
        <f>IF(ISBLANK(W37),"",W37/RelMean*100)</f>
        <v>129.23873644033378</v>
      </c>
      <c r="AF37" s="4">
        <f>IF(ISBLANK(X37),"",X37/RelMean*100)</f>
        <v>124.21853612654688</v>
      </c>
      <c r="AG37" s="9">
        <f>IF(ISBLANK(Y37),"",Y37/RelMean*100)</f>
        <v>128.41176638110957</v>
      </c>
      <c r="AH37" s="7">
        <f t="shared" si="8"/>
        <v>128.36945276090998</v>
      </c>
      <c r="AI37" s="5">
        <f t="shared" si="9"/>
        <v>9.8739712823673624</v>
      </c>
    </row>
    <row r="38" spans="1:35" x14ac:dyDescent="0.25">
      <c r="A38" s="11" t="s">
        <v>110</v>
      </c>
      <c r="B38">
        <v>5.3937359999999996</v>
      </c>
      <c r="C38">
        <v>0.389264</v>
      </c>
      <c r="D38">
        <v>2.4770560000000001</v>
      </c>
      <c r="E38">
        <v>5.974736</v>
      </c>
      <c r="F38">
        <v>1.0778190000000001</v>
      </c>
      <c r="G38">
        <v>6.088222</v>
      </c>
      <c r="H38">
        <v>3.9895420000000001</v>
      </c>
      <c r="I38" s="3">
        <v>4.03</v>
      </c>
      <c r="J38">
        <v>12.548778</v>
      </c>
      <c r="K38">
        <v>1.166736</v>
      </c>
      <c r="L38">
        <v>5.3478890000000003</v>
      </c>
      <c r="M38">
        <v>11.904610999999999</v>
      </c>
      <c r="N38">
        <v>2.4591669999999999</v>
      </c>
      <c r="O38">
        <v>13.524667000000001</v>
      </c>
      <c r="P38">
        <v>9.5147499999999994</v>
      </c>
      <c r="Q38" s="3">
        <v>12.971792000000001</v>
      </c>
      <c r="R38" s="4">
        <f t="shared" si="0"/>
        <v>232.65465718010674</v>
      </c>
      <c r="S38" s="4">
        <f t="shared" si="1"/>
        <v>299.72871881293929</v>
      </c>
      <c r="T38" s="4">
        <f t="shared" si="2"/>
        <v>215.89697608774284</v>
      </c>
      <c r="U38" s="4">
        <f t="shared" si="3"/>
        <v>199.24915510911276</v>
      </c>
      <c r="V38" s="4">
        <f t="shared" si="4"/>
        <v>228.16140743482899</v>
      </c>
      <c r="W38" s="4">
        <f t="shared" si="5"/>
        <v>222.14477395863685</v>
      </c>
      <c r="X38" s="4">
        <f t="shared" si="6"/>
        <v>238.49228808720397</v>
      </c>
      <c r="Y38" s="5">
        <f t="shared" si="7"/>
        <v>321.88069478908187</v>
      </c>
      <c r="Z38" s="4">
        <f>IF(ISBLANK(R38),"",R38/RelMean*100)</f>
        <v>220.43619047086085</v>
      </c>
      <c r="AA38" s="4">
        <f>IF(ISBLANK(S38),"",S38/RelMean*100)</f>
        <v>283.98768264796905</v>
      </c>
      <c r="AB38" s="4">
        <f>IF(ISBLANK(T38),"",T38/RelMean*100)</f>
        <v>204.5585827500465</v>
      </c>
      <c r="AC38" s="4">
        <f>IF(ISBLANK(U38),"",U38/RelMean*100)</f>
        <v>188.78506555228341</v>
      </c>
      <c r="AD38" s="4">
        <f>IF(ISBLANK(V38),"",V38/RelMean*100)</f>
        <v>216.17891546640467</v>
      </c>
      <c r="AE38" s="4">
        <f>IF(ISBLANK(W38),"",W38/RelMean*100)</f>
        <v>210.47826120473422</v>
      </c>
      <c r="AF38" s="4">
        <f>IF(ISBLANK(X38),"",X38/RelMean*100)</f>
        <v>225.96724295067125</v>
      </c>
      <c r="AG38" s="9">
        <f>IF(ISBLANK(Y38),"",Y38/RelMean*100)</f>
        <v>304.9762897739493</v>
      </c>
      <c r="AH38" s="7">
        <f t="shared" si="8"/>
        <v>231.92102885211492</v>
      </c>
      <c r="AI38" s="5">
        <f t="shared" si="9"/>
        <v>40.589192561883259</v>
      </c>
    </row>
    <row r="39" spans="1:35" x14ac:dyDescent="0.25">
      <c r="A39" s="11" t="s">
        <v>111</v>
      </c>
      <c r="B39">
        <v>28</v>
      </c>
      <c r="C39">
        <v>15</v>
      </c>
      <c r="D39">
        <v>16</v>
      </c>
      <c r="E39">
        <v>19</v>
      </c>
      <c r="F39">
        <v>30</v>
      </c>
      <c r="G39">
        <v>27</v>
      </c>
      <c r="H39">
        <v>29</v>
      </c>
      <c r="I39" s="3">
        <v>15</v>
      </c>
      <c r="J39">
        <v>22</v>
      </c>
      <c r="K39">
        <v>22</v>
      </c>
      <c r="L39">
        <v>25</v>
      </c>
      <c r="M39">
        <v>26</v>
      </c>
      <c r="N39">
        <v>28</v>
      </c>
      <c r="O39">
        <v>27</v>
      </c>
      <c r="P39">
        <v>25</v>
      </c>
      <c r="Q39" s="3">
        <v>19</v>
      </c>
      <c r="R39" s="4">
        <f t="shared" si="0"/>
        <v>78.571428571428569</v>
      </c>
      <c r="S39" s="4">
        <f t="shared" si="1"/>
        <v>146.66666666666666</v>
      </c>
      <c r="T39" s="4">
        <f t="shared" si="2"/>
        <v>156.25</v>
      </c>
      <c r="U39" s="4">
        <f t="shared" si="3"/>
        <v>136.84210526315789</v>
      </c>
      <c r="V39" s="4">
        <f t="shared" si="4"/>
        <v>93.333333333333329</v>
      </c>
      <c r="W39" s="4">
        <f t="shared" si="5"/>
        <v>100</v>
      </c>
      <c r="X39" s="4">
        <f t="shared" si="6"/>
        <v>86.206896551724128</v>
      </c>
      <c r="Y39" s="5">
        <f t="shared" si="7"/>
        <v>126.66666666666666</v>
      </c>
      <c r="Z39" s="4">
        <f>IF(ISBLANK(R39),"",R39/RelMean*100)</f>
        <v>78.930071409472205</v>
      </c>
      <c r="AA39" s="4">
        <f>IF(ISBLANK(S39),"",S39/RelMean*100)</f>
        <v>147.33613329768144</v>
      </c>
      <c r="AB39" s="4">
        <f>IF(ISBLANK(T39),"",T39/RelMean*100)</f>
        <v>156.96321018929132</v>
      </c>
      <c r="AC39" s="4">
        <f>IF(ISBLANK(U39),"",U39/RelMean*100)</f>
        <v>137.46672723946355</v>
      </c>
      <c r="AD39" s="4">
        <f>IF(ISBLANK(V39),"",V39/RelMean*100)</f>
        <v>93.759357553070004</v>
      </c>
      <c r="AE39" s="4">
        <f>IF(ISBLANK(W39),"",W39/RelMean*100)</f>
        <v>100.45645452114644</v>
      </c>
      <c r="AF39" s="4">
        <f>IF(ISBLANK(X39),"",X39/RelMean*100)</f>
        <v>86.600391828574516</v>
      </c>
      <c r="AG39" s="9">
        <f>IF(ISBLANK(Y39),"",Y39/RelMean*100)</f>
        <v>127.24484239345215</v>
      </c>
      <c r="AH39" s="7">
        <f t="shared" si="8"/>
        <v>116.09464855401896</v>
      </c>
      <c r="AI39" s="5">
        <f t="shared" si="9"/>
        <v>29.813461916064821</v>
      </c>
    </row>
    <row r="40" spans="1:35" x14ac:dyDescent="0.25">
      <c r="A40" s="11" t="s">
        <v>112</v>
      </c>
      <c r="B40">
        <v>76</v>
      </c>
      <c r="C40">
        <v>80</v>
      </c>
      <c r="D40">
        <v>75</v>
      </c>
      <c r="E40">
        <v>89</v>
      </c>
      <c r="F40">
        <v>71</v>
      </c>
      <c r="G40">
        <v>97</v>
      </c>
      <c r="H40">
        <v>82</v>
      </c>
      <c r="I40" s="3">
        <v>64</v>
      </c>
      <c r="J40">
        <v>70</v>
      </c>
      <c r="K40">
        <v>70</v>
      </c>
      <c r="L40">
        <v>74</v>
      </c>
      <c r="M40">
        <v>78</v>
      </c>
      <c r="N40">
        <v>66</v>
      </c>
      <c r="O40">
        <v>92</v>
      </c>
      <c r="P40">
        <v>79</v>
      </c>
      <c r="Q40" s="3">
        <v>71</v>
      </c>
      <c r="R40" s="4">
        <f t="shared" si="0"/>
        <v>92.10526315789474</v>
      </c>
      <c r="S40" s="4">
        <f t="shared" si="1"/>
        <v>87.5</v>
      </c>
      <c r="T40" s="4">
        <f t="shared" si="2"/>
        <v>98.666666666666671</v>
      </c>
      <c r="U40" s="4">
        <f t="shared" si="3"/>
        <v>87.640449438202253</v>
      </c>
      <c r="V40" s="4">
        <f t="shared" si="4"/>
        <v>92.957746478873233</v>
      </c>
      <c r="W40" s="4">
        <f t="shared" si="5"/>
        <v>94.845360824742258</v>
      </c>
      <c r="X40" s="4">
        <f t="shared" si="6"/>
        <v>96.341463414634148</v>
      </c>
      <c r="Y40" s="5">
        <f t="shared" si="7"/>
        <v>110.9375</v>
      </c>
      <c r="Z40" s="4">
        <f>IF(ISBLANK(R40),"",R40/RelMean*100)</f>
        <v>94.354781569560458</v>
      </c>
      <c r="AA40" s="4">
        <f>IF(ISBLANK(S40),"",S40/RelMean*100)</f>
        <v>89.63704249108244</v>
      </c>
      <c r="AB40" s="4">
        <f>IF(ISBLANK(T40),"",T40/RelMean*100)</f>
        <v>101.0764364851825</v>
      </c>
      <c r="AC40" s="4">
        <f>IF(ISBLANK(U40),"",U40/RelMean*100)</f>
        <v>89.780922174053686</v>
      </c>
      <c r="AD40" s="4">
        <f>IF(ISBLANK(V40),"",V40/RelMean*100)</f>
        <v>95.228085382880337</v>
      </c>
      <c r="AE40" s="4">
        <f>IF(ISBLANK(W40),"",W40/RelMean*100)</f>
        <v>97.161801580908204</v>
      </c>
      <c r="AF40" s="4">
        <f>IF(ISBLANK(X40),"",X40/RelMean*100)</f>
        <v>98.694443997150003</v>
      </c>
      <c r="AG40" s="9">
        <f>IF(ISBLANK(Y40),"",Y40/RelMean*100)</f>
        <v>113.64696458690808</v>
      </c>
      <c r="AH40" s="7">
        <f t="shared" si="8"/>
        <v>97.447559783465707</v>
      </c>
      <c r="AI40" s="5">
        <f t="shared" si="9"/>
        <v>7.6671721029953268</v>
      </c>
    </row>
    <row r="41" spans="1:35" x14ac:dyDescent="0.25">
      <c r="A41" s="11" t="s">
        <v>113</v>
      </c>
      <c r="B41" t="s">
        <v>114</v>
      </c>
      <c r="C41" t="s">
        <v>114</v>
      </c>
      <c r="D41" t="s">
        <v>114</v>
      </c>
      <c r="E41" t="s">
        <v>114</v>
      </c>
      <c r="F41" t="s">
        <v>114</v>
      </c>
      <c r="G41" t="s">
        <v>114</v>
      </c>
      <c r="H41" t="s">
        <v>114</v>
      </c>
      <c r="I41" s="3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s="3" t="s">
        <v>114</v>
      </c>
      <c r="R41" s="4" t="e">
        <f t="shared" si="0"/>
        <v>#VALUE!</v>
      </c>
      <c r="S41" s="4" t="e">
        <f t="shared" si="1"/>
        <v>#VALUE!</v>
      </c>
      <c r="T41" s="4" t="e">
        <f t="shared" si="2"/>
        <v>#VALUE!</v>
      </c>
      <c r="U41" s="4" t="e">
        <f t="shared" si="3"/>
        <v>#VALUE!</v>
      </c>
      <c r="V41" s="4" t="e">
        <f t="shared" si="4"/>
        <v>#VALUE!</v>
      </c>
      <c r="W41" s="4" t="e">
        <f t="shared" si="5"/>
        <v>#VALUE!</v>
      </c>
      <c r="X41" s="4" t="e">
        <f t="shared" si="6"/>
        <v>#VALUE!</v>
      </c>
      <c r="Y41" s="5" t="e">
        <f t="shared" si="7"/>
        <v>#VALUE!</v>
      </c>
      <c r="Z41" s="4" t="e">
        <f>IF(ISBLANK(R41),"",R41/RelMean*100)</f>
        <v>#VALUE!</v>
      </c>
      <c r="AA41" s="4" t="e">
        <f>IF(ISBLANK(S41),"",S41/RelMean*100)</f>
        <v>#VALUE!</v>
      </c>
      <c r="AB41" s="4" t="e">
        <f>IF(ISBLANK(T41),"",T41/RelMean*100)</f>
        <v>#VALUE!</v>
      </c>
      <c r="AC41" s="4" t="e">
        <f>IF(ISBLANK(U41),"",U41/RelMean*100)</f>
        <v>#VALUE!</v>
      </c>
      <c r="AD41" s="4" t="e">
        <f>IF(ISBLANK(V41),"",V41/RelMean*100)</f>
        <v>#VALUE!</v>
      </c>
      <c r="AE41" s="4" t="e">
        <f>IF(ISBLANK(W41),"",W41/RelMean*100)</f>
        <v>#VALUE!</v>
      </c>
      <c r="AF41" s="4" t="e">
        <f>IF(ISBLANK(X41),"",X41/RelMean*100)</f>
        <v>#VALUE!</v>
      </c>
      <c r="AG41" s="9" t="e">
        <f>IF(ISBLANK(Y41),"",Y41/RelMean*100)</f>
        <v>#VALUE!</v>
      </c>
      <c r="AH41" s="7" t="e">
        <f t="shared" si="8"/>
        <v>#VALUE!</v>
      </c>
      <c r="AI41" s="5" t="e">
        <f t="shared" si="9"/>
        <v>#VALUE!</v>
      </c>
    </row>
    <row r="42" spans="1:35" x14ac:dyDescent="0.25">
      <c r="A42" s="11" t="s">
        <v>115</v>
      </c>
      <c r="B42" t="s">
        <v>114</v>
      </c>
      <c r="C42" t="s">
        <v>114</v>
      </c>
      <c r="D42" t="s">
        <v>114</v>
      </c>
      <c r="E42" t="s">
        <v>114</v>
      </c>
      <c r="F42" t="s">
        <v>114</v>
      </c>
      <c r="G42" t="s">
        <v>114</v>
      </c>
      <c r="H42" t="s">
        <v>114</v>
      </c>
      <c r="I42" s="3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114</v>
      </c>
      <c r="P42" t="s">
        <v>114</v>
      </c>
      <c r="Q42" s="3" t="s">
        <v>114</v>
      </c>
      <c r="R42" s="4" t="e">
        <f t="shared" si="0"/>
        <v>#VALUE!</v>
      </c>
      <c r="S42" s="4" t="e">
        <f t="shared" si="1"/>
        <v>#VALUE!</v>
      </c>
      <c r="T42" s="4" t="e">
        <f t="shared" si="2"/>
        <v>#VALUE!</v>
      </c>
      <c r="U42" s="4" t="e">
        <f t="shared" si="3"/>
        <v>#VALUE!</v>
      </c>
      <c r="V42" s="4" t="e">
        <f t="shared" si="4"/>
        <v>#VALUE!</v>
      </c>
      <c r="W42" s="4" t="e">
        <f t="shared" si="5"/>
        <v>#VALUE!</v>
      </c>
      <c r="X42" s="4" t="e">
        <f t="shared" si="6"/>
        <v>#VALUE!</v>
      </c>
      <c r="Y42" s="5" t="e">
        <f t="shared" si="7"/>
        <v>#VALUE!</v>
      </c>
      <c r="Z42" s="4" t="e">
        <f>IF(ISBLANK(R42),"",R42/RelMean*100)</f>
        <v>#VALUE!</v>
      </c>
      <c r="AA42" s="4" t="e">
        <f>IF(ISBLANK(S42),"",S42/RelMean*100)</f>
        <v>#VALUE!</v>
      </c>
      <c r="AB42" s="4" t="e">
        <f>IF(ISBLANK(T42),"",T42/RelMean*100)</f>
        <v>#VALUE!</v>
      </c>
      <c r="AC42" s="4" t="e">
        <f>IF(ISBLANK(U42),"",U42/RelMean*100)</f>
        <v>#VALUE!</v>
      </c>
      <c r="AD42" s="4" t="e">
        <f>IF(ISBLANK(V42),"",V42/RelMean*100)</f>
        <v>#VALUE!</v>
      </c>
      <c r="AE42" s="4" t="e">
        <f>IF(ISBLANK(W42),"",W42/RelMean*100)</f>
        <v>#VALUE!</v>
      </c>
      <c r="AF42" s="4" t="e">
        <f>IF(ISBLANK(X42),"",X42/RelMean*100)</f>
        <v>#VALUE!</v>
      </c>
      <c r="AG42" s="9" t="e">
        <f>IF(ISBLANK(Y42),"",Y42/RelMean*100)</f>
        <v>#VALUE!</v>
      </c>
      <c r="AH42" s="7" t="e">
        <f t="shared" si="8"/>
        <v>#VALUE!</v>
      </c>
      <c r="AI42" s="5" t="e">
        <f t="shared" si="9"/>
        <v>#VALUE!</v>
      </c>
    </row>
    <row r="43" spans="1:35" x14ac:dyDescent="0.25">
      <c r="A43" s="11" t="s">
        <v>116</v>
      </c>
      <c r="I43" s="3"/>
      <c r="Q43" s="3"/>
      <c r="R43" s="4" t="str">
        <f t="shared" si="0"/>
        <v/>
      </c>
      <c r="S43" s="4" t="str">
        <f t="shared" si="1"/>
        <v/>
      </c>
      <c r="T43" s="4" t="str">
        <f t="shared" si="2"/>
        <v/>
      </c>
      <c r="U43" s="4" t="str">
        <f t="shared" si="3"/>
        <v/>
      </c>
      <c r="V43" s="4" t="str">
        <f t="shared" si="4"/>
        <v/>
      </c>
      <c r="W43" s="4" t="str">
        <f t="shared" si="5"/>
        <v/>
      </c>
      <c r="X43" s="4" t="str">
        <f t="shared" si="6"/>
        <v/>
      </c>
      <c r="Y43" s="5" t="str">
        <f t="shared" si="7"/>
        <v/>
      </c>
      <c r="Z43" s="4" t="e">
        <f>IF(ISBLANK(R43),"",R43/RelMean*100)</f>
        <v>#VALUE!</v>
      </c>
      <c r="AA43" s="4" t="e">
        <f>IF(ISBLANK(S43),"",S43/RelMean*100)</f>
        <v>#VALUE!</v>
      </c>
      <c r="AB43" s="4" t="e">
        <f>IF(ISBLANK(T43),"",T43/RelMean*100)</f>
        <v>#VALUE!</v>
      </c>
      <c r="AC43" s="4" t="e">
        <f>IF(ISBLANK(U43),"",U43/RelMean*100)</f>
        <v>#VALUE!</v>
      </c>
      <c r="AD43" s="4" t="e">
        <f>IF(ISBLANK(V43),"",V43/RelMean*100)</f>
        <v>#VALUE!</v>
      </c>
      <c r="AE43" s="4" t="e">
        <f>IF(ISBLANK(W43),"",W43/RelMean*100)</f>
        <v>#VALUE!</v>
      </c>
      <c r="AF43" s="4" t="e">
        <f>IF(ISBLANK(X43),"",X43/RelMean*100)</f>
        <v>#VALUE!</v>
      </c>
      <c r="AG43" s="9" t="e">
        <f>IF(ISBLANK(Y43),"",Y43/RelMean*100)</f>
        <v>#VALUE!</v>
      </c>
      <c r="AH43" s="7" t="e">
        <f t="shared" si="8"/>
        <v>#VALUE!</v>
      </c>
      <c r="AI43" s="5" t="e">
        <f t="shared" si="9"/>
        <v>#VALUE!</v>
      </c>
    </row>
    <row r="44" spans="1:35" x14ac:dyDescent="0.25">
      <c r="A44" s="11" t="s">
        <v>117</v>
      </c>
      <c r="B44">
        <v>11</v>
      </c>
      <c r="C44">
        <v>13</v>
      </c>
      <c r="D44">
        <v>12</v>
      </c>
      <c r="E44">
        <v>44</v>
      </c>
      <c r="F44">
        <v>44</v>
      </c>
      <c r="G44">
        <v>44</v>
      </c>
      <c r="H44">
        <v>34</v>
      </c>
      <c r="I44" s="3">
        <v>44</v>
      </c>
      <c r="J44">
        <v>12</v>
      </c>
      <c r="K44">
        <v>13</v>
      </c>
      <c r="L44">
        <v>12</v>
      </c>
      <c r="M44">
        <v>14</v>
      </c>
      <c r="N44">
        <v>44</v>
      </c>
      <c r="O44">
        <v>44</v>
      </c>
      <c r="P44">
        <v>41</v>
      </c>
      <c r="Q44" s="3">
        <v>44</v>
      </c>
      <c r="R44" s="4">
        <f t="shared" si="0"/>
        <v>109.09090909090908</v>
      </c>
      <c r="S44" s="4">
        <f t="shared" si="1"/>
        <v>100</v>
      </c>
      <c r="T44" s="4">
        <f t="shared" si="2"/>
        <v>100</v>
      </c>
      <c r="U44" s="4">
        <f t="shared" si="3"/>
        <v>31.818181818181817</v>
      </c>
      <c r="V44" s="4">
        <f t="shared" si="4"/>
        <v>100</v>
      </c>
      <c r="W44" s="4">
        <f t="shared" si="5"/>
        <v>100</v>
      </c>
      <c r="X44" s="4">
        <f t="shared" si="6"/>
        <v>120.58823529411764</v>
      </c>
      <c r="Y44" s="5">
        <f t="shared" si="7"/>
        <v>100</v>
      </c>
      <c r="Z44" s="4">
        <f>IF(ISBLANK(R44),"",R44/RelMean*100)</f>
        <v>115.39169911304263</v>
      </c>
      <c r="AA44" s="4">
        <f>IF(ISBLANK(S44),"",S44/RelMean*100)</f>
        <v>105.77572418695576</v>
      </c>
      <c r="AB44" s="4">
        <f>IF(ISBLANK(T44),"",T44/RelMean*100)</f>
        <v>105.77572418695576</v>
      </c>
      <c r="AC44" s="4">
        <f>IF(ISBLANK(U44),"",U44/RelMean*100)</f>
        <v>33.655912241304101</v>
      </c>
      <c r="AD44" s="4">
        <f>IF(ISBLANK(V44),"",V44/RelMean*100)</f>
        <v>105.77572418695576</v>
      </c>
      <c r="AE44" s="4">
        <f>IF(ISBLANK(W44),"",W44/RelMean*100)</f>
        <v>105.77572418695576</v>
      </c>
      <c r="AF44" s="4">
        <f>IF(ISBLANK(X44),"",X44/RelMean*100)</f>
        <v>127.55307916662311</v>
      </c>
      <c r="AG44" s="9">
        <f>IF(ISBLANK(Y44),"",Y44/RelMean*100)</f>
        <v>105.77572418695576</v>
      </c>
      <c r="AH44" s="7">
        <f t="shared" si="8"/>
        <v>100.68491393196859</v>
      </c>
      <c r="AI44" s="5">
        <f t="shared" si="9"/>
        <v>28.184739149170387</v>
      </c>
    </row>
    <row r="45" spans="1:35" x14ac:dyDescent="0.25">
      <c r="A45" s="11" t="s">
        <v>118</v>
      </c>
      <c r="B45">
        <v>37.356321999999999</v>
      </c>
      <c r="C45">
        <v>59.090909000000003</v>
      </c>
      <c r="D45">
        <v>44.444443999999997</v>
      </c>
      <c r="E45">
        <v>27.083333</v>
      </c>
      <c r="F45">
        <v>64.948453999999998</v>
      </c>
      <c r="G45">
        <v>22.916667</v>
      </c>
      <c r="H45">
        <v>40.449438000000001</v>
      </c>
      <c r="I45" s="3">
        <v>20.134228</v>
      </c>
      <c r="J45">
        <v>25.503356</v>
      </c>
      <c r="K45">
        <v>55.970148999999999</v>
      </c>
      <c r="L45">
        <v>40.163933999999998</v>
      </c>
      <c r="M45">
        <v>29.464286000000001</v>
      </c>
      <c r="N45">
        <v>38.059700999999997</v>
      </c>
      <c r="O45">
        <v>38.260869999999997</v>
      </c>
      <c r="P45">
        <v>27.5</v>
      </c>
      <c r="Q45" s="3">
        <v>27.108433999999999</v>
      </c>
      <c r="R45" s="4">
        <f t="shared" si="0"/>
        <v>68.270521921296208</v>
      </c>
      <c r="S45" s="4">
        <f t="shared" si="1"/>
        <v>94.718713838028776</v>
      </c>
      <c r="T45" s="4">
        <f t="shared" si="2"/>
        <v>90.368852403688521</v>
      </c>
      <c r="U45" s="4">
        <f t="shared" si="3"/>
        <v>108.79121118512261</v>
      </c>
      <c r="V45" s="4">
        <f t="shared" si="4"/>
        <v>58.599856741778645</v>
      </c>
      <c r="W45" s="4">
        <f t="shared" si="5"/>
        <v>166.95652120790513</v>
      </c>
      <c r="X45" s="4">
        <f t="shared" si="6"/>
        <v>67.986111451041666</v>
      </c>
      <c r="Y45" s="5">
        <f t="shared" si="7"/>
        <v>134.63855678995986</v>
      </c>
      <c r="Z45" s="4">
        <f>IF(ISBLANK(R45),"",R45/RelMean*100)</f>
        <v>53.427586315590659</v>
      </c>
      <c r="AA45" s="4">
        <f>IF(ISBLANK(S45),"",S45/RelMean*100)</f>
        <v>74.125583295188207</v>
      </c>
      <c r="AB45" s="4">
        <f>IF(ISBLANK(T45),"",T45/RelMean*100)</f>
        <v>70.721440618324067</v>
      </c>
      <c r="AC45" s="4">
        <f>IF(ISBLANK(U45),"",U45/RelMean*100)</f>
        <v>85.138529227468268</v>
      </c>
      <c r="AD45" s="4">
        <f>IF(ISBLANK(V45),"",V45/RelMean*100)</f>
        <v>45.859454652506372</v>
      </c>
      <c r="AE45" s="4">
        <f>IF(ISBLANK(W45),"",W45/RelMean*100)</f>
        <v>130.65791349990508</v>
      </c>
      <c r="AF45" s="4">
        <f>IF(ISBLANK(X45),"",X45/RelMean*100)</f>
        <v>53.205010531475516</v>
      </c>
      <c r="AG45" s="9">
        <f>IF(ISBLANK(Y45),"",Y45/RelMean*100)</f>
        <v>105.36631201669829</v>
      </c>
      <c r="AH45" s="7">
        <f t="shared" si="8"/>
        <v>77.312728769644565</v>
      </c>
      <c r="AI45" s="5">
        <f t="shared" si="9"/>
        <v>29.003814913778335</v>
      </c>
    </row>
    <row r="46" spans="1:35" x14ac:dyDescent="0.25">
      <c r="A46" s="11" t="s">
        <v>119</v>
      </c>
      <c r="B46">
        <v>1528.7356319999999</v>
      </c>
      <c r="C46">
        <v>818.18181800000002</v>
      </c>
      <c r="D46">
        <v>1188.8888890000001</v>
      </c>
      <c r="E46">
        <v>1718.75</v>
      </c>
      <c r="F46">
        <v>680.41237100000001</v>
      </c>
      <c r="G46">
        <v>1520.833333</v>
      </c>
      <c r="H46">
        <v>1292.1348310000001</v>
      </c>
      <c r="I46" s="3">
        <v>926.17449699999997</v>
      </c>
      <c r="J46">
        <v>2610.7382550000002</v>
      </c>
      <c r="K46">
        <v>910.44776100000001</v>
      </c>
      <c r="L46">
        <v>1934.42623</v>
      </c>
      <c r="M46">
        <v>2276.7857140000001</v>
      </c>
      <c r="N46">
        <v>888.05970100000002</v>
      </c>
      <c r="O46">
        <v>2365.2173910000001</v>
      </c>
      <c r="P46">
        <v>2583.333333</v>
      </c>
      <c r="Q46" s="3">
        <v>1915.6626510000001</v>
      </c>
      <c r="R46" s="4">
        <f t="shared" si="0"/>
        <v>170.77761519723643</v>
      </c>
      <c r="S46" s="4">
        <f t="shared" si="1"/>
        <v>111.27694859139487</v>
      </c>
      <c r="T46" s="4">
        <f t="shared" si="2"/>
        <v>162.70874830255059</v>
      </c>
      <c r="U46" s="4">
        <f t="shared" si="3"/>
        <v>132.46753245090909</v>
      </c>
      <c r="V46" s="4">
        <f t="shared" si="4"/>
        <v>130.51786517267777</v>
      </c>
      <c r="W46" s="4">
        <f t="shared" si="5"/>
        <v>155.52114355189505</v>
      </c>
      <c r="X46" s="4">
        <f t="shared" si="6"/>
        <v>199.92753627736545</v>
      </c>
      <c r="Y46" s="5">
        <f t="shared" si="7"/>
        <v>206.8360397749108</v>
      </c>
      <c r="Z46" s="4">
        <f>IF(ISBLANK(R46),"",R46/RelMean*100)</f>
        <v>247.944011105264</v>
      </c>
      <c r="AA46" s="4">
        <f>IF(ISBLANK(S46),"",S46/RelMean*100)</f>
        <v>161.55778346851616</v>
      </c>
      <c r="AB46" s="4">
        <f>IF(ISBLANK(T46),"",T46/RelMean*100)</f>
        <v>236.2292016401459</v>
      </c>
      <c r="AC46" s="4">
        <f>IF(ISBLANK(U46),"",U46/RelMean*100)</f>
        <v>192.32339846859873</v>
      </c>
      <c r="AD46" s="4">
        <f>IF(ISBLANK(V46),"",V46/RelMean*100)</f>
        <v>189.49276797450821</v>
      </c>
      <c r="AE46" s="4">
        <f>IF(ISBLANK(W46),"",W46/RelMean*100)</f>
        <v>225.79385535627517</v>
      </c>
      <c r="AF46" s="4">
        <f>IF(ISBLANK(X46),"",X46/RelMean*100)</f>
        <v>290.26541457293604</v>
      </c>
      <c r="AG46" s="9">
        <f>IF(ISBLANK(Y46),"",Y46/RelMean*100)</f>
        <v>300.29554683551527</v>
      </c>
      <c r="AH46" s="7">
        <f t="shared" si="8"/>
        <v>230.48774742771997</v>
      </c>
      <c r="AI46" s="5">
        <f t="shared" si="9"/>
        <v>48.835967733942702</v>
      </c>
    </row>
    <row r="47" spans="1:35" x14ac:dyDescent="0.25">
      <c r="A47" s="11" t="s">
        <v>120</v>
      </c>
      <c r="B47">
        <v>42.5</v>
      </c>
      <c r="C47">
        <v>39.5</v>
      </c>
      <c r="D47">
        <v>16.5</v>
      </c>
      <c r="E47">
        <v>36.5</v>
      </c>
      <c r="F47">
        <v>8.5</v>
      </c>
      <c r="G47">
        <v>66.5</v>
      </c>
      <c r="H47">
        <v>52.5</v>
      </c>
      <c r="I47" s="3">
        <v>8.5</v>
      </c>
      <c r="J47">
        <v>28.5</v>
      </c>
      <c r="K47">
        <v>41.5</v>
      </c>
      <c r="L47">
        <v>32.5</v>
      </c>
      <c r="M47">
        <v>36.5</v>
      </c>
      <c r="N47">
        <v>12.5</v>
      </c>
      <c r="O47">
        <v>43.5</v>
      </c>
      <c r="P47">
        <v>28.5</v>
      </c>
      <c r="Q47" s="3">
        <v>32.5</v>
      </c>
      <c r="R47" s="4">
        <f t="shared" si="0"/>
        <v>67.058823529411754</v>
      </c>
      <c r="S47" s="4">
        <f t="shared" si="1"/>
        <v>105.0632911392405</v>
      </c>
      <c r="T47" s="4">
        <f t="shared" si="2"/>
        <v>196.96969696969697</v>
      </c>
      <c r="U47" s="4">
        <f t="shared" si="3"/>
        <v>100</v>
      </c>
      <c r="V47" s="4">
        <f t="shared" si="4"/>
        <v>147.05882352941177</v>
      </c>
      <c r="W47" s="4">
        <f t="shared" si="5"/>
        <v>65.413533834586474</v>
      </c>
      <c r="X47" s="4">
        <f t="shared" si="6"/>
        <v>54.285714285714285</v>
      </c>
      <c r="Y47" s="5">
        <f t="shared" si="7"/>
        <v>382.35294117647061</v>
      </c>
      <c r="Z47" s="4">
        <f>IF(ISBLANK(R47),"",R47/RelMean*100)</f>
        <v>83.64922837917679</v>
      </c>
      <c r="AA47" s="4">
        <f>IF(ISBLANK(S47),"",S47/RelMean*100)</f>
        <v>131.05603069400229</v>
      </c>
      <c r="AB47" s="4">
        <f>IF(ISBLANK(T47),"",T47/RelMean*100)</f>
        <v>245.70015246940554</v>
      </c>
      <c r="AC47" s="4">
        <f>IF(ISBLANK(U47),"",U47/RelMean*100)</f>
        <v>124.74007740754436</v>
      </c>
      <c r="AD47" s="4">
        <f>IF(ISBLANK(V47),"",V47/RelMean*100)</f>
        <v>183.44129030521228</v>
      </c>
      <c r="AE47" s="4">
        <f>IF(ISBLANK(W47),"",W47/RelMean*100)</f>
        <v>81.59689274027339</v>
      </c>
      <c r="AF47" s="4">
        <f>IF(ISBLANK(X47),"",X47/RelMean*100)</f>
        <v>67.716042021238366</v>
      </c>
      <c r="AG47" s="9">
        <f>IF(ISBLANK(Y47),"",Y47/RelMean*100)</f>
        <v>476.94735479355199</v>
      </c>
      <c r="AH47" s="7">
        <f t="shared" si="8"/>
        <v>174.35588360130063</v>
      </c>
      <c r="AI47" s="5">
        <f t="shared" si="9"/>
        <v>135.89635585306661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"/>
  <sheetViews>
    <sheetView zoomScale="75" zoomScaleNormal="75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48.7109375" style="12" bestFit="1" customWidth="1"/>
    <col min="2" max="17" width="9.28515625" bestFit="1" customWidth="1"/>
    <col min="18" max="25" width="10.5703125" bestFit="1" customWidth="1"/>
    <col min="34" max="34" width="10.5703125" bestFit="1" customWidth="1"/>
  </cols>
  <sheetData>
    <row r="1" spans="1:35" x14ac:dyDescent="0.25">
      <c r="A1" s="10" t="s">
        <v>917</v>
      </c>
      <c r="B1" t="s">
        <v>902</v>
      </c>
    </row>
    <row r="2" spans="1:35" x14ac:dyDescent="0.25">
      <c r="A2" s="11"/>
      <c r="B2" t="s">
        <v>903</v>
      </c>
      <c r="I2" s="3"/>
      <c r="J2" t="s">
        <v>904</v>
      </c>
      <c r="Q2" s="3"/>
      <c r="R2" t="s">
        <v>905</v>
      </c>
      <c r="Y2" s="3"/>
      <c r="Z2" t="s">
        <v>913</v>
      </c>
      <c r="AI2" s="3"/>
    </row>
    <row r="3" spans="1:35" ht="15.75" x14ac:dyDescent="0.25">
      <c r="A3" s="13"/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s="3" t="s">
        <v>51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s="3" t="s">
        <v>51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s="3" t="s">
        <v>51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s="8" t="s">
        <v>51</v>
      </c>
      <c r="AH3" s="6" t="s">
        <v>907</v>
      </c>
      <c r="AI3" s="3" t="s">
        <v>914</v>
      </c>
    </row>
    <row r="4" spans="1:35" x14ac:dyDescent="0.25">
      <c r="A4" s="11" t="s">
        <v>76</v>
      </c>
      <c r="I4" s="3"/>
      <c r="Q4" s="3"/>
      <c r="Y4" s="3"/>
      <c r="AG4" s="8"/>
      <c r="AH4" s="6"/>
      <c r="AI4" s="3"/>
    </row>
    <row r="5" spans="1:35" ht="15.75" x14ac:dyDescent="0.25">
      <c r="A5" s="13" t="s">
        <v>908</v>
      </c>
      <c r="I5" s="3"/>
      <c r="Q5" s="3"/>
      <c r="R5" s="4" t="str">
        <f t="shared" ref="R5:R47" si="0">IF(ISBLANK(J5),"",J5/B5*100)</f>
        <v/>
      </c>
      <c r="S5" s="4" t="str">
        <f t="shared" ref="S5:S47" si="1">IF(ISBLANK(K5),"",K5/C5*100)</f>
        <v/>
      </c>
      <c r="T5" s="4" t="str">
        <f t="shared" ref="T5:T47" si="2">IF(ISBLANK(L5),"",L5/D5*100)</f>
        <v/>
      </c>
      <c r="U5" s="4" t="str">
        <f t="shared" ref="U5:U47" si="3">IF(ISBLANK(M5),"",M5/E5*100)</f>
        <v/>
      </c>
      <c r="V5" s="4" t="str">
        <f t="shared" ref="V5:V47" si="4">IF(ISBLANK(N5),"",N5/F5*100)</f>
        <v/>
      </c>
      <c r="W5" s="4" t="str">
        <f t="shared" ref="W5:W47" si="5">IF(ISBLANK(O5),"",O5/G5*100)</f>
        <v/>
      </c>
      <c r="X5" s="4" t="str">
        <f t="shared" ref="X5:X47" si="6">IF(ISBLANK(P5),"",P5/H5*100)</f>
        <v/>
      </c>
      <c r="Y5" s="5" t="str">
        <f t="shared" ref="Y5:Y47" si="7">IF(ISBLANK(Q5),"",Q5/I5*100)</f>
        <v/>
      </c>
      <c r="Z5" s="4" t="e">
        <f>IF(ISBLANK(R5),"",R5/RelMean*100)</f>
        <v>#VALUE!</v>
      </c>
      <c r="AA5" s="4" t="e">
        <f>IF(ISBLANK(S5),"",S5/RelMean*100)</f>
        <v>#VALUE!</v>
      </c>
      <c r="AB5" s="4" t="e">
        <f>IF(ISBLANK(T5),"",T5/RelMean*100)</f>
        <v>#VALUE!</v>
      </c>
      <c r="AC5" s="4" t="e">
        <f>IF(ISBLANK(U5),"",U5/RelMean*100)</f>
        <v>#VALUE!</v>
      </c>
      <c r="AD5" s="4" t="e">
        <f>IF(ISBLANK(V5),"",V5/RelMean*100)</f>
        <v>#VALUE!</v>
      </c>
      <c r="AE5" s="4" t="e">
        <f>IF(ISBLANK(W5),"",W5/RelMean*100)</f>
        <v>#VALUE!</v>
      </c>
      <c r="AF5" s="4" t="e">
        <f>IF(ISBLANK(X5),"",X5/RelMean*100)</f>
        <v>#VALUE!</v>
      </c>
      <c r="AG5" s="9" t="e">
        <f>IF(ISBLANK(Y5),"",Y5/RelMean*100)</f>
        <v>#VALUE!</v>
      </c>
      <c r="AH5" s="7" t="e">
        <f t="shared" ref="AH5:AH47" si="8">AVERAGE(Z5:AG5)</f>
        <v>#VALUE!</v>
      </c>
      <c r="AI5" s="5" t="e">
        <f t="shared" ref="AI5:AI47" si="9">STDEV(Z5:AG5)</f>
        <v>#VALUE!</v>
      </c>
    </row>
    <row r="6" spans="1:35" x14ac:dyDescent="0.25">
      <c r="A6" s="11" t="s">
        <v>78</v>
      </c>
      <c r="B6">
        <v>17325</v>
      </c>
      <c r="C6">
        <v>4787</v>
      </c>
      <c r="D6">
        <v>11652</v>
      </c>
      <c r="E6">
        <v>11694</v>
      </c>
      <c r="F6">
        <v>16184</v>
      </c>
      <c r="G6">
        <v>16990</v>
      </c>
      <c r="H6">
        <v>17045</v>
      </c>
      <c r="I6" s="3">
        <v>18124</v>
      </c>
      <c r="J6">
        <v>26077</v>
      </c>
      <c r="K6">
        <v>9283</v>
      </c>
      <c r="L6">
        <v>29558</v>
      </c>
      <c r="M6">
        <v>21415</v>
      </c>
      <c r="N6">
        <v>39841</v>
      </c>
      <c r="O6">
        <v>35715</v>
      </c>
      <c r="P6">
        <v>32540</v>
      </c>
      <c r="Q6" s="3">
        <v>36672</v>
      </c>
      <c r="R6" s="4">
        <f t="shared" si="0"/>
        <v>150.51659451659452</v>
      </c>
      <c r="S6" s="4">
        <f t="shared" si="1"/>
        <v>193.92103613954458</v>
      </c>
      <c r="T6" s="4">
        <f t="shared" si="2"/>
        <v>253.67318915207687</v>
      </c>
      <c r="U6" s="4">
        <f t="shared" si="3"/>
        <v>183.1280998802805</v>
      </c>
      <c r="V6" s="4">
        <f t="shared" si="4"/>
        <v>246.17523479980227</v>
      </c>
      <c r="W6" s="4">
        <f t="shared" si="5"/>
        <v>210.2118893466745</v>
      </c>
      <c r="X6" s="4">
        <f t="shared" si="6"/>
        <v>190.90642417131122</v>
      </c>
      <c r="Y6" s="5">
        <f t="shared" si="7"/>
        <v>202.33943941734717</v>
      </c>
      <c r="Z6" s="4">
        <f>IF(ISBLANK(R6),"",R6/RelMean*100)</f>
        <v>136.08960367122893</v>
      </c>
      <c r="AA6" s="4">
        <f>IF(ISBLANK(S6),"",S6/RelMean*100)</f>
        <v>175.33373669861436</v>
      </c>
      <c r="AB6" s="4">
        <f>IF(ISBLANK(T6),"",T6/RelMean*100)</f>
        <v>229.35865566581586</v>
      </c>
      <c r="AC6" s="4">
        <f>IF(ISBLANK(U6),"",U6/RelMean*100)</f>
        <v>165.5753016058635</v>
      </c>
      <c r="AD6" s="4">
        <f>IF(ISBLANK(V6),"",V6/RelMean*100)</f>
        <v>222.5793790058359</v>
      </c>
      <c r="AE6" s="4">
        <f>IF(ISBLANK(W6),"",W6/RelMean*100)</f>
        <v>190.06311430342095</v>
      </c>
      <c r="AF6" s="4">
        <f>IF(ISBLANK(X6),"",X6/RelMean*100)</f>
        <v>172.60807479205167</v>
      </c>
      <c r="AG6" s="9">
        <f>IF(ISBLANK(Y6),"",Y6/RelMean*100)</f>
        <v>182.94523740589631</v>
      </c>
      <c r="AH6" s="7">
        <f t="shared" si="8"/>
        <v>184.31913789359092</v>
      </c>
      <c r="AI6" s="5">
        <f t="shared" si="9"/>
        <v>30.290476773964429</v>
      </c>
    </row>
    <row r="7" spans="1:35" x14ac:dyDescent="0.25">
      <c r="A7" s="11" t="s">
        <v>79</v>
      </c>
      <c r="B7">
        <v>2.0625000714285715</v>
      </c>
      <c r="C7">
        <v>1.1397618571428572</v>
      </c>
      <c r="D7">
        <v>1.4938462307692304</v>
      </c>
      <c r="E7">
        <v>1.3921428571428571</v>
      </c>
      <c r="F7">
        <v>1.9266666428571428</v>
      </c>
      <c r="G7">
        <v>2.1782051538461538</v>
      </c>
      <c r="H7">
        <v>2.0291665714285716</v>
      </c>
      <c r="I7" s="3">
        <v>2.0137778666666666</v>
      </c>
      <c r="J7">
        <v>3.1044048571428577</v>
      </c>
      <c r="K7">
        <v>2.2102379999999999</v>
      </c>
      <c r="L7">
        <v>3.7894872307692316</v>
      </c>
      <c r="M7">
        <v>2.5494047857142852</v>
      </c>
      <c r="N7">
        <v>4.7429762142857141</v>
      </c>
      <c r="O7">
        <v>4.5788461538461531</v>
      </c>
      <c r="P7">
        <v>3.8738095000000006</v>
      </c>
      <c r="Q7" s="3">
        <v>4.0746666666666673</v>
      </c>
      <c r="R7" s="4">
        <f t="shared" si="0"/>
        <v>150.51659392150327</v>
      </c>
      <c r="S7" s="4">
        <f t="shared" si="1"/>
        <v>193.92103588556657</v>
      </c>
      <c r="T7" s="4">
        <f t="shared" si="2"/>
        <v>253.67317952249346</v>
      </c>
      <c r="U7" s="4">
        <f t="shared" si="3"/>
        <v>183.12810159055923</v>
      </c>
      <c r="V7" s="4">
        <f t="shared" si="4"/>
        <v>246.17523907779582</v>
      </c>
      <c r="W7" s="4">
        <f t="shared" si="5"/>
        <v>210.21188687213788</v>
      </c>
      <c r="X7" s="4">
        <f t="shared" si="6"/>
        <v>190.90643195806075</v>
      </c>
      <c r="Y7" s="5">
        <f t="shared" si="7"/>
        <v>202.33943048601063</v>
      </c>
      <c r="Z7" s="4">
        <f>IF(ISBLANK(R7),"",R7/RelMean*100)</f>
        <v>136.08960508707426</v>
      </c>
      <c r="AA7" s="4">
        <f>IF(ISBLANK(S7),"",S7/RelMean*100)</f>
        <v>175.33373898632223</v>
      </c>
      <c r="AB7" s="4">
        <f>IF(ISBLANK(T7),"",T7/RelMean*100)</f>
        <v>229.35865025222753</v>
      </c>
      <c r="AC7" s="4">
        <f>IF(ISBLANK(U7),"",U7/RelMean*100)</f>
        <v>165.5753055294484</v>
      </c>
      <c r="AD7" s="4">
        <f>IF(ISBLANK(V7),"",V7/RelMean*100)</f>
        <v>222.57938606945277</v>
      </c>
      <c r="AE7" s="4">
        <f>IF(ISBLANK(W7),"",W7/RelMean*100)</f>
        <v>190.06311479488639</v>
      </c>
      <c r="AF7" s="4">
        <f>IF(ISBLANK(X7),"",X7/RelMean*100)</f>
        <v>172.60808431065129</v>
      </c>
      <c r="AG7" s="9">
        <f>IF(ISBLANK(Y7),"",Y7/RelMean*100)</f>
        <v>182.94523195725051</v>
      </c>
      <c r="AH7" s="7">
        <f t="shared" si="8"/>
        <v>184.3191396234142</v>
      </c>
      <c r="AI7" s="5">
        <f t="shared" si="9"/>
        <v>30.290475655657541</v>
      </c>
    </row>
    <row r="8" spans="1:35" x14ac:dyDescent="0.25">
      <c r="A8" s="11" t="s">
        <v>80</v>
      </c>
      <c r="B8">
        <v>2.6145508571428571</v>
      </c>
      <c r="C8">
        <v>1.980661142857143</v>
      </c>
      <c r="D8">
        <v>2.9442285384615379</v>
      </c>
      <c r="E8">
        <v>2.8670487142857146</v>
      </c>
      <c r="F8">
        <v>3.7425814285714281</v>
      </c>
      <c r="G8">
        <v>4.0901536923076929</v>
      </c>
      <c r="H8">
        <v>2.9119159285714291</v>
      </c>
      <c r="I8" s="3">
        <v>2.330349</v>
      </c>
      <c r="J8">
        <v>3.808960357142857</v>
      </c>
      <c r="K8">
        <v>2.8679824285714282</v>
      </c>
      <c r="L8">
        <v>4.8332436153846157</v>
      </c>
      <c r="M8">
        <v>3.7936019999999995</v>
      </c>
      <c r="N8">
        <v>5.0657967142857148</v>
      </c>
      <c r="O8">
        <v>5.5988458461538455</v>
      </c>
      <c r="P8">
        <v>4.5136574285714284</v>
      </c>
      <c r="Q8" s="3">
        <v>3.8894552</v>
      </c>
      <c r="R8" s="4">
        <f t="shared" si="0"/>
        <v>145.68316186074242</v>
      </c>
      <c r="S8" s="4">
        <f t="shared" si="1"/>
        <v>144.79924740858533</v>
      </c>
      <c r="T8" s="4">
        <f t="shared" si="2"/>
        <v>164.15993365481586</v>
      </c>
      <c r="U8" s="4">
        <f t="shared" si="3"/>
        <v>132.3173192383347</v>
      </c>
      <c r="V8" s="4">
        <f t="shared" si="4"/>
        <v>135.35568459814027</v>
      </c>
      <c r="W8" s="4">
        <f t="shared" si="5"/>
        <v>136.88595263995907</v>
      </c>
      <c r="X8" s="4">
        <f t="shared" si="6"/>
        <v>155.00644727699282</v>
      </c>
      <c r="Y8" s="5">
        <f t="shared" si="7"/>
        <v>166.90440788053635</v>
      </c>
      <c r="Z8" s="4">
        <f>IF(ISBLANK(R8),"",R8/RelMean*100)</f>
        <v>162.5551523370826</v>
      </c>
      <c r="AA8" s="4">
        <f>IF(ISBLANK(S8),"",S8/RelMean*100)</f>
        <v>161.56886918268009</v>
      </c>
      <c r="AB8" s="4">
        <f>IF(ISBLANK(T8),"",T8/RelMean*100)</f>
        <v>183.17177278464086</v>
      </c>
      <c r="AC8" s="4">
        <f>IF(ISBLANK(U8),"",U8/RelMean*100)</f>
        <v>147.64137262604217</v>
      </c>
      <c r="AD8" s="4">
        <f>IF(ISBLANK(V8),"",V8/RelMean*100)</f>
        <v>151.0316199107011</v>
      </c>
      <c r="AE8" s="4">
        <f>IF(ISBLANK(W8),"",W8/RelMean*100)</f>
        <v>152.73911274293525</v>
      </c>
      <c r="AF8" s="4">
        <f>IF(ISBLANK(X8),"",X8/RelMean*100)</f>
        <v>172.9581945401986</v>
      </c>
      <c r="AG8" s="9">
        <f>IF(ISBLANK(Y8),"",Y8/RelMean*100)</f>
        <v>186.23409254863418</v>
      </c>
      <c r="AH8" s="7">
        <f t="shared" si="8"/>
        <v>164.73752333411437</v>
      </c>
      <c r="AI8" s="5">
        <f t="shared" si="9"/>
        <v>14.679424874764949</v>
      </c>
    </row>
    <row r="9" spans="1:35" x14ac:dyDescent="0.25">
      <c r="A9" s="11" t="s">
        <v>81</v>
      </c>
      <c r="B9">
        <v>14</v>
      </c>
      <c r="C9">
        <v>7</v>
      </c>
      <c r="D9">
        <v>13</v>
      </c>
      <c r="E9">
        <v>14</v>
      </c>
      <c r="F9">
        <v>14</v>
      </c>
      <c r="G9">
        <v>13</v>
      </c>
      <c r="H9">
        <v>14</v>
      </c>
      <c r="I9" s="3">
        <v>15</v>
      </c>
      <c r="J9">
        <v>14</v>
      </c>
      <c r="K9">
        <v>7</v>
      </c>
      <c r="L9">
        <v>13</v>
      </c>
      <c r="M9">
        <v>14</v>
      </c>
      <c r="N9">
        <v>14</v>
      </c>
      <c r="O9">
        <v>13</v>
      </c>
      <c r="P9">
        <v>14</v>
      </c>
      <c r="Q9" s="3">
        <v>15</v>
      </c>
      <c r="R9" s="4">
        <f t="shared" si="0"/>
        <v>100</v>
      </c>
      <c r="S9" s="4">
        <f t="shared" si="1"/>
        <v>100</v>
      </c>
      <c r="T9" s="4">
        <f t="shared" si="2"/>
        <v>100</v>
      </c>
      <c r="U9" s="4">
        <f t="shared" si="3"/>
        <v>100</v>
      </c>
      <c r="V9" s="4">
        <f t="shared" si="4"/>
        <v>100</v>
      </c>
      <c r="W9" s="4">
        <f t="shared" si="5"/>
        <v>100</v>
      </c>
      <c r="X9" s="4">
        <f t="shared" si="6"/>
        <v>100</v>
      </c>
      <c r="Y9" s="5">
        <f t="shared" si="7"/>
        <v>100</v>
      </c>
      <c r="Z9" s="4">
        <f>IF(ISBLANK(R9),"",R9/RelMean*100)</f>
        <v>100</v>
      </c>
      <c r="AA9" s="4">
        <f>IF(ISBLANK(S9),"",S9/RelMean*100)</f>
        <v>100</v>
      </c>
      <c r="AB9" s="4">
        <f>IF(ISBLANK(T9),"",T9/RelMean*100)</f>
        <v>100</v>
      </c>
      <c r="AC9" s="4">
        <f>IF(ISBLANK(U9),"",U9/RelMean*100)</f>
        <v>100</v>
      </c>
      <c r="AD9" s="4">
        <f>IF(ISBLANK(V9),"",V9/RelMean*100)</f>
        <v>100</v>
      </c>
      <c r="AE9" s="4">
        <f>IF(ISBLANK(W9),"",W9/RelMean*100)</f>
        <v>100</v>
      </c>
      <c r="AF9" s="4">
        <f>IF(ISBLANK(X9),"",X9/RelMean*100)</f>
        <v>100</v>
      </c>
      <c r="AG9" s="9">
        <f>IF(ISBLANK(Y9),"",Y9/RelMean*100)</f>
        <v>100</v>
      </c>
      <c r="AH9" s="7">
        <f t="shared" si="8"/>
        <v>100</v>
      </c>
      <c r="AI9" s="5">
        <f t="shared" si="9"/>
        <v>0</v>
      </c>
    </row>
    <row r="10" spans="1:35" x14ac:dyDescent="0.25">
      <c r="A10" s="11" t="s">
        <v>82</v>
      </c>
      <c r="B10" t="s">
        <v>114</v>
      </c>
      <c r="C10" t="s">
        <v>114</v>
      </c>
      <c r="D10" t="s">
        <v>114</v>
      </c>
      <c r="E10" t="s">
        <v>114</v>
      </c>
      <c r="F10" t="s">
        <v>114</v>
      </c>
      <c r="G10" t="s">
        <v>114</v>
      </c>
      <c r="H10" t="s">
        <v>114</v>
      </c>
      <c r="I10" s="3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s="3" t="s">
        <v>114</v>
      </c>
      <c r="R10" s="4" t="e">
        <f t="shared" si="0"/>
        <v>#VALUE!</v>
      </c>
      <c r="S10" s="4" t="e">
        <f t="shared" si="1"/>
        <v>#VALUE!</v>
      </c>
      <c r="T10" s="4" t="e">
        <f t="shared" si="2"/>
        <v>#VALUE!</v>
      </c>
      <c r="U10" s="4" t="e">
        <f t="shared" si="3"/>
        <v>#VALUE!</v>
      </c>
      <c r="V10" s="4" t="e">
        <f t="shared" si="4"/>
        <v>#VALUE!</v>
      </c>
      <c r="W10" s="4" t="e">
        <f t="shared" si="5"/>
        <v>#VALUE!</v>
      </c>
      <c r="X10" s="4" t="e">
        <f t="shared" si="6"/>
        <v>#VALUE!</v>
      </c>
      <c r="Y10" s="5" t="e">
        <f t="shared" si="7"/>
        <v>#VALUE!</v>
      </c>
      <c r="Z10" s="4" t="e">
        <f>IF(ISBLANK(R10),"",R10/RelMean*100)</f>
        <v>#VALUE!</v>
      </c>
      <c r="AA10" s="4" t="e">
        <f>IF(ISBLANK(S10),"",S10/RelMean*100)</f>
        <v>#VALUE!</v>
      </c>
      <c r="AB10" s="4" t="e">
        <f>IF(ISBLANK(T10),"",T10/RelMean*100)</f>
        <v>#VALUE!</v>
      </c>
      <c r="AC10" s="4" t="e">
        <f>IF(ISBLANK(U10),"",U10/RelMean*100)</f>
        <v>#VALUE!</v>
      </c>
      <c r="AD10" s="4" t="e">
        <f>IF(ISBLANK(V10),"",V10/RelMean*100)</f>
        <v>#VALUE!</v>
      </c>
      <c r="AE10" s="4" t="e">
        <f>IF(ISBLANK(W10),"",W10/RelMean*100)</f>
        <v>#VALUE!</v>
      </c>
      <c r="AF10" s="4" t="e">
        <f>IF(ISBLANK(X10),"",X10/RelMean*100)</f>
        <v>#VALUE!</v>
      </c>
      <c r="AG10" s="9" t="e">
        <f>IF(ISBLANK(Y10),"",Y10/RelMean*100)</f>
        <v>#VALUE!</v>
      </c>
      <c r="AH10" s="7" t="e">
        <f t="shared" si="8"/>
        <v>#VALUE!</v>
      </c>
      <c r="AI10" s="5" t="e">
        <f t="shared" si="9"/>
        <v>#VALUE!</v>
      </c>
    </row>
    <row r="11" spans="1:35" ht="15.75" x14ac:dyDescent="0.25">
      <c r="A11" s="13" t="s">
        <v>909</v>
      </c>
      <c r="I11" s="3"/>
      <c r="Q11" s="3"/>
      <c r="R11" s="4" t="str">
        <f t="shared" si="0"/>
        <v/>
      </c>
      <c r="S11" s="4" t="str">
        <f t="shared" si="1"/>
        <v/>
      </c>
      <c r="T11" s="4" t="str">
        <f t="shared" si="2"/>
        <v/>
      </c>
      <c r="U11" s="4" t="str">
        <f t="shared" si="3"/>
        <v/>
      </c>
      <c r="V11" s="4" t="str">
        <f t="shared" si="4"/>
        <v/>
      </c>
      <c r="W11" s="4" t="str">
        <f t="shared" si="5"/>
        <v/>
      </c>
      <c r="X11" s="4" t="str">
        <f t="shared" si="6"/>
        <v/>
      </c>
      <c r="Y11" s="5" t="str">
        <f t="shared" si="7"/>
        <v/>
      </c>
      <c r="Z11" s="4" t="e">
        <f>IF(ISBLANK(R11),"",R11/RelMean*100)</f>
        <v>#VALUE!</v>
      </c>
      <c r="AA11" s="4" t="e">
        <f>IF(ISBLANK(S11),"",S11/RelMean*100)</f>
        <v>#VALUE!</v>
      </c>
      <c r="AB11" s="4" t="e">
        <f>IF(ISBLANK(T11),"",T11/RelMean*100)</f>
        <v>#VALUE!</v>
      </c>
      <c r="AC11" s="4" t="e">
        <f>IF(ISBLANK(U11),"",U11/RelMean*100)</f>
        <v>#VALUE!</v>
      </c>
      <c r="AD11" s="4" t="e">
        <f>IF(ISBLANK(V11),"",V11/RelMean*100)</f>
        <v>#VALUE!</v>
      </c>
      <c r="AE11" s="4" t="e">
        <f>IF(ISBLANK(W11),"",W11/RelMean*100)</f>
        <v>#VALUE!</v>
      </c>
      <c r="AF11" s="4" t="e">
        <f>IF(ISBLANK(X11),"",X11/RelMean*100)</f>
        <v>#VALUE!</v>
      </c>
      <c r="AG11" s="9" t="e">
        <f>IF(ISBLANK(Y11),"",Y11/RelMean*100)</f>
        <v>#VALUE!</v>
      </c>
      <c r="AH11" s="7" t="e">
        <f t="shared" si="8"/>
        <v>#VALUE!</v>
      </c>
      <c r="AI11" s="5" t="e">
        <f t="shared" si="9"/>
        <v>#VALUE!</v>
      </c>
    </row>
    <row r="12" spans="1:35" x14ac:dyDescent="0.25">
      <c r="A12" s="11" t="s">
        <v>84</v>
      </c>
      <c r="B12">
        <v>857</v>
      </c>
      <c r="C12">
        <v>214</v>
      </c>
      <c r="D12">
        <v>595</v>
      </c>
      <c r="E12">
        <v>614</v>
      </c>
      <c r="F12">
        <v>736</v>
      </c>
      <c r="G12">
        <v>760</v>
      </c>
      <c r="H12">
        <v>850</v>
      </c>
      <c r="I12" s="3">
        <v>872</v>
      </c>
      <c r="J12">
        <v>1110</v>
      </c>
      <c r="K12">
        <v>531</v>
      </c>
      <c r="L12">
        <v>919</v>
      </c>
      <c r="M12">
        <v>906</v>
      </c>
      <c r="N12">
        <v>1218</v>
      </c>
      <c r="O12">
        <v>925</v>
      </c>
      <c r="P12">
        <v>1089</v>
      </c>
      <c r="Q12" s="3">
        <v>1713</v>
      </c>
      <c r="R12" s="4">
        <f t="shared" si="0"/>
        <v>129.52158693115518</v>
      </c>
      <c r="S12" s="4">
        <f t="shared" si="1"/>
        <v>248.13084112149534</v>
      </c>
      <c r="T12" s="4">
        <f t="shared" si="2"/>
        <v>154.45378151260505</v>
      </c>
      <c r="U12" s="4">
        <f t="shared" si="3"/>
        <v>147.557003257329</v>
      </c>
      <c r="V12" s="4">
        <f t="shared" si="4"/>
        <v>165.48913043478262</v>
      </c>
      <c r="W12" s="4">
        <f t="shared" si="5"/>
        <v>121.71052631578947</v>
      </c>
      <c r="X12" s="4">
        <f t="shared" si="6"/>
        <v>128.11764705882354</v>
      </c>
      <c r="Y12" s="5">
        <f t="shared" si="7"/>
        <v>196.44495412844037</v>
      </c>
      <c r="Z12" s="4">
        <f>IF(ISBLANK(R12),"",R12/RelMean*100)</f>
        <v>126.41194387870063</v>
      </c>
      <c r="AA12" s="4">
        <f>IF(ISBLANK(S12),"",S12/RelMean*100)</f>
        <v>242.1735457819679</v>
      </c>
      <c r="AB12" s="4">
        <f>IF(ISBLANK(T12),"",T12/RelMean*100)</f>
        <v>150.74554924039469</v>
      </c>
      <c r="AC12" s="4">
        <f>IF(ISBLANK(U12),"",U12/RelMean*100)</f>
        <v>144.01435356555166</v>
      </c>
      <c r="AD12" s="4">
        <f>IF(ISBLANK(V12),"",V12/RelMean*100)</f>
        <v>161.51595394037477</v>
      </c>
      <c r="AE12" s="4">
        <f>IF(ISBLANK(W12),"",W12/RelMean*100)</f>
        <v>118.78841656145443</v>
      </c>
      <c r="AF12" s="4">
        <f>IF(ISBLANK(X12),"",X12/RelMean*100)</f>
        <v>125.04171075729367</v>
      </c>
      <c r="AG12" s="9">
        <f>IF(ISBLANK(Y12),"",Y12/RelMean*100)</f>
        <v>191.72856899705715</v>
      </c>
      <c r="AH12" s="7">
        <f t="shared" si="8"/>
        <v>157.55250534034937</v>
      </c>
      <c r="AI12" s="5">
        <f t="shared" si="9"/>
        <v>41.581915460492816</v>
      </c>
    </row>
    <row r="13" spans="1:35" x14ac:dyDescent="0.25">
      <c r="A13" s="11" t="s">
        <v>85</v>
      </c>
      <c r="B13">
        <v>11</v>
      </c>
      <c r="C13">
        <v>6</v>
      </c>
      <c r="D13">
        <v>12</v>
      </c>
      <c r="E13">
        <v>13</v>
      </c>
      <c r="F13">
        <v>14</v>
      </c>
      <c r="G13">
        <v>12</v>
      </c>
      <c r="H13">
        <v>12</v>
      </c>
      <c r="I13" s="3">
        <v>13</v>
      </c>
      <c r="J13">
        <v>11</v>
      </c>
      <c r="K13">
        <v>6</v>
      </c>
      <c r="L13">
        <v>12</v>
      </c>
      <c r="M13">
        <v>13</v>
      </c>
      <c r="N13">
        <v>14</v>
      </c>
      <c r="O13">
        <v>12</v>
      </c>
      <c r="P13">
        <v>12</v>
      </c>
      <c r="Q13" s="3">
        <v>13</v>
      </c>
      <c r="R13" s="4">
        <f t="shared" si="0"/>
        <v>100</v>
      </c>
      <c r="S13" s="4">
        <f t="shared" si="1"/>
        <v>100</v>
      </c>
      <c r="T13" s="4">
        <f t="shared" si="2"/>
        <v>100</v>
      </c>
      <c r="U13" s="4">
        <f t="shared" si="3"/>
        <v>100</v>
      </c>
      <c r="V13" s="4">
        <f t="shared" si="4"/>
        <v>100</v>
      </c>
      <c r="W13" s="4">
        <f t="shared" si="5"/>
        <v>100</v>
      </c>
      <c r="X13" s="4">
        <f t="shared" si="6"/>
        <v>100</v>
      </c>
      <c r="Y13" s="5">
        <f t="shared" si="7"/>
        <v>100</v>
      </c>
      <c r="Z13" s="4">
        <f>IF(ISBLANK(R13),"",R13/RelMean*100)</f>
        <v>100</v>
      </c>
      <c r="AA13" s="4">
        <f>IF(ISBLANK(S13),"",S13/RelMean*100)</f>
        <v>100</v>
      </c>
      <c r="AB13" s="4">
        <f>IF(ISBLANK(T13),"",T13/RelMean*100)</f>
        <v>100</v>
      </c>
      <c r="AC13" s="4">
        <f>IF(ISBLANK(U13),"",U13/RelMean*100)</f>
        <v>100</v>
      </c>
      <c r="AD13" s="4">
        <f>IF(ISBLANK(V13),"",V13/RelMean*100)</f>
        <v>100</v>
      </c>
      <c r="AE13" s="4">
        <f>IF(ISBLANK(W13),"",W13/RelMean*100)</f>
        <v>100</v>
      </c>
      <c r="AF13" s="4">
        <f>IF(ISBLANK(X13),"",X13/RelMean*100)</f>
        <v>100</v>
      </c>
      <c r="AG13" s="9">
        <f>IF(ISBLANK(Y13),"",Y13/RelMean*100)</f>
        <v>100</v>
      </c>
      <c r="AH13" s="7">
        <f t="shared" si="8"/>
        <v>100</v>
      </c>
      <c r="AI13" s="5">
        <f t="shared" si="9"/>
        <v>0</v>
      </c>
    </row>
    <row r="14" spans="1:35" x14ac:dyDescent="0.25">
      <c r="A14" s="11" t="s">
        <v>86</v>
      </c>
      <c r="B14">
        <v>0.12180145454545453</v>
      </c>
      <c r="C14">
        <v>0.19899149999999999</v>
      </c>
      <c r="D14">
        <v>0.21158074999999998</v>
      </c>
      <c r="E14">
        <v>0.11958061538461537</v>
      </c>
      <c r="F14">
        <v>0.18314064285714288</v>
      </c>
      <c r="G14">
        <v>0.12153949999999998</v>
      </c>
      <c r="H14">
        <v>9.7651500000000002E-2</v>
      </c>
      <c r="I14" s="3">
        <v>7.8913307692307713E-2</v>
      </c>
      <c r="J14">
        <v>0.1236590909090909</v>
      </c>
      <c r="K14">
        <v>0.171741</v>
      </c>
      <c r="L14">
        <v>0.35755058333333339</v>
      </c>
      <c r="M14">
        <v>0.19980461538461541</v>
      </c>
      <c r="N14">
        <v>0.2059445</v>
      </c>
      <c r="O14">
        <v>0.23291399999999998</v>
      </c>
      <c r="P14">
        <v>0.20265975</v>
      </c>
      <c r="Q14" s="3">
        <v>9.836676923076923E-2</v>
      </c>
      <c r="R14" s="4">
        <f t="shared" si="0"/>
        <v>101.52513479462853</v>
      </c>
      <c r="S14" s="4">
        <f t="shared" si="1"/>
        <v>86.305696474472541</v>
      </c>
      <c r="T14" s="4">
        <f t="shared" si="2"/>
        <v>168.99012945805961</v>
      </c>
      <c r="U14" s="4">
        <f t="shared" si="3"/>
        <v>167.08779658138576</v>
      </c>
      <c r="V14" s="4">
        <f t="shared" si="4"/>
        <v>112.45155460147917</v>
      </c>
      <c r="W14" s="4">
        <f t="shared" si="5"/>
        <v>191.63646386565688</v>
      </c>
      <c r="X14" s="4">
        <f t="shared" si="6"/>
        <v>207.53367843811921</v>
      </c>
      <c r="Y14" s="5">
        <f t="shared" si="7"/>
        <v>124.65168690471428</v>
      </c>
      <c r="Z14" s="4">
        <f>IF(ISBLANK(R14),"",R14/RelMean*100)</f>
        <v>99.653458099493676</v>
      </c>
      <c r="AA14" s="4">
        <f>IF(ISBLANK(S14),"",S14/RelMean*100)</f>
        <v>84.714599244457347</v>
      </c>
      <c r="AB14" s="4">
        <f>IF(ISBLANK(T14),"",T14/RelMean*100)</f>
        <v>165.87469516039241</v>
      </c>
      <c r="AC14" s="4">
        <f>IF(ISBLANK(U14),"",U14/RelMean*100)</f>
        <v>164.0074329302029</v>
      </c>
      <c r="AD14" s="4">
        <f>IF(ISBLANK(V14),"",V14/RelMean*100)</f>
        <v>110.3784428099506</v>
      </c>
      <c r="AE14" s="4">
        <f>IF(ISBLANK(W14),"",W14/RelMean*100)</f>
        <v>188.10353082320424</v>
      </c>
      <c r="AF14" s="4">
        <f>IF(ISBLANK(X14),"",X14/RelMean*100)</f>
        <v>203.70767071920318</v>
      </c>
      <c r="AG14" s="9">
        <f>IF(ISBLANK(Y14),"",Y14/RelMean*100)</f>
        <v>122.35365836369584</v>
      </c>
      <c r="AH14" s="7">
        <f t="shared" si="8"/>
        <v>142.34918601882501</v>
      </c>
      <c r="AI14" s="5">
        <f t="shared" si="9"/>
        <v>43.829985293171312</v>
      </c>
    </row>
    <row r="15" spans="1:35" x14ac:dyDescent="0.25">
      <c r="A15" s="11" t="s">
        <v>87</v>
      </c>
      <c r="B15">
        <v>12.945560454545456</v>
      </c>
      <c r="C15">
        <v>10.316845833333334</v>
      </c>
      <c r="D15">
        <v>14.125142833333335</v>
      </c>
      <c r="E15">
        <v>12.249288000000004</v>
      </c>
      <c r="F15">
        <v>17.834539499999998</v>
      </c>
      <c r="G15">
        <v>19.674487833333334</v>
      </c>
      <c r="H15">
        <v>13.904717333333336</v>
      </c>
      <c r="I15" s="3">
        <v>11.308216461538462</v>
      </c>
      <c r="J15">
        <v>17.864362818181817</v>
      </c>
      <c r="K15">
        <v>12.507555500000002</v>
      </c>
      <c r="L15">
        <v>28.873265250000006</v>
      </c>
      <c r="M15">
        <v>18.307588384615386</v>
      </c>
      <c r="N15">
        <v>28.838301857142859</v>
      </c>
      <c r="O15">
        <v>34.678884833333335</v>
      </c>
      <c r="P15">
        <v>26.422904666666668</v>
      </c>
      <c r="Q15" s="3">
        <v>18.972784538461539</v>
      </c>
      <c r="R15" s="4">
        <f t="shared" si="0"/>
        <v>137.99605572047108</v>
      </c>
      <c r="S15" s="4">
        <f t="shared" si="1"/>
        <v>121.23429681956253</v>
      </c>
      <c r="T15" s="4">
        <f t="shared" si="2"/>
        <v>204.4104303275659</v>
      </c>
      <c r="U15" s="4">
        <f t="shared" si="3"/>
        <v>149.45838798643138</v>
      </c>
      <c r="V15" s="4">
        <f t="shared" si="4"/>
        <v>161.69916726553473</v>
      </c>
      <c r="W15" s="4">
        <f t="shared" si="5"/>
        <v>176.26321522118064</v>
      </c>
      <c r="X15" s="4">
        <f t="shared" si="6"/>
        <v>190.02834817306123</v>
      </c>
      <c r="Y15" s="5">
        <f t="shared" si="7"/>
        <v>167.77875275903878</v>
      </c>
      <c r="Z15" s="4">
        <f>IF(ISBLANK(R15),"",R15/RelMean*100)</f>
        <v>138.8142049724712</v>
      </c>
      <c r="AA15" s="4">
        <f>IF(ISBLANK(S15),"",S15/RelMean*100)</f>
        <v>121.95306916955349</v>
      </c>
      <c r="AB15" s="4">
        <f>IF(ISBLANK(T15),"",T15/RelMean*100)</f>
        <v>205.6223362751698</v>
      </c>
      <c r="AC15" s="4">
        <f>IF(ISBLANK(U15),"",U15/RelMean*100)</f>
        <v>150.34449496751739</v>
      </c>
      <c r="AD15" s="4">
        <f>IF(ISBLANK(V15),"",V15/RelMean*100)</f>
        <v>162.65784722241204</v>
      </c>
      <c r="AE15" s="4">
        <f>IF(ISBLANK(W15),"",W15/RelMean*100)</f>
        <v>177.30824231949467</v>
      </c>
      <c r="AF15" s="4">
        <f>IF(ISBLANK(X15),"",X15/RelMean*100)</f>
        <v>191.15498581574528</v>
      </c>
      <c r="AG15" s="9">
        <f>IF(ISBLANK(Y15),"",Y15/RelMean*100)</f>
        <v>168.77347728471199</v>
      </c>
      <c r="AH15" s="7">
        <f t="shared" si="8"/>
        <v>164.5785822533845</v>
      </c>
      <c r="AI15" s="5">
        <f t="shared" si="9"/>
        <v>27.405870920784171</v>
      </c>
    </row>
    <row r="16" spans="1:35" x14ac:dyDescent="0.25">
      <c r="A16" s="11" t="s">
        <v>88</v>
      </c>
      <c r="B16">
        <v>9.196818181818181E-3</v>
      </c>
      <c r="C16">
        <v>1.8791833333333331E-2</v>
      </c>
      <c r="D16">
        <v>1.5573916666666665E-2</v>
      </c>
      <c r="E16">
        <v>1.1161230769230769E-2</v>
      </c>
      <c r="F16">
        <v>1.0234071428571429E-2</v>
      </c>
      <c r="G16">
        <v>6.8690833333333338E-3</v>
      </c>
      <c r="H16">
        <v>7.7300000000000008E-3</v>
      </c>
      <c r="I16" s="3">
        <v>8.324692307692309E-3</v>
      </c>
      <c r="J16">
        <v>9.163727272727273E-3</v>
      </c>
      <c r="K16">
        <v>1.3342E-2</v>
      </c>
      <c r="L16">
        <v>1.4752833333333333E-2</v>
      </c>
      <c r="M16">
        <v>1.4215923076923077E-2</v>
      </c>
      <c r="N16">
        <v>8.655857142857144E-3</v>
      </c>
      <c r="O16">
        <v>8.3246666666666642E-3</v>
      </c>
      <c r="P16">
        <v>1.0215583333333335E-2</v>
      </c>
      <c r="Q16" s="3">
        <v>5.9636923076923079E-3</v>
      </c>
      <c r="R16" s="4">
        <f t="shared" si="0"/>
        <v>99.640191765926971</v>
      </c>
      <c r="S16" s="4">
        <f t="shared" si="1"/>
        <v>70.99892683878636</v>
      </c>
      <c r="T16" s="4">
        <f t="shared" si="2"/>
        <v>94.727830186155288</v>
      </c>
      <c r="U16" s="4">
        <f t="shared" si="3"/>
        <v>127.36877653415671</v>
      </c>
      <c r="V16" s="4">
        <f t="shared" si="4"/>
        <v>84.578822839674203</v>
      </c>
      <c r="W16" s="4">
        <f t="shared" si="5"/>
        <v>121.19035776243794</v>
      </c>
      <c r="X16" s="4">
        <f t="shared" si="6"/>
        <v>132.15502371711946</v>
      </c>
      <c r="Y16" s="5">
        <f t="shared" si="7"/>
        <v>71.63859140092957</v>
      </c>
      <c r="Z16" s="4">
        <f>IF(ISBLANK(R16),"",R16/RelMean*100)</f>
        <v>99.303991249147813</v>
      </c>
      <c r="AA16" s="4">
        <f>IF(ISBLANK(S16),"",S16/RelMean*100)</f>
        <v>70.759366120657276</v>
      </c>
      <c r="AB16" s="4">
        <f>IF(ISBLANK(T16),"",T16/RelMean*100)</f>
        <v>94.408204692692081</v>
      </c>
      <c r="AC16" s="4">
        <f>IF(ISBLANK(U16),"",U16/RelMean*100)</f>
        <v>126.93901573448956</v>
      </c>
      <c r="AD16" s="4">
        <f>IF(ISBLANK(V16),"",V16/RelMean*100)</f>
        <v>84.293441574912379</v>
      </c>
      <c r="AE16" s="4">
        <f>IF(ISBLANK(W16),"",W16/RelMean*100)</f>
        <v>120.78144384741761</v>
      </c>
      <c r="AF16" s="4">
        <f>IF(ISBLANK(X16),"",X16/RelMean*100)</f>
        <v>131.70911342247621</v>
      </c>
      <c r="AG16" s="9">
        <f>IF(ISBLANK(Y16),"",Y16/RelMean*100)</f>
        <v>71.396872361418858</v>
      </c>
      <c r="AH16" s="7">
        <f t="shared" si="8"/>
        <v>99.948931125401472</v>
      </c>
      <c r="AI16" s="5">
        <f t="shared" si="9"/>
        <v>24.244669952683243</v>
      </c>
    </row>
    <row r="17" spans="1:35" x14ac:dyDescent="0.25">
      <c r="A17" s="11" t="s">
        <v>89</v>
      </c>
      <c r="B17">
        <v>6.3741818181818179E-3</v>
      </c>
      <c r="C17">
        <v>1.2753500000000001E-2</v>
      </c>
      <c r="D17">
        <v>1.0223833333333333E-2</v>
      </c>
      <c r="E17">
        <v>8.9779230769230778E-3</v>
      </c>
      <c r="F17">
        <v>6.676999999999998E-3</v>
      </c>
      <c r="G17">
        <v>5.3476666666666672E-3</v>
      </c>
      <c r="H17">
        <v>6.08575E-3</v>
      </c>
      <c r="I17" s="3">
        <v>6.4944615384615384E-3</v>
      </c>
      <c r="J17">
        <v>4.9786363636363639E-3</v>
      </c>
      <c r="K17">
        <v>8.2741666666666658E-3</v>
      </c>
      <c r="L17">
        <v>7.2278333333333335E-3</v>
      </c>
      <c r="M17">
        <v>9.1479230769230778E-3</v>
      </c>
      <c r="N17">
        <v>6.2018571428571452E-3</v>
      </c>
      <c r="O17">
        <v>6.1337499999999977E-3</v>
      </c>
      <c r="P17">
        <v>5.9402500000000002E-3</v>
      </c>
      <c r="Q17" s="3">
        <v>3.7059999999999992E-3</v>
      </c>
      <c r="R17" s="4">
        <f t="shared" si="0"/>
        <v>78.106281020023971</v>
      </c>
      <c r="S17" s="4">
        <f t="shared" si="1"/>
        <v>64.877615295147734</v>
      </c>
      <c r="T17" s="4">
        <f t="shared" si="2"/>
        <v>70.695922925191141</v>
      </c>
      <c r="U17" s="4">
        <f t="shared" si="3"/>
        <v>101.89353371089767</v>
      </c>
      <c r="V17" s="4">
        <f t="shared" si="4"/>
        <v>92.883887117824585</v>
      </c>
      <c r="W17" s="4">
        <f t="shared" si="5"/>
        <v>114.69955743938161</v>
      </c>
      <c r="X17" s="4">
        <f t="shared" si="6"/>
        <v>97.609168960276065</v>
      </c>
      <c r="Y17" s="5">
        <f t="shared" si="7"/>
        <v>57.064007201402369</v>
      </c>
      <c r="Z17" s="4">
        <f>IF(ISBLANK(R17),"",R17/RelMean*100)</f>
        <v>80.724151165392783</v>
      </c>
      <c r="AA17" s="4">
        <f>IF(ISBLANK(S17),"",S17/RelMean*100)</f>
        <v>67.052103312831591</v>
      </c>
      <c r="AB17" s="4">
        <f>IF(ISBLANK(T17),"",T17/RelMean*100)</f>
        <v>73.065421813221747</v>
      </c>
      <c r="AC17" s="4">
        <f>IF(ISBLANK(U17),"",U17/RelMean*100)</f>
        <v>105.30867569979232</v>
      </c>
      <c r="AD17" s="4">
        <f>IF(ISBLANK(V17),"",V17/RelMean*100)</f>
        <v>95.997054866897429</v>
      </c>
      <c r="AE17" s="4">
        <f>IF(ISBLANK(W17),"",W17/RelMean*100)</f>
        <v>118.54391596197715</v>
      </c>
      <c r="AF17" s="4">
        <f>IF(ISBLANK(X17),"",X17/RelMean*100)</f>
        <v>100.88071288732409</v>
      </c>
      <c r="AG17" s="9">
        <f>IF(ISBLANK(Y17),"",Y17/RelMean*100)</f>
        <v>58.976608324855725</v>
      </c>
      <c r="AH17" s="7">
        <f t="shared" si="8"/>
        <v>87.568580504036603</v>
      </c>
      <c r="AI17" s="5">
        <f t="shared" si="9"/>
        <v>20.764148248421314</v>
      </c>
    </row>
    <row r="18" spans="1:35" x14ac:dyDescent="0.25">
      <c r="A18" s="11" t="s">
        <v>90</v>
      </c>
      <c r="B18">
        <v>0.81324336363636351</v>
      </c>
      <c r="C18">
        <v>0.74604649999999995</v>
      </c>
      <c r="D18">
        <v>0.73581133333333337</v>
      </c>
      <c r="E18">
        <v>0.81812030769230781</v>
      </c>
      <c r="F18">
        <v>0.78005857142857149</v>
      </c>
      <c r="G18">
        <v>0.79298475000000002</v>
      </c>
      <c r="H18">
        <v>0.82084533333333332</v>
      </c>
      <c r="I18" s="3">
        <v>0.80341415384615378</v>
      </c>
      <c r="J18">
        <v>0.64010009090909092</v>
      </c>
      <c r="K18">
        <v>0.69605750000000011</v>
      </c>
      <c r="L18">
        <v>0.49843600000000005</v>
      </c>
      <c r="M18">
        <v>0.65929007692307684</v>
      </c>
      <c r="N18">
        <v>0.72580092857142875</v>
      </c>
      <c r="O18">
        <v>0.7610946666666667</v>
      </c>
      <c r="P18">
        <v>0.65910199999999997</v>
      </c>
      <c r="Q18" s="3">
        <v>0.68389061538461526</v>
      </c>
      <c r="R18" s="4">
        <f t="shared" si="0"/>
        <v>78.709537578877502</v>
      </c>
      <c r="S18" s="4">
        <f t="shared" si="1"/>
        <v>93.299479321999385</v>
      </c>
      <c r="T18" s="4">
        <f t="shared" si="2"/>
        <v>67.739647029084452</v>
      </c>
      <c r="U18" s="4">
        <f t="shared" si="3"/>
        <v>80.585956701496954</v>
      </c>
      <c r="V18" s="4">
        <f t="shared" si="4"/>
        <v>93.044414247281821</v>
      </c>
      <c r="W18" s="4">
        <f t="shared" si="5"/>
        <v>95.978474575540915</v>
      </c>
      <c r="X18" s="4">
        <f t="shared" si="6"/>
        <v>80.29551649194164</v>
      </c>
      <c r="Y18" s="5">
        <f t="shared" si="7"/>
        <v>85.123047946149811</v>
      </c>
      <c r="Z18" s="4">
        <f>IF(ISBLANK(R18),"",R18/RelMean*100)</f>
        <v>79.840928740791099</v>
      </c>
      <c r="AA18" s="4">
        <f>IF(ISBLANK(S18),"",S18/RelMean*100)</f>
        <v>94.640590063633027</v>
      </c>
      <c r="AB18" s="4">
        <f>IF(ISBLANK(T18),"",T18/RelMean*100)</f>
        <v>68.713354159342316</v>
      </c>
      <c r="AC18" s="4">
        <f>IF(ISBLANK(U18),"",U18/RelMean*100)</f>
        <v>81.744319995082009</v>
      </c>
      <c r="AD18" s="4">
        <f>IF(ISBLANK(V18),"",V18/RelMean*100)</f>
        <v>94.38185861784882</v>
      </c>
      <c r="AE18" s="4">
        <f>IF(ISBLANK(W18),"",W18/RelMean*100)</f>
        <v>97.358093884825948</v>
      </c>
      <c r="AF18" s="4">
        <f>IF(ISBLANK(X18),"",X18/RelMean*100)</f>
        <v>81.449704923162329</v>
      </c>
      <c r="AG18" s="9">
        <f>IF(ISBLANK(Y18),"",Y18/RelMean*100)</f>
        <v>86.346628557646966</v>
      </c>
      <c r="AH18" s="7">
        <f t="shared" si="8"/>
        <v>85.559434867791566</v>
      </c>
      <c r="AI18" s="5">
        <f t="shared" si="9"/>
        <v>9.6219043132398667</v>
      </c>
    </row>
    <row r="19" spans="1:35" x14ac:dyDescent="0.25">
      <c r="A19" s="11" t="s">
        <v>91</v>
      </c>
      <c r="B19">
        <v>20.314465272727276</v>
      </c>
      <c r="C19">
        <v>45.836306</v>
      </c>
      <c r="D19">
        <v>16.603728749999998</v>
      </c>
      <c r="E19">
        <v>21.377649692307692</v>
      </c>
      <c r="F19">
        <v>13.492152928571427</v>
      </c>
      <c r="G19">
        <v>10.427448833333335</v>
      </c>
      <c r="H19">
        <v>16.006888749999998</v>
      </c>
      <c r="I19" s="3">
        <v>16.764556384615386</v>
      </c>
      <c r="J19">
        <v>6.5409545454545448</v>
      </c>
      <c r="K19">
        <v>25.576006666666668</v>
      </c>
      <c r="L19">
        <v>8.3890834166666668</v>
      </c>
      <c r="M19">
        <v>11.82394653846154</v>
      </c>
      <c r="N19">
        <v>7.3936972857142864</v>
      </c>
      <c r="O19">
        <v>9.3969003333333312</v>
      </c>
      <c r="P19">
        <v>8.7461570833333351</v>
      </c>
      <c r="Q19" s="3">
        <v>4.8553501538461541</v>
      </c>
      <c r="R19" s="4">
        <f t="shared" si="0"/>
        <v>32.198507111264973</v>
      </c>
      <c r="S19" s="4">
        <f t="shared" si="1"/>
        <v>55.798577369360146</v>
      </c>
      <c r="T19" s="4">
        <f t="shared" si="2"/>
        <v>50.525297919400593</v>
      </c>
      <c r="U19" s="4">
        <f t="shared" si="3"/>
        <v>55.309852620122889</v>
      </c>
      <c r="V19" s="4">
        <f t="shared" si="4"/>
        <v>54.799981328829659</v>
      </c>
      <c r="W19" s="4">
        <f t="shared" si="5"/>
        <v>90.116964211747955</v>
      </c>
      <c r="X19" s="4">
        <f t="shared" si="6"/>
        <v>54.639956708222492</v>
      </c>
      <c r="Y19" s="5">
        <f t="shared" si="7"/>
        <v>28.961996025745396</v>
      </c>
      <c r="Z19" s="4">
        <f>IF(ISBLANK(R19),"",R19/RelMean*100)</f>
        <v>34.465559561574935</v>
      </c>
      <c r="AA19" s="4">
        <f>IF(ISBLANK(S19),"",S19/RelMean*100)</f>
        <v>59.727278197379633</v>
      </c>
      <c r="AB19" s="4">
        <f>IF(ISBLANK(T19),"",T19/RelMean*100)</f>
        <v>54.082714418712264</v>
      </c>
      <c r="AC19" s="4">
        <f>IF(ISBLANK(U19),"",U19/RelMean*100)</f>
        <v>59.204143013010814</v>
      </c>
      <c r="AD19" s="4">
        <f>IF(ISBLANK(V19),"",V19/RelMean*100)</f>
        <v>58.658372387743029</v>
      </c>
      <c r="AE19" s="4">
        <f>IF(ISBLANK(W19),"",W19/RelMean*100)</f>
        <v>96.461975296415986</v>
      </c>
      <c r="AF19" s="4">
        <f>IF(ISBLANK(X19),"",X19/RelMean*100)</f>
        <v>58.487080654440128</v>
      </c>
      <c r="AG19" s="9">
        <f>IF(ISBLANK(Y19),"",Y19/RelMean*100)</f>
        <v>31.001170197055416</v>
      </c>
      <c r="AH19" s="7">
        <f t="shared" si="8"/>
        <v>56.511036715791533</v>
      </c>
      <c r="AI19" s="5">
        <f t="shared" si="9"/>
        <v>19.874044186697564</v>
      </c>
    </row>
    <row r="20" spans="1:35" x14ac:dyDescent="0.25">
      <c r="A20" s="11" t="s">
        <v>92</v>
      </c>
      <c r="B20">
        <v>0.12984863636363636</v>
      </c>
      <c r="C20">
        <v>5.944449999999999E-2</v>
      </c>
      <c r="D20">
        <v>8.2638833333333328E-2</v>
      </c>
      <c r="E20">
        <v>7.8717999999999996E-2</v>
      </c>
      <c r="F20">
        <v>8.761892857142857E-2</v>
      </c>
      <c r="G20">
        <v>0.10555549999999998</v>
      </c>
      <c r="H20">
        <v>0.11805566666666667</v>
      </c>
      <c r="I20" s="3">
        <v>0.11179492307692308</v>
      </c>
      <c r="J20">
        <v>0.1681819090909091</v>
      </c>
      <c r="K20">
        <v>0.14749999999999999</v>
      </c>
      <c r="L20">
        <v>0.12763875</v>
      </c>
      <c r="M20">
        <v>0.11615400000000001</v>
      </c>
      <c r="N20">
        <v>0.1450002142857143</v>
      </c>
      <c r="O20">
        <v>0.12847216666666669</v>
      </c>
      <c r="P20">
        <v>0.15124999999999997</v>
      </c>
      <c r="Q20" s="3">
        <v>0.21961538461538466</v>
      </c>
      <c r="R20" s="4">
        <f t="shared" si="0"/>
        <v>129.52150580921145</v>
      </c>
      <c r="S20" s="4">
        <f t="shared" si="1"/>
        <v>248.13060922372975</v>
      </c>
      <c r="T20" s="4">
        <f t="shared" si="2"/>
        <v>154.45371727980995</v>
      </c>
      <c r="U20" s="4">
        <f t="shared" si="3"/>
        <v>147.55710256866283</v>
      </c>
      <c r="V20" s="4">
        <f t="shared" si="4"/>
        <v>165.48959984999982</v>
      </c>
      <c r="W20" s="4">
        <f t="shared" si="5"/>
        <v>121.71053774238834</v>
      </c>
      <c r="X20" s="4">
        <f t="shared" si="6"/>
        <v>128.11752647762211</v>
      </c>
      <c r="Y20" s="5">
        <f t="shared" si="7"/>
        <v>196.44486401611744</v>
      </c>
      <c r="Z20" s="4">
        <f>IF(ISBLANK(R20),"",R20/RelMean*100)</f>
        <v>126.41189602033593</v>
      </c>
      <c r="AA20" s="4">
        <f>IF(ISBLANK(S20),"",S20/RelMean*100)</f>
        <v>242.17337944523777</v>
      </c>
      <c r="AB20" s="4">
        <f>IF(ISBLANK(T20),"",T20/RelMean*100)</f>
        <v>150.74552389384831</v>
      </c>
      <c r="AC20" s="4">
        <f>IF(ISBLANK(U20),"",U20/RelMean*100)</f>
        <v>144.01448616917847</v>
      </c>
      <c r="AD20" s="4">
        <f>IF(ISBLANK(V20),"",V20/RelMean*100)</f>
        <v>161.51645209792935</v>
      </c>
      <c r="AE20" s="4">
        <f>IF(ISBLANK(W20),"",W20/RelMean*100)</f>
        <v>118.78845714111326</v>
      </c>
      <c r="AF20" s="4">
        <f>IF(ISBLANK(X20),"",X20/RelMean*100)</f>
        <v>125.0416240475795</v>
      </c>
      <c r="AG20" s="9">
        <f>IF(ISBLANK(Y20),"",Y20/RelMean*100)</f>
        <v>191.72852854501303</v>
      </c>
      <c r="AH20" s="7">
        <f t="shared" si="8"/>
        <v>157.55254342002945</v>
      </c>
      <c r="AI20" s="5">
        <f t="shared" si="9"/>
        <v>41.581872963013538</v>
      </c>
    </row>
    <row r="21" spans="1:35" x14ac:dyDescent="0.25">
      <c r="A21" s="11" t="s">
        <v>93</v>
      </c>
      <c r="B21">
        <v>0.74121136363636364</v>
      </c>
      <c r="C21">
        <v>0.58108550000000003</v>
      </c>
      <c r="D21">
        <v>0.76685999999999988</v>
      </c>
      <c r="E21">
        <v>0.5814181538461537</v>
      </c>
      <c r="F21">
        <v>0.50496842857142854</v>
      </c>
      <c r="G21">
        <v>0.43369833333333335</v>
      </c>
      <c r="H21">
        <v>0.530281</v>
      </c>
      <c r="I21" s="3">
        <v>0.64173184615384615</v>
      </c>
      <c r="J21">
        <v>0.58941063636363633</v>
      </c>
      <c r="K21">
        <v>0.6704431666666667</v>
      </c>
      <c r="L21">
        <v>0.37961291666666658</v>
      </c>
      <c r="M21">
        <v>0.48597846153846164</v>
      </c>
      <c r="N21">
        <v>0.28615792857142858</v>
      </c>
      <c r="O21">
        <v>0.45943808333333336</v>
      </c>
      <c r="P21">
        <v>0.53032225000000011</v>
      </c>
      <c r="Q21" s="3">
        <v>0.39289492307692303</v>
      </c>
      <c r="R21" s="4">
        <f t="shared" si="0"/>
        <v>79.519913654858598</v>
      </c>
      <c r="S21" s="4">
        <f t="shared" si="1"/>
        <v>115.37771406560078</v>
      </c>
      <c r="T21" s="4">
        <f t="shared" si="2"/>
        <v>49.502245086021787</v>
      </c>
      <c r="U21" s="4">
        <f t="shared" si="3"/>
        <v>83.585016794479742</v>
      </c>
      <c r="V21" s="4">
        <f t="shared" si="4"/>
        <v>56.668479132641679</v>
      </c>
      <c r="W21" s="4">
        <f t="shared" si="5"/>
        <v>105.93494325933158</v>
      </c>
      <c r="X21" s="4">
        <f t="shared" si="6"/>
        <v>100.0077788945861</v>
      </c>
      <c r="Y21" s="5">
        <f t="shared" si="7"/>
        <v>61.224158568987704</v>
      </c>
      <c r="Z21" s="4">
        <f>IF(ISBLANK(R21),"",R21/RelMean*100)</f>
        <v>89.771677851015099</v>
      </c>
      <c r="AA21" s="4">
        <f>IF(ISBLANK(S21),"",S21/RelMean*100)</f>
        <v>130.25229156106866</v>
      </c>
      <c r="AB21" s="4">
        <f>IF(ISBLANK(T21),"",T21/RelMean*100)</f>
        <v>55.884109960836511</v>
      </c>
      <c r="AC21" s="4">
        <f>IF(ISBLANK(U21),"",U21/RelMean*100)</f>
        <v>94.360856997576235</v>
      </c>
      <c r="AD21" s="4">
        <f>IF(ISBLANK(V21),"",V21/RelMean*100)</f>
        <v>63.974220031005466</v>
      </c>
      <c r="AE21" s="4">
        <f>IF(ISBLANK(W21),"",W21/RelMean*100)</f>
        <v>119.59215198243902</v>
      </c>
      <c r="AF21" s="4">
        <f>IF(ISBLANK(X21),"",X21/RelMean*100)</f>
        <v>112.90085334457341</v>
      </c>
      <c r="AG21" s="9">
        <f>IF(ISBLANK(Y21),"",Y21/RelMean*100)</f>
        <v>69.117220921665549</v>
      </c>
      <c r="AH21" s="7">
        <f t="shared" si="8"/>
        <v>91.98167283127249</v>
      </c>
      <c r="AI21" s="5">
        <f t="shared" si="9"/>
        <v>27.478225519874147</v>
      </c>
    </row>
    <row r="22" spans="1:35" x14ac:dyDescent="0.25">
      <c r="A22" s="11" t="s">
        <v>94</v>
      </c>
      <c r="B22">
        <v>64.511293454545452</v>
      </c>
      <c r="C22">
        <v>40.844891000000004</v>
      </c>
      <c r="D22">
        <v>72.405400999999998</v>
      </c>
      <c r="E22">
        <v>67.362989846153837</v>
      </c>
      <c r="F22">
        <v>81.858549642857142</v>
      </c>
      <c r="G22">
        <v>91.90174016666667</v>
      </c>
      <c r="H22">
        <v>70.828504999999993</v>
      </c>
      <c r="I22" s="3">
        <v>56.837667923076914</v>
      </c>
      <c r="J22">
        <v>84.392351090909088</v>
      </c>
      <c r="K22">
        <v>68.418565333333348</v>
      </c>
      <c r="L22">
        <v>92.481857416666642</v>
      </c>
      <c r="M22">
        <v>80.356203846153846</v>
      </c>
      <c r="N22">
        <v>89.103056142857127</v>
      </c>
      <c r="O22">
        <v>90.793048333333331</v>
      </c>
      <c r="P22">
        <v>90.214441083333341</v>
      </c>
      <c r="Q22" s="3">
        <v>93.506589384615381</v>
      </c>
      <c r="R22" s="4">
        <f t="shared" si="0"/>
        <v>130.81794918648126</v>
      </c>
      <c r="S22" s="4">
        <f t="shared" si="1"/>
        <v>167.50825784633221</v>
      </c>
      <c r="T22" s="4">
        <f t="shared" si="2"/>
        <v>127.7278436958959</v>
      </c>
      <c r="U22" s="4">
        <f t="shared" si="3"/>
        <v>119.28835704839469</v>
      </c>
      <c r="V22" s="4">
        <f t="shared" si="4"/>
        <v>108.85003036531582</v>
      </c>
      <c r="W22" s="4">
        <f t="shared" si="5"/>
        <v>98.793611708197588</v>
      </c>
      <c r="X22" s="4">
        <f t="shared" si="6"/>
        <v>127.37024603771229</v>
      </c>
      <c r="Y22" s="5">
        <f t="shared" si="7"/>
        <v>164.51517594135905</v>
      </c>
      <c r="Z22" s="4">
        <f>IF(ISBLANK(R22),"",R22/RelMean*100)</f>
        <v>140.876878860766</v>
      </c>
      <c r="AA22" s="4">
        <f>IF(ISBLANK(S22),"",S22/RelMean*100)</f>
        <v>180.38840002878081</v>
      </c>
      <c r="AB22" s="4">
        <f>IF(ISBLANK(T22),"",T22/RelMean*100)</f>
        <v>137.54916718533207</v>
      </c>
      <c r="AC22" s="4">
        <f>IF(ISBLANK(U22),"",U22/RelMean*100)</f>
        <v>128.46074663233696</v>
      </c>
      <c r="AD22" s="4">
        <f>IF(ISBLANK(V22),"",V22/RelMean*100)</f>
        <v>117.21979007564171</v>
      </c>
      <c r="AE22" s="4">
        <f>IF(ISBLANK(W22),"",W22/RelMean*100)</f>
        <v>106.39010743849488</v>
      </c>
      <c r="AF22" s="4">
        <f>IF(ISBLANK(X22),"",X22/RelMean*100)</f>
        <v>137.16407292046927</v>
      </c>
      <c r="AG22" s="9">
        <f>IF(ISBLANK(Y22),"",Y22/RelMean*100)</f>
        <v>177.16517233281544</v>
      </c>
      <c r="AH22" s="7">
        <f t="shared" si="8"/>
        <v>140.65179193432965</v>
      </c>
      <c r="AI22" s="5">
        <f t="shared" si="9"/>
        <v>26.2014433095001</v>
      </c>
    </row>
    <row r="23" spans="1:35" ht="15.75" x14ac:dyDescent="0.25">
      <c r="A23" s="13" t="s">
        <v>910</v>
      </c>
      <c r="I23" s="3"/>
      <c r="Q23" s="3"/>
      <c r="R23" s="4" t="str">
        <f t="shared" si="0"/>
        <v/>
      </c>
      <c r="S23" s="4" t="str">
        <f t="shared" si="1"/>
        <v/>
      </c>
      <c r="T23" s="4" t="str">
        <f t="shared" si="2"/>
        <v/>
      </c>
      <c r="U23" s="4" t="str">
        <f t="shared" si="3"/>
        <v/>
      </c>
      <c r="V23" s="4" t="str">
        <f t="shared" si="4"/>
        <v/>
      </c>
      <c r="W23" s="4" t="str">
        <f t="shared" si="5"/>
        <v/>
      </c>
      <c r="X23" s="4" t="str">
        <f t="shared" si="6"/>
        <v/>
      </c>
      <c r="Y23" s="5" t="str">
        <f t="shared" si="7"/>
        <v/>
      </c>
      <c r="Z23" s="4" t="e">
        <f>IF(ISBLANK(R23),"",R23/RelMean*100)</f>
        <v>#VALUE!</v>
      </c>
      <c r="AA23" s="4" t="e">
        <f>IF(ISBLANK(S23),"",S23/RelMean*100)</f>
        <v>#VALUE!</v>
      </c>
      <c r="AB23" s="4" t="e">
        <f>IF(ISBLANK(T23),"",T23/RelMean*100)</f>
        <v>#VALUE!</v>
      </c>
      <c r="AC23" s="4" t="e">
        <f>IF(ISBLANK(U23),"",U23/RelMean*100)</f>
        <v>#VALUE!</v>
      </c>
      <c r="AD23" s="4" t="e">
        <f>IF(ISBLANK(V23),"",V23/RelMean*100)</f>
        <v>#VALUE!</v>
      </c>
      <c r="AE23" s="4" t="e">
        <f>IF(ISBLANK(W23),"",W23/RelMean*100)</f>
        <v>#VALUE!</v>
      </c>
      <c r="AF23" s="4" t="e">
        <f>IF(ISBLANK(X23),"",X23/RelMean*100)</f>
        <v>#VALUE!</v>
      </c>
      <c r="AG23" s="9" t="e">
        <f>IF(ISBLANK(Y23),"",Y23/RelMean*100)</f>
        <v>#VALUE!</v>
      </c>
      <c r="AH23" s="7" t="e">
        <f t="shared" si="8"/>
        <v>#VALUE!</v>
      </c>
      <c r="AI23" s="5" t="e">
        <f t="shared" si="9"/>
        <v>#VALUE!</v>
      </c>
    </row>
    <row r="24" spans="1:35" x14ac:dyDescent="0.25">
      <c r="A24" s="11" t="s">
        <v>96</v>
      </c>
      <c r="B24">
        <v>147</v>
      </c>
      <c r="C24">
        <v>32</v>
      </c>
      <c r="D24">
        <v>89</v>
      </c>
      <c r="E24">
        <v>102</v>
      </c>
      <c r="F24">
        <v>72</v>
      </c>
      <c r="G24">
        <v>74</v>
      </c>
      <c r="H24">
        <v>121</v>
      </c>
      <c r="I24" s="3">
        <v>158</v>
      </c>
      <c r="J24">
        <v>115</v>
      </c>
      <c r="K24">
        <v>130</v>
      </c>
      <c r="L24">
        <v>79</v>
      </c>
      <c r="M24">
        <v>83</v>
      </c>
      <c r="N24">
        <v>92</v>
      </c>
      <c r="O24">
        <v>82</v>
      </c>
      <c r="P24">
        <v>88</v>
      </c>
      <c r="Q24" s="3">
        <v>138</v>
      </c>
      <c r="R24" s="4">
        <f t="shared" si="0"/>
        <v>78.231292517006807</v>
      </c>
      <c r="S24" s="4">
        <f t="shared" si="1"/>
        <v>406.25</v>
      </c>
      <c r="T24" s="4">
        <f t="shared" si="2"/>
        <v>88.764044943820224</v>
      </c>
      <c r="U24" s="4">
        <f t="shared" si="3"/>
        <v>81.372549019607845</v>
      </c>
      <c r="V24" s="4">
        <f t="shared" si="4"/>
        <v>127.77777777777777</v>
      </c>
      <c r="W24" s="4">
        <f t="shared" si="5"/>
        <v>110.81081081081081</v>
      </c>
      <c r="X24" s="4">
        <f t="shared" si="6"/>
        <v>72.727272727272734</v>
      </c>
      <c r="Y24" s="5">
        <f t="shared" si="7"/>
        <v>87.341772151898738</v>
      </c>
      <c r="Z24" s="4">
        <f>IF(ISBLANK(R24),"",R24/RelMean*100)</f>
        <v>70.942909118485304</v>
      </c>
      <c r="AA24" s="4">
        <f>IF(ISBLANK(S24),"",S24/RelMean*100)</f>
        <v>368.40190034082991</v>
      </c>
      <c r="AB24" s="4">
        <f>IF(ISBLANK(T24),"",T24/RelMean*100)</f>
        <v>80.494382373519272</v>
      </c>
      <c r="AC24" s="4">
        <f>IF(ISBLANK(U24),"",U24/RelMean*100)</f>
        <v>73.791511863140585</v>
      </c>
      <c r="AD24" s="4">
        <f>IF(ISBLANK(V24),"",V24/RelMean*100)</f>
        <v>115.8734182268593</v>
      </c>
      <c r="AE24" s="4">
        <f>IF(ISBLANK(W24),"",W24/RelMean*100)</f>
        <v>100.48717115325756</v>
      </c>
      <c r="AF24" s="4">
        <f>IF(ISBLANK(X24),"",X24/RelMean*100)</f>
        <v>65.951668872204522</v>
      </c>
      <c r="AG24" s="9">
        <f>IF(ISBLANK(Y24),"",Y24/RelMean*100)</f>
        <v>79.204614990511431</v>
      </c>
      <c r="AH24" s="7">
        <f t="shared" si="8"/>
        <v>119.393447117351</v>
      </c>
      <c r="AI24" s="5">
        <f t="shared" si="9"/>
        <v>101.97082349514494</v>
      </c>
    </row>
    <row r="25" spans="1:35" x14ac:dyDescent="0.25">
      <c r="A25" s="11" t="s">
        <v>97</v>
      </c>
      <c r="B25">
        <v>0.245</v>
      </c>
      <c r="C25">
        <v>5.3332999999999998E-2</v>
      </c>
      <c r="D25">
        <v>0.14833299999999999</v>
      </c>
      <c r="E25">
        <v>0.17</v>
      </c>
      <c r="F25">
        <v>0.12</v>
      </c>
      <c r="G25">
        <v>0.123333</v>
      </c>
      <c r="H25">
        <v>0.20166700000000001</v>
      </c>
      <c r="I25" s="3">
        <v>0.26333299999999998</v>
      </c>
      <c r="J25">
        <v>0.191667</v>
      </c>
      <c r="K25">
        <v>0.216667</v>
      </c>
      <c r="L25">
        <v>0.13166700000000001</v>
      </c>
      <c r="M25">
        <v>0.13833300000000001</v>
      </c>
      <c r="N25">
        <v>0.153333</v>
      </c>
      <c r="O25">
        <v>0.13666700000000001</v>
      </c>
      <c r="P25">
        <v>0.14666699999999999</v>
      </c>
      <c r="Q25" s="3">
        <v>0.23</v>
      </c>
      <c r="R25" s="4">
        <f t="shared" si="0"/>
        <v>78.23142857142858</v>
      </c>
      <c r="S25" s="4">
        <f t="shared" si="1"/>
        <v>406.25316408227559</v>
      </c>
      <c r="T25" s="4">
        <f t="shared" si="2"/>
        <v>88.764469133638514</v>
      </c>
      <c r="U25" s="4">
        <f t="shared" si="3"/>
        <v>81.372352941176473</v>
      </c>
      <c r="V25" s="4">
        <f t="shared" si="4"/>
        <v>127.7775</v>
      </c>
      <c r="W25" s="4">
        <f t="shared" si="5"/>
        <v>110.81138057129884</v>
      </c>
      <c r="X25" s="4">
        <f t="shared" si="6"/>
        <v>72.727317806086262</v>
      </c>
      <c r="Y25" s="5">
        <f t="shared" si="7"/>
        <v>87.34188271124394</v>
      </c>
      <c r="Z25" s="4">
        <f>IF(ISBLANK(R25),"",R25/RelMean*100)</f>
        <v>70.943091563695077</v>
      </c>
      <c r="AA25" s="4">
        <f>IF(ISBLANK(S25),"",S25/RelMean*100)</f>
        <v>368.40507637176876</v>
      </c>
      <c r="AB25" s="4">
        <f>IF(ISBLANK(T25),"",T25/RelMean*100)</f>
        <v>80.494834062768916</v>
      </c>
      <c r="AC25" s="4">
        <f>IF(ISBLANK(U25),"",U25/RelMean*100)</f>
        <v>73.791395489964501</v>
      </c>
      <c r="AD25" s="4">
        <f>IF(ISBLANK(V25),"",V25/RelMean*100)</f>
        <v>115.87326280260095</v>
      </c>
      <c r="AE25" s="4">
        <f>IF(ISBLANK(W25),"",W25/RelMean*100)</f>
        <v>100.4877714969939</v>
      </c>
      <c r="AF25" s="4">
        <f>IF(ISBLANK(X25),"",X25/RelMean*100)</f>
        <v>65.951764661798151</v>
      </c>
      <c r="AG25" s="9">
        <f>IF(ISBLANK(Y25),"",Y25/RelMean*100)</f>
        <v>79.204781194450646</v>
      </c>
      <c r="AH25" s="7">
        <f t="shared" si="8"/>
        <v>119.39399720550512</v>
      </c>
      <c r="AI25" s="5">
        <f t="shared" si="9"/>
        <v>101.97187022872396</v>
      </c>
    </row>
    <row r="26" spans="1:35" x14ac:dyDescent="0.25">
      <c r="A26" s="11" t="s">
        <v>98</v>
      </c>
      <c r="B26">
        <v>0.17879500000000001</v>
      </c>
      <c r="C26">
        <v>0.387845</v>
      </c>
      <c r="D26">
        <v>0.281059</v>
      </c>
      <c r="E26">
        <v>0.28539799999999999</v>
      </c>
      <c r="F26">
        <v>0.51249400000000001</v>
      </c>
      <c r="G26">
        <v>0.33000800000000002</v>
      </c>
      <c r="H26">
        <v>0.26900600000000002</v>
      </c>
      <c r="I26" s="3">
        <v>0.21615500000000001</v>
      </c>
      <c r="J26">
        <v>0.23447599999999999</v>
      </c>
      <c r="K26">
        <v>0.430004</v>
      </c>
      <c r="L26">
        <v>0.55091699999999999</v>
      </c>
      <c r="M26">
        <v>0.48358000000000001</v>
      </c>
      <c r="N26">
        <v>0.625668</v>
      </c>
      <c r="O26">
        <v>0.46270299999999998</v>
      </c>
      <c r="P26">
        <v>0.46854600000000002</v>
      </c>
      <c r="Q26" s="3">
        <v>0.18309900000000001</v>
      </c>
      <c r="R26" s="4">
        <f t="shared" si="0"/>
        <v>131.14236975306915</v>
      </c>
      <c r="S26" s="4">
        <f t="shared" si="1"/>
        <v>110.87006407198751</v>
      </c>
      <c r="T26" s="4">
        <f t="shared" si="2"/>
        <v>196.01471577142163</v>
      </c>
      <c r="U26" s="4">
        <f t="shared" si="3"/>
        <v>169.44057071177795</v>
      </c>
      <c r="V26" s="4">
        <f t="shared" si="4"/>
        <v>122.08299023988573</v>
      </c>
      <c r="W26" s="4">
        <f t="shared" si="5"/>
        <v>140.20963128166588</v>
      </c>
      <c r="X26" s="4">
        <f t="shared" si="6"/>
        <v>174.17678416094807</v>
      </c>
      <c r="Y26" s="5">
        <f t="shared" si="7"/>
        <v>84.707270245888367</v>
      </c>
      <c r="Z26" s="4">
        <f>IF(ISBLANK(R26),"",R26/RelMean*100)</f>
        <v>111.5043952096531</v>
      </c>
      <c r="AA26" s="4">
        <f>IF(ISBLANK(S26),"",S26/RelMean*100)</f>
        <v>94.267775277205061</v>
      </c>
      <c r="AB26" s="4">
        <f>IF(ISBLANK(T26),"",T26/RelMean*100)</f>
        <v>166.66240190289767</v>
      </c>
      <c r="AC26" s="4">
        <f>IF(ISBLANK(U26),"",U26/RelMean*100)</f>
        <v>144.06761443132376</v>
      </c>
      <c r="AD26" s="4">
        <f>IF(ISBLANK(V26),"",V26/RelMean*100)</f>
        <v>103.80161665307912</v>
      </c>
      <c r="AE26" s="4">
        <f>IF(ISBLANK(W26),"",W26/RelMean*100)</f>
        <v>119.21387548561304</v>
      </c>
      <c r="AF26" s="4">
        <f>IF(ISBLANK(X26),"",X26/RelMean*100)</f>
        <v>148.09460141674978</v>
      </c>
      <c r="AG26" s="9">
        <f>IF(ISBLANK(Y26),"",Y26/RelMean*100)</f>
        <v>72.02274105930114</v>
      </c>
      <c r="AH26" s="7">
        <f t="shared" si="8"/>
        <v>119.95437767947783</v>
      </c>
      <c r="AI26" s="5">
        <f t="shared" si="9"/>
        <v>31.270856979362932</v>
      </c>
    </row>
    <row r="27" spans="1:35" x14ac:dyDescent="0.25">
      <c r="A27" s="11" t="s">
        <v>99</v>
      </c>
      <c r="B27">
        <v>115.87074800000001</v>
      </c>
      <c r="C27">
        <v>54.40625</v>
      </c>
      <c r="D27">
        <v>131.202247</v>
      </c>
      <c r="E27">
        <v>113.294118</v>
      </c>
      <c r="F27">
        <v>215.055556</v>
      </c>
      <c r="G27">
        <v>230.337838</v>
      </c>
      <c r="H27">
        <v>140.14049600000001</v>
      </c>
      <c r="I27" s="3">
        <v>106.759494</v>
      </c>
      <c r="J27">
        <v>228.33043499999999</v>
      </c>
      <c r="K27">
        <v>72.823076999999998</v>
      </c>
      <c r="L27">
        <v>375.78480999999999</v>
      </c>
      <c r="M27">
        <v>258.26506000000001</v>
      </c>
      <c r="N27">
        <v>434.56521700000002</v>
      </c>
      <c r="O27">
        <v>444.98780499999998</v>
      </c>
      <c r="P27">
        <v>369.26136400000001</v>
      </c>
      <c r="Q27" s="3">
        <v>264.050725</v>
      </c>
      <c r="R27" s="4">
        <f t="shared" si="0"/>
        <v>197.05615001294373</v>
      </c>
      <c r="S27" s="4">
        <f t="shared" si="1"/>
        <v>133.85057231476162</v>
      </c>
      <c r="T27" s="4">
        <f t="shared" si="2"/>
        <v>286.4164437671559</v>
      </c>
      <c r="U27" s="4">
        <f t="shared" si="3"/>
        <v>227.95981341237859</v>
      </c>
      <c r="V27" s="4">
        <f t="shared" si="4"/>
        <v>202.07114156120664</v>
      </c>
      <c r="W27" s="4">
        <f t="shared" si="5"/>
        <v>193.18919065307887</v>
      </c>
      <c r="X27" s="4">
        <f t="shared" si="6"/>
        <v>263.49368993242319</v>
      </c>
      <c r="Y27" s="5">
        <f t="shared" si="7"/>
        <v>247.33231219698362</v>
      </c>
      <c r="Z27" s="4">
        <f>IF(ISBLANK(R27),"",R27/RelMean*100)</f>
        <v>208.84183728396283</v>
      </c>
      <c r="AA27" s="4">
        <f>IF(ISBLANK(S27),"",S27/RelMean*100)</f>
        <v>141.85601130382685</v>
      </c>
      <c r="AB27" s="4">
        <f>IF(ISBLANK(T27),"",T27/RelMean*100)</f>
        <v>303.54666089204846</v>
      </c>
      <c r="AC27" s="4">
        <f>IF(ISBLANK(U27),"",U27/RelMean*100)</f>
        <v>241.59381098647961</v>
      </c>
      <c r="AD27" s="4">
        <f>IF(ISBLANK(V27),"",V27/RelMean*100)</f>
        <v>214.15676934182542</v>
      </c>
      <c r="AE27" s="4">
        <f>IF(ISBLANK(W27),"",W27/RelMean*100)</f>
        <v>204.74359981528423</v>
      </c>
      <c r="AF27" s="4">
        <f>IF(ISBLANK(X27),"",X27/RelMean*100)</f>
        <v>279.25292519215208</v>
      </c>
      <c r="AG27" s="9">
        <f>IF(ISBLANK(Y27),"",Y27/RelMean*100)</f>
        <v>262.12495522477155</v>
      </c>
      <c r="AH27" s="7">
        <f t="shared" si="8"/>
        <v>232.01457125504388</v>
      </c>
      <c r="AI27" s="5">
        <f t="shared" si="9"/>
        <v>50.814575372162629</v>
      </c>
    </row>
    <row r="28" spans="1:35" x14ac:dyDescent="0.25">
      <c r="A28" s="11" t="s">
        <v>100</v>
      </c>
      <c r="B28">
        <v>1.604E-3</v>
      </c>
      <c r="C28">
        <v>6.927E-3</v>
      </c>
      <c r="D28">
        <v>2.0249999999999999E-3</v>
      </c>
      <c r="E28">
        <v>2.8860000000000001E-3</v>
      </c>
      <c r="F28">
        <v>2.5950000000000001E-3</v>
      </c>
      <c r="G28">
        <v>1.312E-3</v>
      </c>
      <c r="H28">
        <v>1.9740000000000001E-3</v>
      </c>
      <c r="I28" s="3">
        <v>2.4810000000000001E-3</v>
      </c>
      <c r="J28">
        <v>9.3599999999999998E-4</v>
      </c>
      <c r="K28">
        <v>5.9459999999999999E-3</v>
      </c>
      <c r="L28">
        <v>1.426E-3</v>
      </c>
      <c r="M28">
        <v>1.8129999999999999E-3</v>
      </c>
      <c r="N28">
        <v>1.4369999999999999E-3</v>
      </c>
      <c r="O28">
        <v>1.039E-3</v>
      </c>
      <c r="P28">
        <v>1.091E-3</v>
      </c>
      <c r="Q28" s="3">
        <v>6.6500000000000001E-4</v>
      </c>
      <c r="R28" s="4">
        <f t="shared" si="0"/>
        <v>58.354114713216951</v>
      </c>
      <c r="S28" s="4">
        <f t="shared" si="1"/>
        <v>85.838025119099171</v>
      </c>
      <c r="T28" s="4">
        <f t="shared" si="2"/>
        <v>70.41975308641976</v>
      </c>
      <c r="U28" s="4">
        <f t="shared" si="3"/>
        <v>62.820512820512818</v>
      </c>
      <c r="V28" s="4">
        <f t="shared" si="4"/>
        <v>55.375722543352602</v>
      </c>
      <c r="W28" s="4">
        <f t="shared" si="5"/>
        <v>79.192073170731703</v>
      </c>
      <c r="X28" s="4">
        <f t="shared" si="6"/>
        <v>55.268490374873345</v>
      </c>
      <c r="Y28" s="5">
        <f t="shared" si="7"/>
        <v>26.803708182184604</v>
      </c>
      <c r="Z28" s="4">
        <f>IF(ISBLANK(R28),"",R28/RelMean*100)</f>
        <v>41.115229483180507</v>
      </c>
      <c r="AA28" s="4">
        <f>IF(ISBLANK(S28),"",S28/RelMean*100)</f>
        <v>60.479884212096792</v>
      </c>
      <c r="AB28" s="4">
        <f>IF(ISBLANK(T28),"",T28/RelMean*100)</f>
        <v>49.616455026800004</v>
      </c>
      <c r="AC28" s="4">
        <f>IF(ISBLANK(U28),"",U28/RelMean*100)</f>
        <v>44.262170946472381</v>
      </c>
      <c r="AD28" s="4">
        <f>IF(ISBLANK(V28),"",V28/RelMean*100)</f>
        <v>39.016709470381059</v>
      </c>
      <c r="AE28" s="4">
        <f>IF(ISBLANK(W28),"",W28/RelMean*100)</f>
        <v>55.797269441326755</v>
      </c>
      <c r="AF28" s="4">
        <f>IF(ISBLANK(X28),"",X28/RelMean*100)</f>
        <v>38.941155668619665</v>
      </c>
      <c r="AG28" s="9">
        <f>IF(ISBLANK(Y28),"",Y28/RelMean*100)</f>
        <v>18.885396828085469</v>
      </c>
      <c r="AH28" s="7">
        <f t="shared" si="8"/>
        <v>43.514283884620326</v>
      </c>
      <c r="AI28" s="5">
        <f t="shared" si="9"/>
        <v>12.705332813540975</v>
      </c>
    </row>
    <row r="29" spans="1:35" x14ac:dyDescent="0.25">
      <c r="A29" s="11" t="s">
        <v>101</v>
      </c>
      <c r="B29">
        <v>8.6499999999999999E-4</v>
      </c>
      <c r="C29">
        <v>2.7690000000000002E-3</v>
      </c>
      <c r="D29">
        <v>8.4999999999999995E-4</v>
      </c>
      <c r="E29">
        <v>1.1980000000000001E-3</v>
      </c>
      <c r="F29">
        <v>6.29E-4</v>
      </c>
      <c r="G29">
        <v>4.46E-4</v>
      </c>
      <c r="H29">
        <v>7.0799999999999997E-4</v>
      </c>
      <c r="I29" s="3">
        <v>7.9900000000000001E-4</v>
      </c>
      <c r="J29">
        <v>4.1599999999999997E-4</v>
      </c>
      <c r="K29">
        <v>1.498E-3</v>
      </c>
      <c r="L29">
        <v>5.0699999999999996E-4</v>
      </c>
      <c r="M29">
        <v>6.0700000000000001E-4</v>
      </c>
      <c r="N29">
        <v>4.2400000000000001E-4</v>
      </c>
      <c r="O29">
        <v>4.3300000000000001E-4</v>
      </c>
      <c r="P29">
        <v>4.3300000000000001E-4</v>
      </c>
      <c r="Q29" s="3">
        <v>2.5999999999999998E-4</v>
      </c>
      <c r="R29" s="4">
        <f t="shared" si="0"/>
        <v>48.092485549132945</v>
      </c>
      <c r="S29" s="4">
        <f t="shared" si="1"/>
        <v>54.098952690501974</v>
      </c>
      <c r="T29" s="4">
        <f t="shared" si="2"/>
        <v>59.647058823529406</v>
      </c>
      <c r="U29" s="4">
        <f t="shared" si="3"/>
        <v>50.667779632721199</v>
      </c>
      <c r="V29" s="4">
        <f t="shared" si="4"/>
        <v>67.408585055643883</v>
      </c>
      <c r="W29" s="4">
        <f t="shared" si="5"/>
        <v>97.085201793721978</v>
      </c>
      <c r="X29" s="4">
        <f t="shared" si="6"/>
        <v>61.158192090395481</v>
      </c>
      <c r="Y29" s="5">
        <f t="shared" si="7"/>
        <v>32.540675844806003</v>
      </c>
      <c r="Z29" s="4">
        <f>IF(ISBLANK(R29),"",R29/RelMean*100)</f>
        <v>40.404513144608046</v>
      </c>
      <c r="AA29" s="4">
        <f>IF(ISBLANK(S29),"",S29/RelMean*100)</f>
        <v>45.450797980898372</v>
      </c>
      <c r="AB29" s="4">
        <f>IF(ISBLANK(T29),"",T29/RelMean*100)</f>
        <v>50.111994519608537</v>
      </c>
      <c r="AC29" s="4">
        <f>IF(ISBLANK(U29),"",U29/RelMean*100)</f>
        <v>42.568125660440032</v>
      </c>
      <c r="AD29" s="4">
        <f>IF(ISBLANK(V29),"",V29/RelMean*100)</f>
        <v>56.632778070030454</v>
      </c>
      <c r="AE29" s="4">
        <f>IF(ISBLANK(W29),"",W29/RelMean*100)</f>
        <v>81.565347834098077</v>
      </c>
      <c r="AF29" s="4">
        <f>IF(ISBLANK(X29),"",X29/RelMean*100)</f>
        <v>51.381560923739755</v>
      </c>
      <c r="AG29" s="9">
        <f>IF(ISBLANK(Y29),"",Y29/RelMean*100)</f>
        <v>27.33878588085572</v>
      </c>
      <c r="AH29" s="7">
        <f t="shared" si="8"/>
        <v>49.431738001784872</v>
      </c>
      <c r="AI29" s="5">
        <f t="shared" si="9"/>
        <v>15.680901928955741</v>
      </c>
    </row>
    <row r="30" spans="1:35" x14ac:dyDescent="0.25">
      <c r="A30" s="11" t="s">
        <v>102</v>
      </c>
      <c r="B30">
        <v>0.55130900000000005</v>
      </c>
      <c r="C30">
        <v>0.47391100000000003</v>
      </c>
      <c r="D30">
        <v>0.45907399999999998</v>
      </c>
      <c r="E30">
        <v>0.45371400000000001</v>
      </c>
      <c r="F30">
        <v>0.273449</v>
      </c>
      <c r="G30">
        <v>0.40351799999999999</v>
      </c>
      <c r="H30">
        <v>0.39604099999999998</v>
      </c>
      <c r="I30" s="3">
        <v>0.40113300000000002</v>
      </c>
      <c r="J30">
        <v>0.49633100000000002</v>
      </c>
      <c r="K30">
        <v>0.28676000000000001</v>
      </c>
      <c r="L30">
        <v>0.36355599999999999</v>
      </c>
      <c r="M30">
        <v>0.36632500000000001</v>
      </c>
      <c r="N30">
        <v>0.31014199999999997</v>
      </c>
      <c r="O30">
        <v>0.43414199999999997</v>
      </c>
      <c r="P30">
        <v>0.46216400000000002</v>
      </c>
      <c r="Q30" s="3">
        <v>0.434058</v>
      </c>
      <c r="R30" s="4">
        <f t="shared" si="0"/>
        <v>90.027733993096433</v>
      </c>
      <c r="S30" s="4">
        <f t="shared" si="1"/>
        <v>60.509251737140509</v>
      </c>
      <c r="T30" s="4">
        <f t="shared" si="2"/>
        <v>79.193332665321932</v>
      </c>
      <c r="U30" s="4">
        <f t="shared" si="3"/>
        <v>80.739188122914442</v>
      </c>
      <c r="V30" s="4">
        <f t="shared" si="4"/>
        <v>113.4185899381603</v>
      </c>
      <c r="W30" s="4">
        <f t="shared" si="5"/>
        <v>107.58925252405096</v>
      </c>
      <c r="X30" s="4">
        <f t="shared" si="6"/>
        <v>116.69599864660478</v>
      </c>
      <c r="Y30" s="5">
        <f t="shared" si="7"/>
        <v>108.20800083762741</v>
      </c>
      <c r="Z30" s="4">
        <f>IF(ISBLANK(R30),"",R30/RelMean*100)</f>
        <v>99.974744857858411</v>
      </c>
      <c r="AA30" s="4">
        <f>IF(ISBLANK(S30),"",S30/RelMean*100)</f>
        <v>67.194815815584477</v>
      </c>
      <c r="AB30" s="4">
        <f>IF(ISBLANK(T30),"",T30/RelMean*100)</f>
        <v>87.943268996042775</v>
      </c>
      <c r="AC30" s="4">
        <f>IF(ISBLANK(U30),"",U30/RelMean*100)</f>
        <v>89.659923388030364</v>
      </c>
      <c r="AD30" s="4">
        <f>IF(ISBLANK(V30),"",V30/RelMean*100)</f>
        <v>125.95001660349627</v>
      </c>
      <c r="AE30" s="4">
        <f>IF(ISBLANK(W30),"",W30/RelMean*100)</f>
        <v>119.47660563537575</v>
      </c>
      <c r="AF30" s="4">
        <f>IF(ISBLANK(X30),"",X30/RelMean*100)</f>
        <v>129.58954061336181</v>
      </c>
      <c r="AG30" s="9">
        <f>IF(ISBLANK(Y30),"",Y30/RelMean*100)</f>
        <v>120.16371839538122</v>
      </c>
      <c r="AH30" s="7">
        <f t="shared" si="8"/>
        <v>104.99407928814139</v>
      </c>
      <c r="AI30" s="5">
        <f t="shared" si="9"/>
        <v>22.244723459683527</v>
      </c>
    </row>
    <row r="31" spans="1:35" x14ac:dyDescent="0.25">
      <c r="A31" s="11" t="s">
        <v>103</v>
      </c>
      <c r="B31">
        <v>11.965985999999999</v>
      </c>
      <c r="C31">
        <v>6.5</v>
      </c>
      <c r="D31">
        <v>12.483146</v>
      </c>
      <c r="E31">
        <v>11.431373000000001</v>
      </c>
      <c r="F31">
        <v>13.902778</v>
      </c>
      <c r="G31">
        <v>13.040540999999999</v>
      </c>
      <c r="H31">
        <v>12.801653</v>
      </c>
      <c r="I31" s="3">
        <v>14.037974999999999</v>
      </c>
      <c r="J31">
        <v>14.843477999999999</v>
      </c>
      <c r="K31">
        <v>7.5076919999999996</v>
      </c>
      <c r="L31">
        <v>14.227848</v>
      </c>
      <c r="M31">
        <v>14.204819000000001</v>
      </c>
      <c r="N31">
        <v>14.836957</v>
      </c>
      <c r="O31">
        <v>15.146341</v>
      </c>
      <c r="P31">
        <v>13.477273</v>
      </c>
      <c r="Q31" s="3">
        <v>15.949275</v>
      </c>
      <c r="R31" s="4">
        <f t="shared" si="0"/>
        <v>124.04726196403706</v>
      </c>
      <c r="S31" s="4">
        <f t="shared" si="1"/>
        <v>115.50295384615383</v>
      </c>
      <c r="T31" s="4">
        <f t="shared" si="2"/>
        <v>113.97646074154704</v>
      </c>
      <c r="U31" s="4">
        <f t="shared" si="3"/>
        <v>124.26170504627922</v>
      </c>
      <c r="V31" s="4">
        <f t="shared" si="4"/>
        <v>106.71936932316693</v>
      </c>
      <c r="W31" s="4">
        <f t="shared" si="5"/>
        <v>116.14810305799431</v>
      </c>
      <c r="X31" s="4">
        <f t="shared" si="6"/>
        <v>105.27759969747656</v>
      </c>
      <c r="Y31" s="5">
        <f t="shared" si="7"/>
        <v>113.61521159568954</v>
      </c>
      <c r="Z31" s="4">
        <f>IF(ISBLANK(R31),"",R31/RelMean*100)</f>
        <v>124.97197080908566</v>
      </c>
      <c r="AA31" s="4">
        <f>IF(ISBLANK(S31),"",S31/RelMean*100)</f>
        <v>116.36396924753967</v>
      </c>
      <c r="AB31" s="4">
        <f>IF(ISBLANK(T31),"",T31/RelMean*100)</f>
        <v>114.82609691816495</v>
      </c>
      <c r="AC31" s="4">
        <f>IF(ISBLANK(U31),"",U31/RelMean*100)</f>
        <v>125.18801245474447</v>
      </c>
      <c r="AD31" s="4">
        <f>IF(ISBLANK(V31),"",V31/RelMean*100)</f>
        <v>107.51490759776223</v>
      </c>
      <c r="AE31" s="4">
        <f>IF(ISBLANK(W31),"",W31/RelMean*100)</f>
        <v>117.01392771653842</v>
      </c>
      <c r="AF31" s="4">
        <f>IF(ISBLANK(X31),"",X31/RelMean*100)</f>
        <v>106.06239031747403</v>
      </c>
      <c r="AG31" s="9">
        <f>IF(ISBLANK(Y31),"",Y31/RelMean*100)</f>
        <v>114.46215484482842</v>
      </c>
      <c r="AH31" s="7">
        <f t="shared" si="8"/>
        <v>115.80042873826724</v>
      </c>
      <c r="AI31" s="5">
        <f t="shared" si="9"/>
        <v>6.9719194121914185</v>
      </c>
    </row>
    <row r="32" spans="1:35" x14ac:dyDescent="0.25">
      <c r="A32" s="11" t="s">
        <v>104</v>
      </c>
      <c r="B32">
        <v>9.4863949999999999</v>
      </c>
      <c r="C32">
        <v>8.4934519999999996</v>
      </c>
      <c r="D32">
        <v>10.405676</v>
      </c>
      <c r="E32">
        <v>9.4095019999999998</v>
      </c>
      <c r="F32">
        <v>15.234873</v>
      </c>
      <c r="G32">
        <v>17.229725999999999</v>
      </c>
      <c r="H32">
        <v>10.827083999999999</v>
      </c>
      <c r="I32" s="3">
        <v>7.5065140000000001</v>
      </c>
      <c r="J32">
        <v>15.373457999999999</v>
      </c>
      <c r="K32">
        <v>9.6722409999999996</v>
      </c>
      <c r="L32">
        <v>26.436917999999999</v>
      </c>
      <c r="M32">
        <v>18.185424999999999</v>
      </c>
      <c r="N32">
        <v>29.296686999999999</v>
      </c>
      <c r="O32">
        <v>29.387795000000001</v>
      </c>
      <c r="P32">
        <v>27.329412000000001</v>
      </c>
      <c r="Q32" s="3">
        <v>16.563164</v>
      </c>
      <c r="R32" s="4">
        <f t="shared" si="0"/>
        <v>162.05795773842434</v>
      </c>
      <c r="S32" s="4">
        <f t="shared" si="1"/>
        <v>113.87879745479223</v>
      </c>
      <c r="T32" s="4">
        <f t="shared" si="2"/>
        <v>254.06247513376354</v>
      </c>
      <c r="U32" s="4">
        <f t="shared" si="3"/>
        <v>193.26660433251408</v>
      </c>
      <c r="V32" s="4">
        <f t="shared" si="4"/>
        <v>192.30017211170713</v>
      </c>
      <c r="W32" s="4">
        <f t="shared" si="5"/>
        <v>170.56449417709837</v>
      </c>
      <c r="X32" s="4">
        <f t="shared" si="6"/>
        <v>252.41710510419981</v>
      </c>
      <c r="Y32" s="5">
        <f t="shared" si="7"/>
        <v>220.65054431391192</v>
      </c>
      <c r="Z32" s="4">
        <f>IF(ISBLANK(R32),"",R32/RelMean*100)</f>
        <v>171.2994814382333</v>
      </c>
      <c r="AA32" s="4">
        <f>IF(ISBLANK(S32),"",S32/RelMean*100)</f>
        <v>120.37285439757375</v>
      </c>
      <c r="AB32" s="4">
        <f>IF(ISBLANK(T32),"",T32/RelMean*100)</f>
        <v>268.5506521905827</v>
      </c>
      <c r="AC32" s="4">
        <f>IF(ISBLANK(U32),"",U32/RelMean*100)</f>
        <v>204.28783358435632</v>
      </c>
      <c r="AD32" s="4">
        <f>IF(ISBLANK(V32),"",V32/RelMean*100)</f>
        <v>203.26628956035569</v>
      </c>
      <c r="AE32" s="4">
        <f>IF(ISBLANK(W32),"",W32/RelMean*100)</f>
        <v>180.29111197039322</v>
      </c>
      <c r="AF32" s="4">
        <f>IF(ISBLANK(X32),"",X32/RelMean*100)</f>
        <v>266.81145322268497</v>
      </c>
      <c r="AG32" s="9">
        <f>IF(ISBLANK(Y32),"",Y32/RelMean*100)</f>
        <v>233.23337124268346</v>
      </c>
      <c r="AH32" s="7">
        <f t="shared" si="8"/>
        <v>206.01413095085792</v>
      </c>
      <c r="AI32" s="5">
        <f t="shared" si="9"/>
        <v>50.085295114705325</v>
      </c>
    </row>
    <row r="33" spans="1:35" x14ac:dyDescent="0.25">
      <c r="A33" s="11" t="s">
        <v>105</v>
      </c>
      <c r="B33">
        <v>98.054227999999995</v>
      </c>
      <c r="C33">
        <v>36.248178000000003</v>
      </c>
      <c r="D33">
        <v>99.820481999999998</v>
      </c>
      <c r="E33">
        <v>98.769231000000005</v>
      </c>
      <c r="F33">
        <v>95.509499000000005</v>
      </c>
      <c r="G33">
        <v>99.876947999999999</v>
      </c>
      <c r="H33">
        <v>99.466212999999996</v>
      </c>
      <c r="I33" s="3">
        <v>92.977620999999999</v>
      </c>
      <c r="J33">
        <v>99.878281000000001</v>
      </c>
      <c r="K33">
        <v>99.464173000000002</v>
      </c>
      <c r="L33">
        <v>99.909133999999995</v>
      </c>
      <c r="M33">
        <v>99.9161</v>
      </c>
      <c r="N33">
        <v>99.905043000000006</v>
      </c>
      <c r="O33">
        <v>99.950693999999999</v>
      </c>
      <c r="P33">
        <v>99.843299000000002</v>
      </c>
      <c r="Q33" s="3">
        <v>98.491770000000002</v>
      </c>
      <c r="R33" s="4">
        <f t="shared" si="0"/>
        <v>101.86024920822385</v>
      </c>
      <c r="S33" s="4">
        <f t="shared" si="1"/>
        <v>274.39771731423298</v>
      </c>
      <c r="T33" s="4">
        <f t="shared" si="2"/>
        <v>100.08881143250741</v>
      </c>
      <c r="U33" s="4">
        <f t="shared" si="3"/>
        <v>101.1611601997792</v>
      </c>
      <c r="V33" s="4">
        <f t="shared" si="4"/>
        <v>104.60220611145704</v>
      </c>
      <c r="W33" s="4">
        <f t="shared" si="5"/>
        <v>100.07383685773017</v>
      </c>
      <c r="X33" s="4">
        <f t="shared" si="6"/>
        <v>100.3791096379632</v>
      </c>
      <c r="Y33" s="5">
        <f t="shared" si="7"/>
        <v>105.93061958425459</v>
      </c>
      <c r="Z33" s="4">
        <f>IF(ISBLANK(R33),"",R33/RelMean*100)</f>
        <v>109.00293963020313</v>
      </c>
      <c r="AA33" s="4">
        <f>IF(ISBLANK(S33),"",S33/RelMean*100)</f>
        <v>293.63915803824716</v>
      </c>
      <c r="AB33" s="4">
        <f>IF(ISBLANK(T33),"",T33/RelMean*100)</f>
        <v>107.10728429432861</v>
      </c>
      <c r="AC33" s="4">
        <f>IF(ISBLANK(U33),"",U33/RelMean*100)</f>
        <v>108.25482878641503</v>
      </c>
      <c r="AD33" s="4">
        <f>IF(ISBLANK(V33),"",V33/RelMean*100)</f>
        <v>111.93716927439701</v>
      </c>
      <c r="AE33" s="4">
        <f>IF(ISBLANK(W33),"",W33/RelMean*100)</f>
        <v>107.09125966565236</v>
      </c>
      <c r="AF33" s="4">
        <f>IF(ISBLANK(X33),"",X33/RelMean*100)</f>
        <v>107.41793892172271</v>
      </c>
      <c r="AG33" s="9">
        <f>IF(ISBLANK(Y33),"",Y33/RelMean*100)</f>
        <v>113.35873435699656</v>
      </c>
      <c r="AH33" s="7">
        <f t="shared" si="8"/>
        <v>132.22616412099532</v>
      </c>
      <c r="AI33" s="5">
        <f t="shared" si="9"/>
        <v>65.26198902429644</v>
      </c>
    </row>
    <row r="34" spans="1:35" x14ac:dyDescent="0.25">
      <c r="A34" s="11" t="s">
        <v>106</v>
      </c>
      <c r="B34">
        <v>0.348219</v>
      </c>
      <c r="C34">
        <v>0.72742300000000004</v>
      </c>
      <c r="D34">
        <v>0.27536500000000003</v>
      </c>
      <c r="E34">
        <v>0.404617</v>
      </c>
      <c r="F34">
        <v>0.32209100000000002</v>
      </c>
      <c r="G34">
        <v>0.34209600000000001</v>
      </c>
      <c r="H34">
        <v>0.31337799999999999</v>
      </c>
      <c r="I34" s="3">
        <v>0.40859400000000001</v>
      </c>
      <c r="J34">
        <v>0.439828</v>
      </c>
      <c r="K34">
        <v>0.45805200000000001</v>
      </c>
      <c r="L34">
        <v>0.197961</v>
      </c>
      <c r="M34">
        <v>9.8264000000000004E-2</v>
      </c>
      <c r="N34">
        <v>0.144978</v>
      </c>
      <c r="O34">
        <v>0.39694800000000002</v>
      </c>
      <c r="P34">
        <v>0.285547</v>
      </c>
      <c r="Q34" s="3">
        <v>0.358848</v>
      </c>
      <c r="R34" s="4">
        <f t="shared" si="0"/>
        <v>126.30786947294663</v>
      </c>
      <c r="S34" s="4">
        <f t="shared" si="1"/>
        <v>62.969139001653787</v>
      </c>
      <c r="T34" s="4">
        <f t="shared" si="2"/>
        <v>71.890400014526165</v>
      </c>
      <c r="U34" s="4">
        <f t="shared" si="3"/>
        <v>24.285682509632565</v>
      </c>
      <c r="V34" s="4">
        <f t="shared" si="4"/>
        <v>45.011502960343499</v>
      </c>
      <c r="W34" s="4">
        <f t="shared" si="5"/>
        <v>116.03409569243721</v>
      </c>
      <c r="X34" s="4">
        <f t="shared" si="6"/>
        <v>91.119031967783314</v>
      </c>
      <c r="Y34" s="5">
        <f t="shared" si="7"/>
        <v>87.825078194980833</v>
      </c>
      <c r="Z34" s="4">
        <f>IF(ISBLANK(R34),"",R34/RelMean*100)</f>
        <v>124.85936492664833</v>
      </c>
      <c r="AA34" s="4">
        <f>IF(ISBLANK(S34),"",S34/RelMean*100)</f>
        <v>62.247005974622397</v>
      </c>
      <c r="AB34" s="4">
        <f>IF(ISBLANK(T34),"",T34/RelMean*100)</f>
        <v>71.065957549533522</v>
      </c>
      <c r="AC34" s="4">
        <f>IF(ISBLANK(U34),"",U34/RelMean*100)</f>
        <v>24.007173168354392</v>
      </c>
      <c r="AD34" s="4">
        <f>IF(ISBLANK(V34),"",V34/RelMean*100)</f>
        <v>44.495308942141477</v>
      </c>
      <c r="AE34" s="4">
        <f>IF(ISBLANK(W34),"",W34/RelMean*100)</f>
        <v>114.70341126368824</v>
      </c>
      <c r="AF34" s="4">
        <f>IF(ISBLANK(X34),"",X34/RelMean*100)</f>
        <v>90.074074653481489</v>
      </c>
      <c r="AG34" s="9">
        <f>IF(ISBLANK(Y34),"",Y34/RelMean*100)</f>
        <v>86.817896096388935</v>
      </c>
      <c r="AH34" s="7">
        <f t="shared" si="8"/>
        <v>77.283774071857351</v>
      </c>
      <c r="AI34" s="5">
        <f t="shared" si="9"/>
        <v>34.009248009090335</v>
      </c>
    </row>
    <row r="35" spans="1:35" x14ac:dyDescent="0.25">
      <c r="A35" s="11" t="s">
        <v>107</v>
      </c>
      <c r="B35">
        <v>0.57528800000000002</v>
      </c>
      <c r="C35">
        <v>1.293822</v>
      </c>
      <c r="D35">
        <v>1.1848970000000001</v>
      </c>
      <c r="E35">
        <v>0.74746199999999996</v>
      </c>
      <c r="F35">
        <v>0.72536299999999998</v>
      </c>
      <c r="G35">
        <v>1.051472</v>
      </c>
      <c r="H35">
        <v>0.65091100000000002</v>
      </c>
      <c r="I35" s="3">
        <v>1.165667</v>
      </c>
      <c r="J35">
        <v>0.18882099999999999</v>
      </c>
      <c r="K35">
        <v>0.57226200000000005</v>
      </c>
      <c r="L35">
        <v>0.45985799999999999</v>
      </c>
      <c r="M35">
        <v>0.53061899999999995</v>
      </c>
      <c r="N35">
        <v>0.34217599999999998</v>
      </c>
      <c r="O35">
        <v>0.31317400000000001</v>
      </c>
      <c r="P35">
        <v>0.34875400000000001</v>
      </c>
      <c r="Q35" s="3">
        <v>0.322737</v>
      </c>
      <c r="R35" s="4">
        <f t="shared" si="0"/>
        <v>32.821995244121204</v>
      </c>
      <c r="S35" s="4">
        <f t="shared" si="1"/>
        <v>44.230350079068067</v>
      </c>
      <c r="T35" s="4">
        <f t="shared" si="2"/>
        <v>38.809955633274448</v>
      </c>
      <c r="U35" s="4">
        <f t="shared" si="3"/>
        <v>70.989428225113784</v>
      </c>
      <c r="V35" s="4">
        <f t="shared" si="4"/>
        <v>47.173070586726922</v>
      </c>
      <c r="W35" s="4">
        <f t="shared" si="5"/>
        <v>29.78434042941705</v>
      </c>
      <c r="X35" s="4">
        <f t="shared" si="6"/>
        <v>53.57936799347376</v>
      </c>
      <c r="Y35" s="5">
        <f t="shared" si="7"/>
        <v>27.686895142437763</v>
      </c>
      <c r="Z35" s="4">
        <f>IF(ISBLANK(R35),"",R35/RelMean*100)</f>
        <v>30.781675426409823</v>
      </c>
      <c r="AA35" s="4">
        <f>IF(ISBLANK(S35),"",S35/RelMean*100)</f>
        <v>41.480850569991198</v>
      </c>
      <c r="AB35" s="4">
        <f>IF(ISBLANK(T35),"",T35/RelMean*100)</f>
        <v>36.397405116033966</v>
      </c>
      <c r="AC35" s="4">
        <f>IF(ISBLANK(U35),"",U35/RelMean*100)</f>
        <v>66.576499145744606</v>
      </c>
      <c r="AD35" s="4">
        <f>IF(ISBLANK(V35),"",V35/RelMean*100)</f>
        <v>44.24064219337275</v>
      </c>
      <c r="AE35" s="4">
        <f>IF(ISBLANK(W35),"",W35/RelMean*100)</f>
        <v>27.932850915034575</v>
      </c>
      <c r="AF35" s="4">
        <f>IF(ISBLANK(X35),"",X35/RelMean*100)</f>
        <v>50.248703738468862</v>
      </c>
      <c r="AG35" s="9">
        <f>IF(ISBLANK(Y35),"",Y35/RelMean*100)</f>
        <v>25.965789510989879</v>
      </c>
      <c r="AH35" s="7">
        <f t="shared" si="8"/>
        <v>40.453052077005708</v>
      </c>
      <c r="AI35" s="5">
        <f t="shared" si="9"/>
        <v>13.471724352670511</v>
      </c>
    </row>
    <row r="36" spans="1:35" ht="15.75" x14ac:dyDescent="0.25">
      <c r="A36" s="13" t="s">
        <v>911</v>
      </c>
      <c r="I36" s="3"/>
      <c r="Q36" s="3"/>
      <c r="R36" s="4" t="str">
        <f t="shared" si="0"/>
        <v/>
      </c>
      <c r="S36" s="4" t="str">
        <f t="shared" si="1"/>
        <v/>
      </c>
      <c r="T36" s="4" t="str">
        <f t="shared" si="2"/>
        <v/>
      </c>
      <c r="U36" s="4" t="str">
        <f t="shared" si="3"/>
        <v/>
      </c>
      <c r="V36" s="4" t="str">
        <f t="shared" si="4"/>
        <v/>
      </c>
      <c r="W36" s="4" t="str">
        <f t="shared" si="5"/>
        <v/>
      </c>
      <c r="X36" s="4" t="str">
        <f t="shared" si="6"/>
        <v/>
      </c>
      <c r="Y36" s="5" t="str">
        <f t="shared" si="7"/>
        <v/>
      </c>
      <c r="Z36" s="4" t="e">
        <f>IF(ISBLANK(R36),"",R36/RelMean*100)</f>
        <v>#VALUE!</v>
      </c>
      <c r="AA36" s="4" t="e">
        <f>IF(ISBLANK(S36),"",S36/RelMean*100)</f>
        <v>#VALUE!</v>
      </c>
      <c r="AB36" s="4" t="e">
        <f>IF(ISBLANK(T36),"",T36/RelMean*100)</f>
        <v>#VALUE!</v>
      </c>
      <c r="AC36" s="4" t="e">
        <f>IF(ISBLANK(U36),"",U36/RelMean*100)</f>
        <v>#VALUE!</v>
      </c>
      <c r="AD36" s="4" t="e">
        <f>IF(ISBLANK(V36),"",V36/RelMean*100)</f>
        <v>#VALUE!</v>
      </c>
      <c r="AE36" s="4" t="e">
        <f>IF(ISBLANK(W36),"",W36/RelMean*100)</f>
        <v>#VALUE!</v>
      </c>
      <c r="AF36" s="4" t="e">
        <f>IF(ISBLANK(X36),"",X36/RelMean*100)</f>
        <v>#VALUE!</v>
      </c>
      <c r="AG36" s="9" t="e">
        <f>IF(ISBLANK(Y36),"",Y36/RelMean*100)</f>
        <v>#VALUE!</v>
      </c>
      <c r="AH36" s="7" t="e">
        <f t="shared" si="8"/>
        <v>#VALUE!</v>
      </c>
      <c r="AI36" s="5" t="e">
        <f t="shared" si="9"/>
        <v>#VALUE!</v>
      </c>
    </row>
    <row r="37" spans="1:35" x14ac:dyDescent="0.25">
      <c r="A37" s="11" t="s">
        <v>109</v>
      </c>
      <c r="B37">
        <v>0.30312</v>
      </c>
      <c r="C37">
        <v>0.153808</v>
      </c>
      <c r="D37">
        <v>0.42851600000000001</v>
      </c>
      <c r="E37">
        <v>0.36169600000000002</v>
      </c>
      <c r="F37">
        <v>0.50629400000000002</v>
      </c>
      <c r="G37">
        <v>0.51590599999999998</v>
      </c>
      <c r="H37">
        <v>0.443359</v>
      </c>
      <c r="I37" s="3">
        <v>0.525752</v>
      </c>
      <c r="J37">
        <v>0.52276599999999995</v>
      </c>
      <c r="K37">
        <v>0.25100299999999998</v>
      </c>
      <c r="L37">
        <v>0.58433299999999999</v>
      </c>
      <c r="M37">
        <v>0.47790500000000002</v>
      </c>
      <c r="N37">
        <v>0.64636000000000005</v>
      </c>
      <c r="O37">
        <v>0.61318099999999998</v>
      </c>
      <c r="P37">
        <v>0.54378099999999996</v>
      </c>
      <c r="Q37" s="3">
        <v>0.76651199999999997</v>
      </c>
      <c r="R37" s="4">
        <f t="shared" si="0"/>
        <v>172.46173132752705</v>
      </c>
      <c r="S37" s="4">
        <f t="shared" si="1"/>
        <v>163.19242172058671</v>
      </c>
      <c r="T37" s="4">
        <f t="shared" si="2"/>
        <v>136.36200281903126</v>
      </c>
      <c r="U37" s="4">
        <f t="shared" si="3"/>
        <v>132.12891488985227</v>
      </c>
      <c r="V37" s="4">
        <f t="shared" si="4"/>
        <v>127.6649535645297</v>
      </c>
      <c r="W37" s="4">
        <f t="shared" si="5"/>
        <v>118.85517904424449</v>
      </c>
      <c r="X37" s="4">
        <f t="shared" si="6"/>
        <v>122.65026761608537</v>
      </c>
      <c r="Y37" s="5">
        <f t="shared" si="7"/>
        <v>145.79345394786895</v>
      </c>
      <c r="Z37" s="4">
        <f>IF(ISBLANK(R37),"",R37/RelMean*100)</f>
        <v>174.93248198161746</v>
      </c>
      <c r="AA37" s="4">
        <f>IF(ISBLANK(S37),"",S37/RelMean*100)</f>
        <v>165.53037681129024</v>
      </c>
      <c r="AB37" s="4">
        <f>IF(ISBLANK(T37),"",T37/RelMean*100)</f>
        <v>138.31557538881111</v>
      </c>
      <c r="AC37" s="4">
        <f>IF(ISBLANK(U37),"",U37/RelMean*100)</f>
        <v>134.02184267374639</v>
      </c>
      <c r="AD37" s="4">
        <f>IF(ISBLANK(V37),"",V37/RelMean*100)</f>
        <v>129.49392898473434</v>
      </c>
      <c r="AE37" s="4">
        <f>IF(ISBLANK(W37),"",W37/RelMean*100)</f>
        <v>120.5579423709555</v>
      </c>
      <c r="AF37" s="4">
        <f>IF(ISBLANK(X37),"",X37/RelMean*100)</f>
        <v>124.40740078762531</v>
      </c>
      <c r="AG37" s="9">
        <f>IF(ISBLANK(Y37),"",Y37/RelMean*100)</f>
        <v>147.8821449805462</v>
      </c>
      <c r="AH37" s="7">
        <f t="shared" si="8"/>
        <v>141.89271174741583</v>
      </c>
      <c r="AI37" s="5">
        <f t="shared" si="9"/>
        <v>19.550753436198651</v>
      </c>
    </row>
    <row r="38" spans="1:35" x14ac:dyDescent="0.25">
      <c r="A38" s="11" t="s">
        <v>110</v>
      </c>
      <c r="B38">
        <v>4.1509309999999999</v>
      </c>
      <c r="C38">
        <v>0.24422199999999999</v>
      </c>
      <c r="D38">
        <v>2.5004439999999999</v>
      </c>
      <c r="E38">
        <v>2.6732079999999998</v>
      </c>
      <c r="F38">
        <v>6.4058469999999996</v>
      </c>
      <c r="G38">
        <v>7.6630560000000001</v>
      </c>
      <c r="H38">
        <v>5.6119719999999997</v>
      </c>
      <c r="I38" s="3">
        <v>5.4242359999999996</v>
      </c>
      <c r="J38">
        <v>10.787694</v>
      </c>
      <c r="K38">
        <v>1.0027779999999999</v>
      </c>
      <c r="L38">
        <v>9.0816809999999997</v>
      </c>
      <c r="M38">
        <v>6.0166810000000002</v>
      </c>
      <c r="N38">
        <v>17.618041999999999</v>
      </c>
      <c r="O38">
        <v>15.738</v>
      </c>
      <c r="P38">
        <v>13.014347000000001</v>
      </c>
      <c r="Q38" s="3">
        <v>21.918806</v>
      </c>
      <c r="R38" s="4">
        <f t="shared" si="0"/>
        <v>259.88613156903841</v>
      </c>
      <c r="S38" s="4">
        <f t="shared" si="1"/>
        <v>410.60101055596954</v>
      </c>
      <c r="T38" s="4">
        <f t="shared" si="2"/>
        <v>363.20273519422955</v>
      </c>
      <c r="U38" s="4">
        <f t="shared" si="3"/>
        <v>225.07343237039544</v>
      </c>
      <c r="V38" s="4">
        <f t="shared" si="4"/>
        <v>275.03063997625918</v>
      </c>
      <c r="W38" s="4">
        <f t="shared" si="5"/>
        <v>205.37498355747368</v>
      </c>
      <c r="X38" s="4">
        <f t="shared" si="6"/>
        <v>231.90327749318783</v>
      </c>
      <c r="Y38" s="5">
        <f t="shared" si="7"/>
        <v>404.09019814034639</v>
      </c>
      <c r="Z38" s="4">
        <f>IF(ISBLANK(R38),"",R38/RelMean*100)</f>
        <v>246.23753288952526</v>
      </c>
      <c r="AA38" s="4">
        <f>IF(ISBLANK(S38),"",S38/RelMean*100)</f>
        <v>389.03722653776674</v>
      </c>
      <c r="AB38" s="4">
        <f>IF(ISBLANK(T38),"",T38/RelMean*100)</f>
        <v>344.12819534849461</v>
      </c>
      <c r="AC38" s="4">
        <f>IF(ISBLANK(U38),"",U38/RelMean*100)</f>
        <v>213.25311347420217</v>
      </c>
      <c r="AD38" s="4">
        <f>IF(ISBLANK(V38),"",V38/RelMean*100)</f>
        <v>260.58668790023836</v>
      </c>
      <c r="AE38" s="4">
        <f>IF(ISBLANK(W38),"",W38/RelMean*100)</f>
        <v>194.5891801270858</v>
      </c>
      <c r="AF38" s="4">
        <f>IF(ISBLANK(X38),"",X38/RelMean*100)</f>
        <v>219.72427144981427</v>
      </c>
      <c r="AG38" s="9">
        <f>IF(ISBLANK(Y38),"",Y38/RelMean*100)</f>
        <v>382.86834643381383</v>
      </c>
      <c r="AH38" s="7">
        <f t="shared" si="8"/>
        <v>281.30306927011759</v>
      </c>
      <c r="AI38" s="5">
        <f t="shared" si="9"/>
        <v>78.803511821785449</v>
      </c>
    </row>
    <row r="39" spans="1:35" x14ac:dyDescent="0.25">
      <c r="A39" s="11" t="s">
        <v>111</v>
      </c>
      <c r="B39">
        <v>28</v>
      </c>
      <c r="C39">
        <v>14</v>
      </c>
      <c r="D39">
        <v>14</v>
      </c>
      <c r="E39">
        <v>25</v>
      </c>
      <c r="F39">
        <v>29</v>
      </c>
      <c r="G39">
        <v>25</v>
      </c>
      <c r="H39">
        <v>25</v>
      </c>
      <c r="I39" s="3">
        <v>15</v>
      </c>
      <c r="J39">
        <v>23</v>
      </c>
      <c r="K39">
        <v>19</v>
      </c>
      <c r="L39">
        <v>16</v>
      </c>
      <c r="M39">
        <v>18</v>
      </c>
      <c r="N39">
        <v>22</v>
      </c>
      <c r="O39">
        <v>20</v>
      </c>
      <c r="P39">
        <v>19</v>
      </c>
      <c r="Q39" s="3">
        <v>16</v>
      </c>
      <c r="R39" s="4">
        <f t="shared" si="0"/>
        <v>82.142857142857139</v>
      </c>
      <c r="S39" s="4">
        <f t="shared" si="1"/>
        <v>135.71428571428572</v>
      </c>
      <c r="T39" s="4">
        <f t="shared" si="2"/>
        <v>114.28571428571428</v>
      </c>
      <c r="U39" s="4">
        <f t="shared" si="3"/>
        <v>72</v>
      </c>
      <c r="V39" s="4">
        <f t="shared" si="4"/>
        <v>75.862068965517238</v>
      </c>
      <c r="W39" s="4">
        <f t="shared" si="5"/>
        <v>80</v>
      </c>
      <c r="X39" s="4">
        <f t="shared" si="6"/>
        <v>76</v>
      </c>
      <c r="Y39" s="5">
        <f t="shared" si="7"/>
        <v>106.66666666666667</v>
      </c>
      <c r="Z39" s="4">
        <f>IF(ISBLANK(R39),"",R39/RelMean*100)</f>
        <v>82.51780192808458</v>
      </c>
      <c r="AA39" s="4">
        <f>IF(ISBLANK(S39),"",S39/RelMean*100)</f>
        <v>136.33375970727019</v>
      </c>
      <c r="AB39" s="4">
        <f>IF(ISBLANK(T39),"",T39/RelMean*100)</f>
        <v>114.80737659559593</v>
      </c>
      <c r="AC39" s="4">
        <f>IF(ISBLANK(U39),"",U39/RelMean*100)</f>
        <v>72.328647255225448</v>
      </c>
      <c r="AD39" s="4">
        <f>IF(ISBLANK(V39),"",V39/RelMean*100)</f>
        <v>76.208344809145572</v>
      </c>
      <c r="AE39" s="4">
        <f>IF(ISBLANK(W39),"",W39/RelMean*100)</f>
        <v>80.365163616917158</v>
      </c>
      <c r="AF39" s="4">
        <f>IF(ISBLANK(X39),"",X39/RelMean*100)</f>
        <v>76.346905436071296</v>
      </c>
      <c r="AG39" s="9">
        <f>IF(ISBLANK(Y39),"",Y39/RelMean*100)</f>
        <v>107.15355148922288</v>
      </c>
      <c r="AH39" s="7">
        <f t="shared" si="8"/>
        <v>93.257693854691638</v>
      </c>
      <c r="AI39" s="5">
        <f t="shared" si="9"/>
        <v>23.327708260700323</v>
      </c>
    </row>
    <row r="40" spans="1:35" x14ac:dyDescent="0.25">
      <c r="A40" s="11" t="s">
        <v>112</v>
      </c>
      <c r="B40">
        <v>83</v>
      </c>
      <c r="C40">
        <v>65</v>
      </c>
      <c r="D40">
        <v>73</v>
      </c>
      <c r="E40">
        <v>89</v>
      </c>
      <c r="F40">
        <v>95</v>
      </c>
      <c r="G40">
        <v>98</v>
      </c>
      <c r="H40">
        <v>86</v>
      </c>
      <c r="I40" s="3">
        <v>60</v>
      </c>
      <c r="J40">
        <v>57</v>
      </c>
      <c r="K40">
        <v>38</v>
      </c>
      <c r="L40">
        <v>37</v>
      </c>
      <c r="M40">
        <v>109</v>
      </c>
      <c r="N40">
        <v>165</v>
      </c>
      <c r="O40">
        <v>169</v>
      </c>
      <c r="P40">
        <v>149</v>
      </c>
      <c r="Q40" s="3">
        <v>42</v>
      </c>
      <c r="R40" s="4">
        <f t="shared" si="0"/>
        <v>68.674698795180717</v>
      </c>
      <c r="S40" s="4">
        <f t="shared" si="1"/>
        <v>58.461538461538467</v>
      </c>
      <c r="T40" s="4">
        <f t="shared" si="2"/>
        <v>50.684931506849317</v>
      </c>
      <c r="U40" s="4">
        <f t="shared" si="3"/>
        <v>122.47191011235957</v>
      </c>
      <c r="V40" s="4">
        <f t="shared" si="4"/>
        <v>173.68421052631581</v>
      </c>
      <c r="W40" s="4">
        <f t="shared" si="5"/>
        <v>172.44897959183675</v>
      </c>
      <c r="X40" s="4">
        <f t="shared" si="6"/>
        <v>173.25581395348837</v>
      </c>
      <c r="Y40" s="5">
        <f t="shared" si="7"/>
        <v>70</v>
      </c>
      <c r="Z40" s="4">
        <f>IF(ISBLANK(R40),"",R40/RelMean*100)</f>
        <v>70.351964502467453</v>
      </c>
      <c r="AA40" s="4">
        <f>IF(ISBLANK(S40),"",S40/RelMean*100)</f>
        <v>59.889364653382557</v>
      </c>
      <c r="AB40" s="4">
        <f>IF(ISBLANK(T40),"",T40/RelMean*100)</f>
        <v>51.922826961566351</v>
      </c>
      <c r="AC40" s="4">
        <f>IF(ISBLANK(U40),"",U40/RelMean*100)</f>
        <v>125.4630835509212</v>
      </c>
      <c r="AD40" s="4">
        <f>IF(ISBLANK(V40),"",V40/RelMean*100)</f>
        <v>177.92615953117118</v>
      </c>
      <c r="AE40" s="4">
        <f>IF(ISBLANK(W40),"",W40/RelMean*100)</f>
        <v>176.66076012819747</v>
      </c>
      <c r="AF40" s="4">
        <f>IF(ISBLANK(X40),"",X40/RelMean*100)</f>
        <v>177.48730008201042</v>
      </c>
      <c r="AG40" s="9">
        <f>IF(ISBLANK(Y40),"",Y40/RelMean*100)</f>
        <v>71.709633992865946</v>
      </c>
      <c r="AH40" s="7">
        <f t="shared" si="8"/>
        <v>113.92638667532282</v>
      </c>
      <c r="AI40" s="5">
        <f t="shared" si="9"/>
        <v>56.88344382148437</v>
      </c>
    </row>
    <row r="41" spans="1:35" x14ac:dyDescent="0.25">
      <c r="A41" s="11" t="s">
        <v>113</v>
      </c>
      <c r="B41" t="s">
        <v>114</v>
      </c>
      <c r="C41" t="s">
        <v>114</v>
      </c>
      <c r="D41" t="s">
        <v>114</v>
      </c>
      <c r="E41" t="s">
        <v>114</v>
      </c>
      <c r="F41" t="s">
        <v>114</v>
      </c>
      <c r="G41" t="s">
        <v>114</v>
      </c>
      <c r="H41" t="s">
        <v>114</v>
      </c>
      <c r="I41" s="3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s="3" t="s">
        <v>114</v>
      </c>
      <c r="R41" s="4" t="e">
        <f t="shared" si="0"/>
        <v>#VALUE!</v>
      </c>
      <c r="S41" s="4" t="e">
        <f t="shared" si="1"/>
        <v>#VALUE!</v>
      </c>
      <c r="T41" s="4" t="e">
        <f t="shared" si="2"/>
        <v>#VALUE!</v>
      </c>
      <c r="U41" s="4" t="e">
        <f t="shared" si="3"/>
        <v>#VALUE!</v>
      </c>
      <c r="V41" s="4" t="e">
        <f t="shared" si="4"/>
        <v>#VALUE!</v>
      </c>
      <c r="W41" s="4" t="e">
        <f t="shared" si="5"/>
        <v>#VALUE!</v>
      </c>
      <c r="X41" s="4" t="e">
        <f t="shared" si="6"/>
        <v>#VALUE!</v>
      </c>
      <c r="Y41" s="5" t="e">
        <f t="shared" si="7"/>
        <v>#VALUE!</v>
      </c>
      <c r="Z41" s="4" t="e">
        <f>IF(ISBLANK(R41),"",R41/RelMean*100)</f>
        <v>#VALUE!</v>
      </c>
      <c r="AA41" s="4" t="e">
        <f>IF(ISBLANK(S41),"",S41/RelMean*100)</f>
        <v>#VALUE!</v>
      </c>
      <c r="AB41" s="4" t="e">
        <f>IF(ISBLANK(T41),"",T41/RelMean*100)</f>
        <v>#VALUE!</v>
      </c>
      <c r="AC41" s="4" t="e">
        <f>IF(ISBLANK(U41),"",U41/RelMean*100)</f>
        <v>#VALUE!</v>
      </c>
      <c r="AD41" s="4" t="e">
        <f>IF(ISBLANK(V41),"",V41/RelMean*100)</f>
        <v>#VALUE!</v>
      </c>
      <c r="AE41" s="4" t="e">
        <f>IF(ISBLANK(W41),"",W41/RelMean*100)</f>
        <v>#VALUE!</v>
      </c>
      <c r="AF41" s="4" t="e">
        <f>IF(ISBLANK(X41),"",X41/RelMean*100)</f>
        <v>#VALUE!</v>
      </c>
      <c r="AG41" s="9" t="e">
        <f>IF(ISBLANK(Y41),"",Y41/RelMean*100)</f>
        <v>#VALUE!</v>
      </c>
      <c r="AH41" s="7" t="e">
        <f t="shared" si="8"/>
        <v>#VALUE!</v>
      </c>
      <c r="AI41" s="5" t="e">
        <f t="shared" si="9"/>
        <v>#VALUE!</v>
      </c>
    </row>
    <row r="42" spans="1:35" x14ac:dyDescent="0.25">
      <c r="A42" s="11" t="s">
        <v>115</v>
      </c>
      <c r="B42" t="s">
        <v>114</v>
      </c>
      <c r="C42" t="s">
        <v>114</v>
      </c>
      <c r="D42" t="s">
        <v>114</v>
      </c>
      <c r="E42" t="s">
        <v>114</v>
      </c>
      <c r="F42" t="s">
        <v>114</v>
      </c>
      <c r="G42" t="s">
        <v>114</v>
      </c>
      <c r="H42" t="s">
        <v>114</v>
      </c>
      <c r="I42" s="3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114</v>
      </c>
      <c r="P42" t="s">
        <v>114</v>
      </c>
      <c r="Q42" s="3" t="s">
        <v>114</v>
      </c>
      <c r="R42" s="4" t="e">
        <f t="shared" si="0"/>
        <v>#VALUE!</v>
      </c>
      <c r="S42" s="4" t="e">
        <f t="shared" si="1"/>
        <v>#VALUE!</v>
      </c>
      <c r="T42" s="4" t="e">
        <f t="shared" si="2"/>
        <v>#VALUE!</v>
      </c>
      <c r="U42" s="4" t="e">
        <f t="shared" si="3"/>
        <v>#VALUE!</v>
      </c>
      <c r="V42" s="4" t="e">
        <f t="shared" si="4"/>
        <v>#VALUE!</v>
      </c>
      <c r="W42" s="4" t="e">
        <f t="shared" si="5"/>
        <v>#VALUE!</v>
      </c>
      <c r="X42" s="4" t="e">
        <f t="shared" si="6"/>
        <v>#VALUE!</v>
      </c>
      <c r="Y42" s="5" t="e">
        <f t="shared" si="7"/>
        <v>#VALUE!</v>
      </c>
      <c r="Z42" s="4" t="e">
        <f>IF(ISBLANK(R42),"",R42/RelMean*100)</f>
        <v>#VALUE!</v>
      </c>
      <c r="AA42" s="4" t="e">
        <f>IF(ISBLANK(S42),"",S42/RelMean*100)</f>
        <v>#VALUE!</v>
      </c>
      <c r="AB42" s="4" t="e">
        <f>IF(ISBLANK(T42),"",T42/RelMean*100)</f>
        <v>#VALUE!</v>
      </c>
      <c r="AC42" s="4" t="e">
        <f>IF(ISBLANK(U42),"",U42/RelMean*100)</f>
        <v>#VALUE!</v>
      </c>
      <c r="AD42" s="4" t="e">
        <f>IF(ISBLANK(V42),"",V42/RelMean*100)</f>
        <v>#VALUE!</v>
      </c>
      <c r="AE42" s="4" t="e">
        <f>IF(ISBLANK(W42),"",W42/RelMean*100)</f>
        <v>#VALUE!</v>
      </c>
      <c r="AF42" s="4" t="e">
        <f>IF(ISBLANK(X42),"",X42/RelMean*100)</f>
        <v>#VALUE!</v>
      </c>
      <c r="AG42" s="9" t="e">
        <f>IF(ISBLANK(Y42),"",Y42/RelMean*100)</f>
        <v>#VALUE!</v>
      </c>
      <c r="AH42" s="7" t="e">
        <f t="shared" si="8"/>
        <v>#VALUE!</v>
      </c>
      <c r="AI42" s="5" t="e">
        <f t="shared" si="9"/>
        <v>#VALUE!</v>
      </c>
    </row>
    <row r="43" spans="1:35" x14ac:dyDescent="0.25">
      <c r="A43" s="11" t="s">
        <v>116</v>
      </c>
      <c r="I43" s="3"/>
      <c r="Q43" s="3"/>
      <c r="R43" s="4" t="str">
        <f t="shared" si="0"/>
        <v/>
      </c>
      <c r="S43" s="4" t="str">
        <f t="shared" si="1"/>
        <v/>
      </c>
      <c r="T43" s="4" t="str">
        <f t="shared" si="2"/>
        <v/>
      </c>
      <c r="U43" s="4" t="str">
        <f t="shared" si="3"/>
        <v/>
      </c>
      <c r="V43" s="4" t="str">
        <f t="shared" si="4"/>
        <v/>
      </c>
      <c r="W43" s="4" t="str">
        <f t="shared" si="5"/>
        <v/>
      </c>
      <c r="X43" s="4" t="str">
        <f t="shared" si="6"/>
        <v/>
      </c>
      <c r="Y43" s="5" t="str">
        <f t="shared" si="7"/>
        <v/>
      </c>
      <c r="Z43" s="4" t="e">
        <f>IF(ISBLANK(R43),"",R43/RelMean*100)</f>
        <v>#VALUE!</v>
      </c>
      <c r="AA43" s="4" t="e">
        <f>IF(ISBLANK(S43),"",S43/RelMean*100)</f>
        <v>#VALUE!</v>
      </c>
      <c r="AB43" s="4" t="e">
        <f>IF(ISBLANK(T43),"",T43/RelMean*100)</f>
        <v>#VALUE!</v>
      </c>
      <c r="AC43" s="4" t="e">
        <f>IF(ISBLANK(U43),"",U43/RelMean*100)</f>
        <v>#VALUE!</v>
      </c>
      <c r="AD43" s="4" t="e">
        <f>IF(ISBLANK(V43),"",V43/RelMean*100)</f>
        <v>#VALUE!</v>
      </c>
      <c r="AE43" s="4" t="e">
        <f>IF(ISBLANK(W43),"",W43/RelMean*100)</f>
        <v>#VALUE!</v>
      </c>
      <c r="AF43" s="4" t="e">
        <f>IF(ISBLANK(X43),"",X43/RelMean*100)</f>
        <v>#VALUE!</v>
      </c>
      <c r="AG43" s="9" t="e">
        <f>IF(ISBLANK(Y43),"",Y43/RelMean*100)</f>
        <v>#VALUE!</v>
      </c>
      <c r="AH43" s="7" t="e">
        <f t="shared" si="8"/>
        <v>#VALUE!</v>
      </c>
      <c r="AI43" s="5" t="e">
        <f t="shared" si="9"/>
        <v>#VALUE!</v>
      </c>
    </row>
    <row r="44" spans="1:35" x14ac:dyDescent="0.25">
      <c r="A44" s="11" t="s">
        <v>117</v>
      </c>
      <c r="B44">
        <v>12</v>
      </c>
      <c r="C44">
        <v>24</v>
      </c>
      <c r="D44">
        <v>14</v>
      </c>
      <c r="E44">
        <v>14</v>
      </c>
      <c r="F44">
        <v>11</v>
      </c>
      <c r="G44">
        <v>13</v>
      </c>
      <c r="H44">
        <v>24</v>
      </c>
      <c r="I44" s="3">
        <v>11</v>
      </c>
      <c r="J44">
        <v>12</v>
      </c>
      <c r="K44">
        <v>24</v>
      </c>
      <c r="L44">
        <v>11</v>
      </c>
      <c r="M44">
        <v>11</v>
      </c>
      <c r="N44">
        <v>14</v>
      </c>
      <c r="O44">
        <v>22</v>
      </c>
      <c r="P44">
        <v>11</v>
      </c>
      <c r="Q44" s="3">
        <v>14</v>
      </c>
      <c r="R44" s="4">
        <f t="shared" si="0"/>
        <v>100</v>
      </c>
      <c r="S44" s="4">
        <f t="shared" si="1"/>
        <v>100</v>
      </c>
      <c r="T44" s="4">
        <f t="shared" si="2"/>
        <v>78.571428571428569</v>
      </c>
      <c r="U44" s="4">
        <f t="shared" si="3"/>
        <v>78.571428571428569</v>
      </c>
      <c r="V44" s="4">
        <f t="shared" si="4"/>
        <v>127.27272727272727</v>
      </c>
      <c r="W44" s="4">
        <f t="shared" si="5"/>
        <v>169.23076923076923</v>
      </c>
      <c r="X44" s="4">
        <f t="shared" si="6"/>
        <v>45.833333333333329</v>
      </c>
      <c r="Y44" s="5">
        <f t="shared" si="7"/>
        <v>127.27272727272727</v>
      </c>
      <c r="Z44" s="4">
        <f>IF(ISBLANK(R44),"",R44/RelMean*100)</f>
        <v>105.77572418695576</v>
      </c>
      <c r="AA44" s="4">
        <f>IF(ISBLANK(S44),"",S44/RelMean*100)</f>
        <v>105.77572418695576</v>
      </c>
      <c r="AB44" s="4">
        <f>IF(ISBLANK(T44),"",T44/RelMean*100)</f>
        <v>83.109497575465241</v>
      </c>
      <c r="AC44" s="4">
        <f>IF(ISBLANK(U44),"",U44/RelMean*100)</f>
        <v>83.109497575465241</v>
      </c>
      <c r="AD44" s="4">
        <f>IF(ISBLANK(V44),"",V44/RelMean*100)</f>
        <v>134.6236489652164</v>
      </c>
      <c r="AE44" s="4">
        <f>IF(ISBLANK(W44),"",W44/RelMean*100)</f>
        <v>179.00507170100204</v>
      </c>
      <c r="AF44" s="4">
        <f>IF(ISBLANK(X44),"",X44/RelMean*100)</f>
        <v>48.480540252354714</v>
      </c>
      <c r="AG44" s="9">
        <f>IF(ISBLANK(Y44),"",Y44/RelMean*100)</f>
        <v>134.6236489652164</v>
      </c>
      <c r="AH44" s="7">
        <f t="shared" si="8"/>
        <v>109.31291917607894</v>
      </c>
      <c r="AI44" s="5">
        <f t="shared" si="9"/>
        <v>40.066199930214374</v>
      </c>
    </row>
    <row r="45" spans="1:35" x14ac:dyDescent="0.25">
      <c r="A45" s="11" t="s">
        <v>118</v>
      </c>
      <c r="B45">
        <v>40.816327000000001</v>
      </c>
      <c r="C45">
        <v>40.625</v>
      </c>
      <c r="D45">
        <v>23.595506</v>
      </c>
      <c r="E45">
        <v>52.941175999999999</v>
      </c>
      <c r="F45">
        <v>41.666666999999997</v>
      </c>
      <c r="G45">
        <v>37.837837999999998</v>
      </c>
      <c r="H45">
        <v>18.181818</v>
      </c>
      <c r="I45" s="3">
        <v>14.556962</v>
      </c>
      <c r="J45">
        <v>31.304348000000001</v>
      </c>
      <c r="K45">
        <v>36.153846000000001</v>
      </c>
      <c r="L45">
        <v>36.708860999999999</v>
      </c>
      <c r="M45">
        <v>26.506024</v>
      </c>
      <c r="N45">
        <v>29.347826000000001</v>
      </c>
      <c r="O45">
        <v>20.731707</v>
      </c>
      <c r="P45">
        <v>22.727273</v>
      </c>
      <c r="Q45" s="3">
        <v>23.913042999999998</v>
      </c>
      <c r="R45" s="4">
        <f t="shared" si="0"/>
        <v>76.695651718000008</v>
      </c>
      <c r="S45" s="4">
        <f t="shared" si="1"/>
        <v>88.994082461538468</v>
      </c>
      <c r="T45" s="4">
        <f t="shared" si="2"/>
        <v>155.57564648115618</v>
      </c>
      <c r="U45" s="4">
        <f t="shared" si="3"/>
        <v>50.066934667261641</v>
      </c>
      <c r="V45" s="4">
        <f t="shared" si="4"/>
        <v>70.434781836521751</v>
      </c>
      <c r="W45" s="4">
        <f t="shared" si="5"/>
        <v>54.790939693753117</v>
      </c>
      <c r="X45" s="4">
        <f t="shared" si="6"/>
        <v>125.00000275000002</v>
      </c>
      <c r="Y45" s="5">
        <f t="shared" si="7"/>
        <v>164.2722087204734</v>
      </c>
      <c r="Z45" s="4">
        <f>IF(ISBLANK(R45),"",R45/RelMean*100)</f>
        <v>60.020978848203377</v>
      </c>
      <c r="AA45" s="4">
        <f>IF(ISBLANK(S45),"",S45/RelMean*100)</f>
        <v>69.645564271092127</v>
      </c>
      <c r="AB45" s="4">
        <f>IF(ISBLANK(T45),"",T45/RelMean*100)</f>
        <v>121.75139499531124</v>
      </c>
      <c r="AC45" s="4">
        <f>IF(ISBLANK(U45),"",U45/RelMean*100)</f>
        <v>39.181705342401052</v>
      </c>
      <c r="AD45" s="4">
        <f>IF(ISBLANK(V45),"",V45/RelMean*100)</f>
        <v>55.121306828865592</v>
      </c>
      <c r="AE45" s="4">
        <f>IF(ISBLANK(W45),"",W45/RelMean*100)</f>
        <v>42.878647729909389</v>
      </c>
      <c r="AF45" s="4">
        <f>IF(ISBLANK(X45),"",X45/RelMean*100)</f>
        <v>97.823310096761247</v>
      </c>
      <c r="AG45" s="9">
        <f>IF(ISBLANK(Y45),"",Y45/RelMean*100)</f>
        <v>128.5572068832835</v>
      </c>
      <c r="AH45" s="7">
        <f t="shared" si="8"/>
        <v>76.872514374478442</v>
      </c>
      <c r="AI45" s="5">
        <f t="shared" si="9"/>
        <v>34.866798265335575</v>
      </c>
    </row>
    <row r="46" spans="1:35" x14ac:dyDescent="0.25">
      <c r="A46" s="11" t="s">
        <v>119</v>
      </c>
      <c r="B46">
        <v>1306.122449</v>
      </c>
      <c r="C46">
        <v>531.25</v>
      </c>
      <c r="D46">
        <v>1146.0674160000001</v>
      </c>
      <c r="E46">
        <v>1166.666667</v>
      </c>
      <c r="F46">
        <v>958.33333300000004</v>
      </c>
      <c r="G46">
        <v>2527.0270270000001</v>
      </c>
      <c r="H46">
        <v>1619.834711</v>
      </c>
      <c r="I46" s="3">
        <v>1082.2784810000001</v>
      </c>
      <c r="J46">
        <v>3182.6086959999998</v>
      </c>
      <c r="K46">
        <v>1246.1538459999999</v>
      </c>
      <c r="L46">
        <v>3721.5189869999999</v>
      </c>
      <c r="M46">
        <v>3265.0602410000001</v>
      </c>
      <c r="N46">
        <v>3326.086957</v>
      </c>
      <c r="O46">
        <v>4012.1951220000001</v>
      </c>
      <c r="P46">
        <v>3556.818182</v>
      </c>
      <c r="Q46" s="3">
        <v>4079.710145</v>
      </c>
      <c r="R46" s="4">
        <f t="shared" si="0"/>
        <v>243.66847828369268</v>
      </c>
      <c r="S46" s="4">
        <f t="shared" si="1"/>
        <v>234.57013571764708</v>
      </c>
      <c r="T46" s="4">
        <f t="shared" si="2"/>
        <v>324.72077427947744</v>
      </c>
      <c r="U46" s="4">
        <f t="shared" si="3"/>
        <v>279.86230629146792</v>
      </c>
      <c r="V46" s="4">
        <f t="shared" si="4"/>
        <v>347.06994345985038</v>
      </c>
      <c r="W46" s="4">
        <f t="shared" si="5"/>
        <v>158.77135777068204</v>
      </c>
      <c r="X46" s="4">
        <f t="shared" si="6"/>
        <v>219.5790816091482</v>
      </c>
      <c r="Y46" s="5">
        <f t="shared" si="7"/>
        <v>376.95567422078307</v>
      </c>
      <c r="Z46" s="4">
        <f>IF(ISBLANK(R46),"",R46/RelMean*100)</f>
        <v>353.77083709594012</v>
      </c>
      <c r="AA46" s="4">
        <f>IF(ISBLANK(S46),"",S46/RelMean*100)</f>
        <v>340.56138017953032</v>
      </c>
      <c r="AB46" s="4">
        <f>IF(ISBLANK(T46),"",T46/RelMean*100)</f>
        <v>471.44686480762823</v>
      </c>
      <c r="AC46" s="4">
        <f>IF(ISBLANK(U46),"",U46/RelMean*100)</f>
        <v>406.31895871678279</v>
      </c>
      <c r="AD46" s="4">
        <f>IF(ISBLANK(V46),"",V46/RelMean*100)</f>
        <v>503.89457550467682</v>
      </c>
      <c r="AE46" s="4">
        <f>IF(ISBLANK(W46),"",W46/RelMean*100)</f>
        <v>230.5126889658597</v>
      </c>
      <c r="AF46" s="4">
        <f>IF(ISBLANK(X46),"",X46/RelMean*100)</f>
        <v>318.79657170586444</v>
      </c>
      <c r="AG46" s="9">
        <f>IF(ISBLANK(Y46),"",Y46/RelMean*100)</f>
        <v>547.28426654304621</v>
      </c>
      <c r="AH46" s="7">
        <f t="shared" si="8"/>
        <v>396.57326793991609</v>
      </c>
      <c r="AI46" s="5">
        <f t="shared" si="9"/>
        <v>105.91601266833194</v>
      </c>
    </row>
    <row r="47" spans="1:35" x14ac:dyDescent="0.25">
      <c r="A47" s="11" t="s">
        <v>120</v>
      </c>
      <c r="B47">
        <v>32.5</v>
      </c>
      <c r="C47">
        <v>96.5</v>
      </c>
      <c r="D47">
        <v>40.5</v>
      </c>
      <c r="E47">
        <v>56.5</v>
      </c>
      <c r="F47">
        <v>50.5</v>
      </c>
      <c r="G47">
        <v>52.5</v>
      </c>
      <c r="H47">
        <v>26.5</v>
      </c>
      <c r="I47" s="3">
        <v>22.5</v>
      </c>
      <c r="J47">
        <v>20.5</v>
      </c>
      <c r="K47">
        <v>16.5</v>
      </c>
      <c r="L47">
        <v>12.5</v>
      </c>
      <c r="M47">
        <v>11.5</v>
      </c>
      <c r="N47">
        <v>20.5</v>
      </c>
      <c r="O47">
        <v>16.5</v>
      </c>
      <c r="P47">
        <v>18.5</v>
      </c>
      <c r="Q47" s="3">
        <v>14.5</v>
      </c>
      <c r="R47" s="4">
        <f t="shared" si="0"/>
        <v>63.076923076923073</v>
      </c>
      <c r="S47" s="4">
        <f t="shared" si="1"/>
        <v>17.098445595854923</v>
      </c>
      <c r="T47" s="4">
        <f t="shared" si="2"/>
        <v>30.864197530864196</v>
      </c>
      <c r="U47" s="4">
        <f t="shared" si="3"/>
        <v>20.353982300884958</v>
      </c>
      <c r="V47" s="4">
        <f t="shared" si="4"/>
        <v>40.594059405940598</v>
      </c>
      <c r="W47" s="4">
        <f t="shared" si="5"/>
        <v>31.428571428571427</v>
      </c>
      <c r="X47" s="4">
        <f t="shared" si="6"/>
        <v>69.811320754716974</v>
      </c>
      <c r="Y47" s="5">
        <f t="shared" si="7"/>
        <v>64.444444444444443</v>
      </c>
      <c r="Z47" s="4">
        <f>IF(ISBLANK(R47),"",R47/RelMean*100)</f>
        <v>78.682202672451055</v>
      </c>
      <c r="AA47" s="4">
        <f>IF(ISBLANK(S47),"",S47/RelMean*100)</f>
        <v>21.328614271756287</v>
      </c>
      <c r="AB47" s="4">
        <f>IF(ISBLANK(T47),"",T47/RelMean*100)</f>
        <v>38.500023891217388</v>
      </c>
      <c r="AC47" s="4">
        <f>IF(ISBLANK(U47),"",U47/RelMean*100)</f>
        <v>25.389573277641773</v>
      </c>
      <c r="AD47" s="4">
        <f>IF(ISBLANK(V47),"",V47/RelMean*100)</f>
        <v>50.637061125834833</v>
      </c>
      <c r="AE47" s="4">
        <f>IF(ISBLANK(W47),"",W47/RelMean*100)</f>
        <v>39.20402432808536</v>
      </c>
      <c r="AF47" s="4">
        <f>IF(ISBLANK(X47),"",X47/RelMean*100)</f>
        <v>87.082695548663025</v>
      </c>
      <c r="AG47" s="9">
        <f>IF(ISBLANK(Y47),"",Y47/RelMean*100)</f>
        <v>80.388049884861914</v>
      </c>
      <c r="AH47" s="7">
        <f t="shared" si="8"/>
        <v>52.651530625063948</v>
      </c>
      <c r="AI47" s="5">
        <f t="shared" si="9"/>
        <v>26.027220830127419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"/>
  <sheetViews>
    <sheetView tabSelected="1" zoomScale="75" zoomScaleNormal="75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48.7109375" style="12" bestFit="1" customWidth="1"/>
    <col min="2" max="17" width="9.28515625" bestFit="1" customWidth="1"/>
    <col min="18" max="25" width="10.5703125" bestFit="1" customWidth="1"/>
    <col min="34" max="34" width="10.5703125" bestFit="1" customWidth="1"/>
  </cols>
  <sheetData>
    <row r="1" spans="1:35" x14ac:dyDescent="0.25">
      <c r="A1" s="10" t="s">
        <v>918</v>
      </c>
      <c r="B1" t="s">
        <v>902</v>
      </c>
    </row>
    <row r="2" spans="1:35" x14ac:dyDescent="0.25">
      <c r="A2" s="11"/>
      <c r="B2" t="s">
        <v>903</v>
      </c>
      <c r="I2" s="3"/>
      <c r="J2" t="s">
        <v>904</v>
      </c>
      <c r="Q2" s="3"/>
      <c r="R2" t="s">
        <v>905</v>
      </c>
      <c r="Y2" s="3"/>
      <c r="Z2" t="s">
        <v>913</v>
      </c>
      <c r="AI2" s="3"/>
    </row>
    <row r="3" spans="1:35" ht="15.75" x14ac:dyDescent="0.25">
      <c r="A3" s="13"/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s="3" t="s">
        <v>35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s="3" t="s">
        <v>35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s="3" t="s">
        <v>35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s="8" t="s">
        <v>35</v>
      </c>
      <c r="AH3" s="6" t="s">
        <v>907</v>
      </c>
      <c r="AI3" s="3" t="s">
        <v>914</v>
      </c>
    </row>
    <row r="4" spans="1:35" x14ac:dyDescent="0.25">
      <c r="A4" s="11" t="s">
        <v>76</v>
      </c>
      <c r="I4" s="3"/>
      <c r="Q4" s="3"/>
      <c r="Y4" s="3"/>
      <c r="AG4" s="8"/>
      <c r="AH4" s="6"/>
      <c r="AI4" s="3"/>
    </row>
    <row r="5" spans="1:35" ht="15.75" x14ac:dyDescent="0.25">
      <c r="A5" s="13" t="s">
        <v>908</v>
      </c>
      <c r="I5" s="3"/>
      <c r="Q5" s="3"/>
      <c r="R5" s="4" t="str">
        <f t="shared" ref="R5:R47" si="0">IF(ISBLANK(J5),"",J5/B5*100)</f>
        <v/>
      </c>
      <c r="S5" s="4" t="str">
        <f t="shared" ref="S5:S47" si="1">IF(ISBLANK(K5),"",K5/C5*100)</f>
        <v/>
      </c>
      <c r="T5" s="4" t="str">
        <f t="shared" ref="T5:T47" si="2">IF(ISBLANK(L5),"",L5/D5*100)</f>
        <v/>
      </c>
      <c r="U5" s="4" t="str">
        <f t="shared" ref="U5:U47" si="3">IF(ISBLANK(M5),"",M5/E5*100)</f>
        <v/>
      </c>
      <c r="V5" s="4" t="str">
        <f t="shared" ref="V5:V47" si="4">IF(ISBLANK(N5),"",N5/F5*100)</f>
        <v/>
      </c>
      <c r="W5" s="4" t="str">
        <f t="shared" ref="W5:W47" si="5">IF(ISBLANK(O5),"",O5/G5*100)</f>
        <v/>
      </c>
      <c r="X5" s="4" t="str">
        <f t="shared" ref="X5:X47" si="6">IF(ISBLANK(P5),"",P5/H5*100)</f>
        <v/>
      </c>
      <c r="Y5" s="5" t="str">
        <f t="shared" ref="Y5:Y47" si="7">IF(ISBLANK(Q5),"",Q5/I5*100)</f>
        <v/>
      </c>
      <c r="Z5" s="4" t="e">
        <f>IF(ISBLANK(R5),"",R5/RelMean*100)</f>
        <v>#VALUE!</v>
      </c>
      <c r="AA5" s="4" t="e">
        <f>IF(ISBLANK(S5),"",S5/RelMean*100)</f>
        <v>#VALUE!</v>
      </c>
      <c r="AB5" s="4" t="e">
        <f>IF(ISBLANK(T5),"",T5/RelMean*100)</f>
        <v>#VALUE!</v>
      </c>
      <c r="AC5" s="4" t="e">
        <f>IF(ISBLANK(U5),"",U5/RelMean*100)</f>
        <v>#VALUE!</v>
      </c>
      <c r="AD5" s="4" t="e">
        <f>IF(ISBLANK(V5),"",V5/RelMean*100)</f>
        <v>#VALUE!</v>
      </c>
      <c r="AE5" s="4" t="e">
        <f>IF(ISBLANK(W5),"",W5/RelMean*100)</f>
        <v>#VALUE!</v>
      </c>
      <c r="AF5" s="4" t="e">
        <f>IF(ISBLANK(X5),"",X5/RelMean*100)</f>
        <v>#VALUE!</v>
      </c>
      <c r="AG5" s="9" t="e">
        <f>IF(ISBLANK(Y5),"",Y5/RelMean*100)</f>
        <v>#VALUE!</v>
      </c>
      <c r="AH5" s="7" t="e">
        <f t="shared" ref="AH5:AH47" si="8">AVERAGE(Z5:AG5)</f>
        <v>#VALUE!</v>
      </c>
      <c r="AI5" s="5" t="e">
        <f t="shared" ref="AI5:AI47" si="9">STDEV(Z5:AG5)</f>
        <v>#VALUE!</v>
      </c>
    </row>
    <row r="6" spans="1:35" x14ac:dyDescent="0.25">
      <c r="A6" s="11" t="s">
        <v>78</v>
      </c>
      <c r="B6">
        <v>18132</v>
      </c>
      <c r="C6">
        <v>13508</v>
      </c>
      <c r="D6">
        <v>20222</v>
      </c>
      <c r="E6">
        <v>21873</v>
      </c>
      <c r="F6">
        <v>9482</v>
      </c>
      <c r="G6">
        <v>16128</v>
      </c>
      <c r="H6">
        <v>23866</v>
      </c>
      <c r="I6" s="3">
        <v>23086</v>
      </c>
      <c r="J6">
        <v>18598</v>
      </c>
      <c r="K6">
        <v>13851</v>
      </c>
      <c r="L6">
        <v>20128</v>
      </c>
      <c r="M6">
        <v>18450</v>
      </c>
      <c r="N6">
        <v>18218</v>
      </c>
      <c r="O6">
        <v>21467</v>
      </c>
      <c r="P6">
        <v>26608</v>
      </c>
      <c r="Q6" s="3">
        <v>33621</v>
      </c>
      <c r="R6" s="4">
        <f t="shared" si="0"/>
        <v>102.57004191484668</v>
      </c>
      <c r="S6" s="4">
        <f t="shared" si="1"/>
        <v>102.53923600829138</v>
      </c>
      <c r="T6" s="4">
        <f t="shared" si="2"/>
        <v>99.535159727029964</v>
      </c>
      <c r="U6" s="4">
        <f t="shared" si="3"/>
        <v>84.350569194897815</v>
      </c>
      <c r="V6" s="4">
        <f t="shared" si="4"/>
        <v>192.1324615060114</v>
      </c>
      <c r="W6" s="4">
        <f t="shared" si="5"/>
        <v>133.10391865079364</v>
      </c>
      <c r="X6" s="4">
        <f t="shared" si="6"/>
        <v>111.48914774155702</v>
      </c>
      <c r="Y6" s="5">
        <f t="shared" si="7"/>
        <v>145.63371740448756</v>
      </c>
      <c r="Z6" s="4">
        <f>IF(ISBLANK(R6),"",R6/RelMean*100)</f>
        <v>92.738720255817839</v>
      </c>
      <c r="AA6" s="4">
        <f>IF(ISBLANK(S6),"",S6/RelMean*100)</f>
        <v>92.710867090342575</v>
      </c>
      <c r="AB6" s="4">
        <f>IF(ISBLANK(T6),"",T6/RelMean*100)</f>
        <v>89.994731026887237</v>
      </c>
      <c r="AC6" s="4">
        <f>IF(ISBLANK(U6),"",U6/RelMean*100)</f>
        <v>76.265581001506291</v>
      </c>
      <c r="AD6" s="4">
        <f>IF(ISBLANK(V6),"",V6/RelMean*100)</f>
        <v>173.7165966497335</v>
      </c>
      <c r="AE6" s="4">
        <f>IF(ISBLANK(W6),"",W6/RelMean*100)</f>
        <v>120.34592992520119</v>
      </c>
      <c r="AF6" s="4">
        <f>IF(ISBLANK(X6),"",X6/RelMean*100)</f>
        <v>100.80293125499067</v>
      </c>
      <c r="AG6" s="9">
        <f>IF(ISBLANK(Y6),"",Y6/RelMean*100)</f>
        <v>131.67474952776311</v>
      </c>
      <c r="AH6" s="7">
        <f t="shared" si="8"/>
        <v>109.78126334153029</v>
      </c>
      <c r="AI6" s="5">
        <f t="shared" si="9"/>
        <v>31.295660896075123</v>
      </c>
    </row>
    <row r="7" spans="1:35" x14ac:dyDescent="0.25">
      <c r="A7" s="11" t="s">
        <v>79</v>
      </c>
      <c r="B7">
        <v>2.7472726363636366</v>
      </c>
      <c r="C7">
        <v>1.7317948461538462</v>
      </c>
      <c r="D7">
        <v>2.1064583750000003</v>
      </c>
      <c r="E7">
        <v>2.4303334000000003</v>
      </c>
      <c r="F7">
        <v>1.4366667272727272</v>
      </c>
      <c r="G7">
        <v>1.9200000714285714</v>
      </c>
      <c r="H7">
        <v>2.8411905000000002</v>
      </c>
      <c r="I7" s="3">
        <v>2.7483333571428576</v>
      </c>
      <c r="J7">
        <v>2.8178789090909095</v>
      </c>
      <c r="K7">
        <v>1.7757691538461537</v>
      </c>
      <c r="L7">
        <v>2.0966666875</v>
      </c>
      <c r="M7">
        <v>2.0499999999999998</v>
      </c>
      <c r="N7">
        <v>2.7603030909090909</v>
      </c>
      <c r="O7">
        <v>2.5555952142857139</v>
      </c>
      <c r="P7">
        <v>3.1676191428571427</v>
      </c>
      <c r="Q7" s="3">
        <v>4.0025000714285719</v>
      </c>
      <c r="R7" s="4">
        <f t="shared" si="0"/>
        <v>102.57004972104731</v>
      </c>
      <c r="S7" s="4">
        <f t="shared" si="1"/>
        <v>102.53923308467918</v>
      </c>
      <c r="T7" s="4">
        <f t="shared" si="2"/>
        <v>99.535158747202857</v>
      </c>
      <c r="U7" s="4">
        <f t="shared" si="3"/>
        <v>84.350566881070705</v>
      </c>
      <c r="V7" s="4">
        <f t="shared" si="4"/>
        <v>192.13245761938589</v>
      </c>
      <c r="W7" s="4">
        <f t="shared" si="5"/>
        <v>133.1039124589318</v>
      </c>
      <c r="X7" s="4">
        <f t="shared" si="6"/>
        <v>111.48915015931324</v>
      </c>
      <c r="Y7" s="5">
        <f t="shared" si="7"/>
        <v>145.63371874180265</v>
      </c>
      <c r="Z7" s="4">
        <f>IF(ISBLANK(R7),"",R7/RelMean*100)</f>
        <v>92.738728645285363</v>
      </c>
      <c r="AA7" s="4">
        <f>IF(ISBLANK(S7),"",S7/RelMean*100)</f>
        <v>92.710865778048017</v>
      </c>
      <c r="AB7" s="4">
        <f>IF(ISBLANK(T7),"",T7/RelMean*100)</f>
        <v>89.994731433069589</v>
      </c>
      <c r="AC7" s="4">
        <f>IF(ISBLANK(U7),"",U7/RelMean*100)</f>
        <v>76.265580004436956</v>
      </c>
      <c r="AD7" s="4">
        <f>IF(ISBLANK(V7),"",V7/RelMean*100)</f>
        <v>173.71659562976453</v>
      </c>
      <c r="AE7" s="4">
        <f>IF(ISBLANK(W7),"",W7/RelMean*100)</f>
        <v>120.34592605468666</v>
      </c>
      <c r="AF7" s="4">
        <f>IF(ISBLANK(X7),"",X7/RelMean*100)</f>
        <v>100.80293488827658</v>
      </c>
      <c r="AG7" s="9">
        <f>IF(ISBLANK(Y7),"",Y7/RelMean*100)</f>
        <v>131.67475262740803</v>
      </c>
      <c r="AH7" s="7">
        <f t="shared" si="8"/>
        <v>109.78126438262197</v>
      </c>
      <c r="AI7" s="5">
        <f t="shared" si="9"/>
        <v>31.295660138062754</v>
      </c>
    </row>
    <row r="8" spans="1:35" x14ac:dyDescent="0.25">
      <c r="A8" s="11" t="s">
        <v>80</v>
      </c>
      <c r="B8">
        <v>3.0932721818181816</v>
      </c>
      <c r="C8">
        <v>2.2906610000000005</v>
      </c>
      <c r="D8">
        <v>2.8166525000000004</v>
      </c>
      <c r="E8">
        <v>3.062758866666667</v>
      </c>
      <c r="F8">
        <v>3.221693181818182</v>
      </c>
      <c r="G8">
        <v>3.469198428571429</v>
      </c>
      <c r="H8">
        <v>4.0208600714285705</v>
      </c>
      <c r="I8" s="3">
        <v>3.7219958571428573</v>
      </c>
      <c r="J8">
        <v>3.2655524545454551</v>
      </c>
      <c r="K8">
        <v>2.6012952307692312</v>
      </c>
      <c r="L8">
        <v>2.7126224999999997</v>
      </c>
      <c r="M8">
        <v>3.0010210000000002</v>
      </c>
      <c r="N8">
        <v>2.2840140909090909</v>
      </c>
      <c r="O8">
        <v>2.6831590714285718</v>
      </c>
      <c r="P8">
        <v>3.123434071428572</v>
      </c>
      <c r="Q8" s="3">
        <v>3.4301084285714292</v>
      </c>
      <c r="R8" s="4">
        <f t="shared" si="0"/>
        <v>105.56951547102491</v>
      </c>
      <c r="S8" s="4">
        <f t="shared" si="1"/>
        <v>113.56089926747042</v>
      </c>
      <c r="T8" s="4">
        <f t="shared" si="2"/>
        <v>96.306608642706166</v>
      </c>
      <c r="U8" s="4">
        <f t="shared" si="3"/>
        <v>97.984240047801777</v>
      </c>
      <c r="V8" s="4">
        <f t="shared" si="4"/>
        <v>70.894835790045462</v>
      </c>
      <c r="W8" s="4">
        <f t="shared" si="5"/>
        <v>77.342335028482694</v>
      </c>
      <c r="X8" s="4">
        <f t="shared" si="6"/>
        <v>77.680745311757335</v>
      </c>
      <c r="Y8" s="5">
        <f t="shared" si="7"/>
        <v>92.157771266422316</v>
      </c>
      <c r="Z8" s="4">
        <f>IF(ISBLANK(R8),"",R8/RelMean*100)</f>
        <v>117.79582794852035</v>
      </c>
      <c r="AA8" s="4">
        <f>IF(ISBLANK(S8),"",S8/RelMean*100)</f>
        <v>126.71271713340113</v>
      </c>
      <c r="AB8" s="4">
        <f>IF(ISBLANK(T8),"",T8/RelMean*100)</f>
        <v>107.46015695312504</v>
      </c>
      <c r="AC8" s="4">
        <f>IF(ISBLANK(U8),"",U8/RelMean*100)</f>
        <v>109.33207972812266</v>
      </c>
      <c r="AD8" s="4">
        <f>IF(ISBLANK(V8),"",V8/RelMean*100)</f>
        <v>79.105372814322351</v>
      </c>
      <c r="AE8" s="4">
        <f>IF(ISBLANK(W8),"",W8/RelMean*100)</f>
        <v>86.299575682456393</v>
      </c>
      <c r="AF8" s="4">
        <f>IF(ISBLANK(X8),"",X8/RelMean*100)</f>
        <v>86.677178244396444</v>
      </c>
      <c r="AG8" s="9">
        <f>IF(ISBLANK(Y8),"",Y8/RelMean*100)</f>
        <v>102.83083065961505</v>
      </c>
      <c r="AH8" s="7">
        <f t="shared" si="8"/>
        <v>102.02671739549493</v>
      </c>
      <c r="AI8" s="5">
        <f t="shared" si="9"/>
        <v>16.690202382982132</v>
      </c>
    </row>
    <row r="9" spans="1:35" x14ac:dyDescent="0.25">
      <c r="A9" s="11" t="s">
        <v>81</v>
      </c>
      <c r="B9">
        <v>11</v>
      </c>
      <c r="C9">
        <v>13</v>
      </c>
      <c r="D9">
        <v>16</v>
      </c>
      <c r="E9">
        <v>15</v>
      </c>
      <c r="F9">
        <v>11</v>
      </c>
      <c r="G9">
        <v>14</v>
      </c>
      <c r="H9">
        <v>14</v>
      </c>
      <c r="I9" s="3">
        <v>14</v>
      </c>
      <c r="J9">
        <v>11</v>
      </c>
      <c r="K9">
        <v>13</v>
      </c>
      <c r="L9">
        <v>16</v>
      </c>
      <c r="M9">
        <v>15</v>
      </c>
      <c r="N9">
        <v>11</v>
      </c>
      <c r="O9">
        <v>14</v>
      </c>
      <c r="P9">
        <v>14</v>
      </c>
      <c r="Q9" s="3">
        <v>14</v>
      </c>
      <c r="R9" s="4">
        <f t="shared" si="0"/>
        <v>100</v>
      </c>
      <c r="S9" s="4">
        <f t="shared" si="1"/>
        <v>100</v>
      </c>
      <c r="T9" s="4">
        <f t="shared" si="2"/>
        <v>100</v>
      </c>
      <c r="U9" s="4">
        <f t="shared" si="3"/>
        <v>100</v>
      </c>
      <c r="V9" s="4">
        <f t="shared" si="4"/>
        <v>100</v>
      </c>
      <c r="W9" s="4">
        <f t="shared" si="5"/>
        <v>100</v>
      </c>
      <c r="X9" s="4">
        <f t="shared" si="6"/>
        <v>100</v>
      </c>
      <c r="Y9" s="5">
        <f t="shared" si="7"/>
        <v>100</v>
      </c>
      <c r="Z9" s="4">
        <f>IF(ISBLANK(R9),"",R9/RelMean*100)</f>
        <v>100</v>
      </c>
      <c r="AA9" s="4">
        <f>IF(ISBLANK(S9),"",S9/RelMean*100)</f>
        <v>100</v>
      </c>
      <c r="AB9" s="4">
        <f>IF(ISBLANK(T9),"",T9/RelMean*100)</f>
        <v>100</v>
      </c>
      <c r="AC9" s="4">
        <f>IF(ISBLANK(U9),"",U9/RelMean*100)</f>
        <v>100</v>
      </c>
      <c r="AD9" s="4">
        <f>IF(ISBLANK(V9),"",V9/RelMean*100)</f>
        <v>100</v>
      </c>
      <c r="AE9" s="4">
        <f>IF(ISBLANK(W9),"",W9/RelMean*100)</f>
        <v>100</v>
      </c>
      <c r="AF9" s="4">
        <f>IF(ISBLANK(X9),"",X9/RelMean*100)</f>
        <v>100</v>
      </c>
      <c r="AG9" s="9">
        <f>IF(ISBLANK(Y9),"",Y9/RelMean*100)</f>
        <v>100</v>
      </c>
      <c r="AH9" s="7">
        <f t="shared" si="8"/>
        <v>100</v>
      </c>
      <c r="AI9" s="5">
        <f t="shared" si="9"/>
        <v>0</v>
      </c>
    </row>
    <row r="10" spans="1:35" x14ac:dyDescent="0.25">
      <c r="A10" s="11" t="s">
        <v>82</v>
      </c>
      <c r="B10" t="s">
        <v>114</v>
      </c>
      <c r="C10" t="s">
        <v>114</v>
      </c>
      <c r="D10" t="s">
        <v>114</v>
      </c>
      <c r="E10" t="s">
        <v>114</v>
      </c>
      <c r="F10" t="s">
        <v>114</v>
      </c>
      <c r="G10" t="s">
        <v>114</v>
      </c>
      <c r="H10" t="s">
        <v>114</v>
      </c>
      <c r="I10" s="3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s="3" t="s">
        <v>114</v>
      </c>
      <c r="R10" s="4" t="e">
        <f t="shared" si="0"/>
        <v>#VALUE!</v>
      </c>
      <c r="S10" s="4" t="e">
        <f t="shared" si="1"/>
        <v>#VALUE!</v>
      </c>
      <c r="T10" s="4" t="e">
        <f t="shared" si="2"/>
        <v>#VALUE!</v>
      </c>
      <c r="U10" s="4" t="e">
        <f t="shared" si="3"/>
        <v>#VALUE!</v>
      </c>
      <c r="V10" s="4" t="e">
        <f t="shared" si="4"/>
        <v>#VALUE!</v>
      </c>
      <c r="W10" s="4" t="e">
        <f t="shared" si="5"/>
        <v>#VALUE!</v>
      </c>
      <c r="X10" s="4" t="e">
        <f t="shared" si="6"/>
        <v>#VALUE!</v>
      </c>
      <c r="Y10" s="5" t="e">
        <f t="shared" si="7"/>
        <v>#VALUE!</v>
      </c>
      <c r="Z10" s="4" t="e">
        <f>IF(ISBLANK(R10),"",R10/RelMean*100)</f>
        <v>#VALUE!</v>
      </c>
      <c r="AA10" s="4" t="e">
        <f>IF(ISBLANK(S10),"",S10/RelMean*100)</f>
        <v>#VALUE!</v>
      </c>
      <c r="AB10" s="4" t="e">
        <f>IF(ISBLANK(T10),"",T10/RelMean*100)</f>
        <v>#VALUE!</v>
      </c>
      <c r="AC10" s="4" t="e">
        <f>IF(ISBLANK(U10),"",U10/RelMean*100)</f>
        <v>#VALUE!</v>
      </c>
      <c r="AD10" s="4" t="e">
        <f>IF(ISBLANK(V10),"",V10/RelMean*100)</f>
        <v>#VALUE!</v>
      </c>
      <c r="AE10" s="4" t="e">
        <f>IF(ISBLANK(W10),"",W10/RelMean*100)</f>
        <v>#VALUE!</v>
      </c>
      <c r="AF10" s="4" t="e">
        <f>IF(ISBLANK(X10),"",X10/RelMean*100)</f>
        <v>#VALUE!</v>
      </c>
      <c r="AG10" s="9" t="e">
        <f>IF(ISBLANK(Y10),"",Y10/RelMean*100)</f>
        <v>#VALUE!</v>
      </c>
      <c r="AH10" s="7" t="e">
        <f t="shared" si="8"/>
        <v>#VALUE!</v>
      </c>
      <c r="AI10" s="5" t="e">
        <f t="shared" si="9"/>
        <v>#VALUE!</v>
      </c>
    </row>
    <row r="11" spans="1:35" ht="15.75" x14ac:dyDescent="0.25">
      <c r="A11" s="13" t="s">
        <v>909</v>
      </c>
      <c r="I11" s="3"/>
      <c r="Q11" s="3"/>
      <c r="R11" s="4" t="str">
        <f t="shared" si="0"/>
        <v/>
      </c>
      <c r="S11" s="4" t="str">
        <f t="shared" si="1"/>
        <v/>
      </c>
      <c r="T11" s="4" t="str">
        <f t="shared" si="2"/>
        <v/>
      </c>
      <c r="U11" s="4" t="str">
        <f t="shared" si="3"/>
        <v/>
      </c>
      <c r="V11" s="4" t="str">
        <f t="shared" si="4"/>
        <v/>
      </c>
      <c r="W11" s="4" t="str">
        <f t="shared" si="5"/>
        <v/>
      </c>
      <c r="X11" s="4" t="str">
        <f t="shared" si="6"/>
        <v/>
      </c>
      <c r="Y11" s="5" t="str">
        <f t="shared" si="7"/>
        <v/>
      </c>
      <c r="Z11" s="4" t="e">
        <f>IF(ISBLANK(R11),"",R11/RelMean*100)</f>
        <v>#VALUE!</v>
      </c>
      <c r="AA11" s="4" t="e">
        <f>IF(ISBLANK(S11),"",S11/RelMean*100)</f>
        <v>#VALUE!</v>
      </c>
      <c r="AB11" s="4" t="e">
        <f>IF(ISBLANK(T11),"",T11/RelMean*100)</f>
        <v>#VALUE!</v>
      </c>
      <c r="AC11" s="4" t="e">
        <f>IF(ISBLANK(U11),"",U11/RelMean*100)</f>
        <v>#VALUE!</v>
      </c>
      <c r="AD11" s="4" t="e">
        <f>IF(ISBLANK(V11),"",V11/RelMean*100)</f>
        <v>#VALUE!</v>
      </c>
      <c r="AE11" s="4" t="e">
        <f>IF(ISBLANK(W11),"",W11/RelMean*100)</f>
        <v>#VALUE!</v>
      </c>
      <c r="AF11" s="4" t="e">
        <f>IF(ISBLANK(X11),"",X11/RelMean*100)</f>
        <v>#VALUE!</v>
      </c>
      <c r="AG11" s="9" t="e">
        <f>IF(ISBLANK(Y11),"",Y11/RelMean*100)</f>
        <v>#VALUE!</v>
      </c>
      <c r="AH11" s="7" t="e">
        <f t="shared" si="8"/>
        <v>#VALUE!</v>
      </c>
      <c r="AI11" s="5" t="e">
        <f t="shared" si="9"/>
        <v>#VALUE!</v>
      </c>
    </row>
    <row r="12" spans="1:35" x14ac:dyDescent="0.25">
      <c r="A12" s="11" t="s">
        <v>84</v>
      </c>
      <c r="B12">
        <v>852</v>
      </c>
      <c r="C12">
        <v>853</v>
      </c>
      <c r="D12">
        <v>1176</v>
      </c>
      <c r="E12">
        <v>1193</v>
      </c>
      <c r="F12">
        <v>435</v>
      </c>
      <c r="G12">
        <v>754</v>
      </c>
      <c r="H12">
        <v>819</v>
      </c>
      <c r="I12" s="3">
        <v>1013</v>
      </c>
      <c r="J12">
        <v>912</v>
      </c>
      <c r="K12">
        <v>846</v>
      </c>
      <c r="L12">
        <v>1032</v>
      </c>
      <c r="M12">
        <v>1111</v>
      </c>
      <c r="N12">
        <v>1125</v>
      </c>
      <c r="O12">
        <v>1208</v>
      </c>
      <c r="P12">
        <v>1601</v>
      </c>
      <c r="Q12" s="3">
        <v>1394</v>
      </c>
      <c r="R12" s="4">
        <f t="shared" si="0"/>
        <v>107.04225352112675</v>
      </c>
      <c r="S12" s="4">
        <f t="shared" si="1"/>
        <v>99.179366940211025</v>
      </c>
      <c r="T12" s="4">
        <f t="shared" si="2"/>
        <v>87.755102040816325</v>
      </c>
      <c r="U12" s="4">
        <f t="shared" si="3"/>
        <v>93.126571668063704</v>
      </c>
      <c r="V12" s="4">
        <f t="shared" si="4"/>
        <v>258.62068965517244</v>
      </c>
      <c r="W12" s="4">
        <f t="shared" si="5"/>
        <v>160.21220159151193</v>
      </c>
      <c r="X12" s="4">
        <f t="shared" si="6"/>
        <v>195.48229548229548</v>
      </c>
      <c r="Y12" s="5">
        <f t="shared" si="7"/>
        <v>137.61105626850937</v>
      </c>
      <c r="Z12" s="4">
        <f>IF(ISBLANK(R12),"",R12/RelMean*100)</f>
        <v>104.47230971586762</v>
      </c>
      <c r="AA12" s="4">
        <f>IF(ISBLANK(S12),"",S12/RelMean*100)</f>
        <v>96.798200706381593</v>
      </c>
      <c r="AB12" s="4">
        <f>IF(ISBLANK(T12),"",T12/RelMean*100)</f>
        <v>85.648217390586439</v>
      </c>
      <c r="AC12" s="4">
        <f>IF(ISBLANK(U12),"",U12/RelMean*100)</f>
        <v>90.890725092616535</v>
      </c>
      <c r="AD12" s="4">
        <f>IF(ISBLANK(V12),"",V12/RelMean*100)</f>
        <v>252.41154684074195</v>
      </c>
      <c r="AE12" s="4">
        <f>IF(ISBLANK(W12),"",W12/RelMean*100)</f>
        <v>156.36571722236729</v>
      </c>
      <c r="AF12" s="4">
        <f>IF(ISBLANK(X12),"",X12/RelMean*100)</f>
        <v>190.78902251963871</v>
      </c>
      <c r="AG12" s="9">
        <f>IF(ISBLANK(Y12),"",Y12/RelMean*100)</f>
        <v>134.30719569047494</v>
      </c>
      <c r="AH12" s="7">
        <f t="shared" si="8"/>
        <v>138.96036689733438</v>
      </c>
      <c r="AI12" s="5">
        <f t="shared" si="9"/>
        <v>58.556356359510239</v>
      </c>
    </row>
    <row r="13" spans="1:35" x14ac:dyDescent="0.25">
      <c r="A13" s="11" t="s">
        <v>85</v>
      </c>
      <c r="B13">
        <v>9</v>
      </c>
      <c r="C13">
        <v>13</v>
      </c>
      <c r="D13">
        <v>14</v>
      </c>
      <c r="E13">
        <v>15</v>
      </c>
      <c r="F13">
        <v>9</v>
      </c>
      <c r="G13">
        <v>14</v>
      </c>
      <c r="H13">
        <v>14</v>
      </c>
      <c r="I13" s="3">
        <v>13</v>
      </c>
      <c r="J13">
        <v>9</v>
      </c>
      <c r="K13">
        <v>10</v>
      </c>
      <c r="L13">
        <v>14</v>
      </c>
      <c r="M13">
        <v>13</v>
      </c>
      <c r="N13">
        <v>7</v>
      </c>
      <c r="O13">
        <v>13</v>
      </c>
      <c r="P13">
        <v>14</v>
      </c>
      <c r="Q13" s="3">
        <v>12</v>
      </c>
      <c r="R13" s="4">
        <f t="shared" si="0"/>
        <v>100</v>
      </c>
      <c r="S13" s="4">
        <f t="shared" si="1"/>
        <v>76.923076923076934</v>
      </c>
      <c r="T13" s="4">
        <f t="shared" si="2"/>
        <v>100</v>
      </c>
      <c r="U13" s="4">
        <f t="shared" si="3"/>
        <v>86.666666666666671</v>
      </c>
      <c r="V13" s="4">
        <f t="shared" si="4"/>
        <v>77.777777777777786</v>
      </c>
      <c r="W13" s="4">
        <f t="shared" si="5"/>
        <v>92.857142857142861</v>
      </c>
      <c r="X13" s="4">
        <f t="shared" si="6"/>
        <v>100</v>
      </c>
      <c r="Y13" s="5">
        <f t="shared" si="7"/>
        <v>92.307692307692307</v>
      </c>
      <c r="Z13" s="4">
        <f>IF(ISBLANK(R13),"",R13/RelMean*100)</f>
        <v>100</v>
      </c>
      <c r="AA13" s="4">
        <f>IF(ISBLANK(S13),"",S13/RelMean*100)</f>
        <v>76.923076923076934</v>
      </c>
      <c r="AB13" s="4">
        <f>IF(ISBLANK(T13),"",T13/RelMean*100)</f>
        <v>100</v>
      </c>
      <c r="AC13" s="4">
        <f>IF(ISBLANK(U13),"",U13/RelMean*100)</f>
        <v>86.666666666666671</v>
      </c>
      <c r="AD13" s="4">
        <f>IF(ISBLANK(V13),"",V13/RelMean*100)</f>
        <v>77.777777777777786</v>
      </c>
      <c r="AE13" s="4">
        <f>IF(ISBLANK(W13),"",W13/RelMean*100)</f>
        <v>92.857142857142861</v>
      </c>
      <c r="AF13" s="4">
        <f>IF(ISBLANK(X13),"",X13/RelMean*100)</f>
        <v>100</v>
      </c>
      <c r="AG13" s="9">
        <f>IF(ISBLANK(Y13),"",Y13/RelMean*100)</f>
        <v>92.307692307692307</v>
      </c>
      <c r="AH13" s="7">
        <f t="shared" si="8"/>
        <v>90.816544566544565</v>
      </c>
      <c r="AI13" s="5">
        <f t="shared" si="9"/>
        <v>9.5592475285164387</v>
      </c>
    </row>
    <row r="14" spans="1:35" x14ac:dyDescent="0.25">
      <c r="A14" s="11" t="s">
        <v>86</v>
      </c>
      <c r="B14">
        <v>0.10731455555555554</v>
      </c>
      <c r="C14">
        <v>6.3178538461538453E-2</v>
      </c>
      <c r="D14">
        <v>0.11105342857142857</v>
      </c>
      <c r="E14">
        <v>9.9812333333333322E-2</v>
      </c>
      <c r="F14">
        <v>0.2269818888888889</v>
      </c>
      <c r="G14">
        <v>0.20543542857142855</v>
      </c>
      <c r="H14">
        <v>0.16248399999999999</v>
      </c>
      <c r="I14" s="3">
        <v>0.13430015384615385</v>
      </c>
      <c r="J14">
        <v>0.131434</v>
      </c>
      <c r="K14">
        <v>9.4306615384615392E-2</v>
      </c>
      <c r="L14">
        <v>0.13039335714285713</v>
      </c>
      <c r="M14">
        <v>0.11142099999999999</v>
      </c>
      <c r="N14">
        <v>5.7697888888888889E-2</v>
      </c>
      <c r="O14">
        <v>0.1164422142857143</v>
      </c>
      <c r="P14">
        <v>9.3473999999999988E-2</v>
      </c>
      <c r="Q14" s="3">
        <v>0.13843276923076922</v>
      </c>
      <c r="R14" s="4">
        <f t="shared" si="0"/>
        <v>122.47546413399448</v>
      </c>
      <c r="S14" s="4">
        <f t="shared" si="1"/>
        <v>149.27001744750228</v>
      </c>
      <c r="T14" s="4">
        <f t="shared" si="2"/>
        <v>117.41497657498192</v>
      </c>
      <c r="U14" s="4">
        <f t="shared" si="3"/>
        <v>111.63049322562009</v>
      </c>
      <c r="V14" s="4">
        <f t="shared" si="4"/>
        <v>25.419600291163707</v>
      </c>
      <c r="W14" s="4">
        <f t="shared" si="5"/>
        <v>56.68068798816175</v>
      </c>
      <c r="X14" s="4">
        <f t="shared" si="6"/>
        <v>57.528125846237167</v>
      </c>
      <c r="Y14" s="5">
        <f t="shared" si="7"/>
        <v>103.07714866011952</v>
      </c>
      <c r="Z14" s="4">
        <f>IF(ISBLANK(R14),"",R14/RelMean*100)</f>
        <v>120.21755556377556</v>
      </c>
      <c r="AA14" s="4">
        <f>IF(ISBLANK(S14),"",S14/RelMean*100)</f>
        <v>146.51813523130016</v>
      </c>
      <c r="AB14" s="4">
        <f>IF(ISBLANK(T14),"",T14/RelMean*100)</f>
        <v>115.25036112522409</v>
      </c>
      <c r="AC14" s="4">
        <f>IF(ISBLANK(U14),"",U14/RelMean*100)</f>
        <v>109.57251819254623</v>
      </c>
      <c r="AD14" s="4">
        <f>IF(ISBLANK(V14),"",V14/RelMean*100)</f>
        <v>24.950974728037327</v>
      </c>
      <c r="AE14" s="4">
        <f>IF(ISBLANK(W14),"",W14/RelMean*100)</f>
        <v>55.635745541286362</v>
      </c>
      <c r="AF14" s="4">
        <f>IF(ISBLANK(X14),"",X14/RelMean*100)</f>
        <v>56.467560374652251</v>
      </c>
      <c r="AG14" s="9">
        <f>IF(ISBLANK(Y14),"",Y14/RelMean*100)</f>
        <v>101.17685965938723</v>
      </c>
      <c r="AH14" s="7">
        <f t="shared" si="8"/>
        <v>91.223713802026154</v>
      </c>
      <c r="AI14" s="5">
        <f t="shared" si="9"/>
        <v>41.018652635599636</v>
      </c>
    </row>
    <row r="15" spans="1:35" x14ac:dyDescent="0.25">
      <c r="A15" s="11" t="s">
        <v>87</v>
      </c>
      <c r="B15">
        <v>15.792040111111113</v>
      </c>
      <c r="C15">
        <v>9.2660881538461553</v>
      </c>
      <c r="D15">
        <v>12.679073642857142</v>
      </c>
      <c r="E15">
        <v>13.110043399999999</v>
      </c>
      <c r="F15">
        <v>18.342788444444448</v>
      </c>
      <c r="G15">
        <v>16.406746071428575</v>
      </c>
      <c r="H15">
        <v>21.677370428571425</v>
      </c>
      <c r="I15" s="3">
        <v>17.493838384615383</v>
      </c>
      <c r="J15">
        <v>13.851957888888887</v>
      </c>
      <c r="K15">
        <v>8.4361658461538465</v>
      </c>
      <c r="L15">
        <v>11.297195714285712</v>
      </c>
      <c r="M15">
        <v>11.3269778</v>
      </c>
      <c r="N15">
        <v>8.8356182222222213</v>
      </c>
      <c r="O15">
        <v>10.204144071428571</v>
      </c>
      <c r="P15">
        <v>11.995067071428574</v>
      </c>
      <c r="Q15" s="3">
        <v>15.226590307692307</v>
      </c>
      <c r="R15" s="4">
        <f t="shared" si="0"/>
        <v>87.71480943201756</v>
      </c>
      <c r="S15" s="4">
        <f t="shared" si="1"/>
        <v>91.0434447210841</v>
      </c>
      <c r="T15" s="4">
        <f t="shared" si="2"/>
        <v>89.101112845496218</v>
      </c>
      <c r="U15" s="4">
        <f t="shared" si="3"/>
        <v>86.399239532647158</v>
      </c>
      <c r="V15" s="4">
        <f t="shared" si="4"/>
        <v>48.169438626973317</v>
      </c>
      <c r="W15" s="4">
        <f t="shared" si="5"/>
        <v>62.194807105587579</v>
      </c>
      <c r="X15" s="4">
        <f t="shared" si="6"/>
        <v>55.334511678679974</v>
      </c>
      <c r="Y15" s="5">
        <f t="shared" si="7"/>
        <v>87.039733493154003</v>
      </c>
      <c r="Z15" s="4">
        <f>IF(ISBLANK(R15),"",R15/RelMean*100)</f>
        <v>88.234851873458823</v>
      </c>
      <c r="AA15" s="4">
        <f>IF(ISBLANK(S15),"",S15/RelMean*100)</f>
        <v>91.5832219328977</v>
      </c>
      <c r="AB15" s="4">
        <f>IF(ISBLANK(T15),"",T15/RelMean*100)</f>
        <v>89.629374384902718</v>
      </c>
      <c r="AC15" s="4">
        <f>IF(ISBLANK(U15),"",U15/RelMean*100)</f>
        <v>86.911482240077873</v>
      </c>
      <c r="AD15" s="4">
        <f>IF(ISBLANK(V15),"",V15/RelMean*100)</f>
        <v>48.45502497925105</v>
      </c>
      <c r="AE15" s="4">
        <f>IF(ISBLANK(W15),"",W15/RelMean*100)</f>
        <v>62.563546883301235</v>
      </c>
      <c r="AF15" s="4">
        <f>IF(ISBLANK(X15),"",X15/RelMean*100)</f>
        <v>55.662578224519578</v>
      </c>
      <c r="AG15" s="9">
        <f>IF(ISBLANK(Y15),"",Y15/RelMean*100)</f>
        <v>87.555773552994282</v>
      </c>
      <c r="AH15" s="7">
        <f t="shared" si="8"/>
        <v>76.324481758925415</v>
      </c>
      <c r="AI15" s="5">
        <f t="shared" si="9"/>
        <v>17.659141452244178</v>
      </c>
    </row>
    <row r="16" spans="1:35" x14ac:dyDescent="0.25">
      <c r="A16" s="11" t="s">
        <v>88</v>
      </c>
      <c r="B16">
        <v>7.8716666666666657E-3</v>
      </c>
      <c r="C16">
        <v>7.2039999999999986E-3</v>
      </c>
      <c r="D16">
        <v>7.1744285714285721E-3</v>
      </c>
      <c r="E16">
        <v>9.3787999999999996E-3</v>
      </c>
      <c r="F16">
        <v>1.0111555555555556E-2</v>
      </c>
      <c r="G16">
        <v>1.2693642857142856E-2</v>
      </c>
      <c r="H16">
        <v>7.9035714285714282E-3</v>
      </c>
      <c r="I16" s="3">
        <v>8.7290000000000006E-3</v>
      </c>
      <c r="J16">
        <v>1.0982111111111111E-2</v>
      </c>
      <c r="K16">
        <v>9.3259999999999992E-3</v>
      </c>
      <c r="L16">
        <v>1.251957142857143E-2</v>
      </c>
      <c r="M16">
        <v>1.0115800000000001E-2</v>
      </c>
      <c r="N16">
        <v>5.0718888888888897E-3</v>
      </c>
      <c r="O16">
        <v>1.0464285714285712E-2</v>
      </c>
      <c r="P16">
        <v>8.0254285714285705E-3</v>
      </c>
      <c r="Q16" s="3">
        <v>9.7850769230769224E-3</v>
      </c>
      <c r="R16" s="4">
        <f t="shared" si="0"/>
        <v>139.51443291693136</v>
      </c>
      <c r="S16" s="4">
        <f t="shared" si="1"/>
        <v>129.45585785674626</v>
      </c>
      <c r="T16" s="4">
        <f t="shared" si="2"/>
        <v>174.50269807451068</v>
      </c>
      <c r="U16" s="4">
        <f t="shared" si="3"/>
        <v>107.85814816394424</v>
      </c>
      <c r="V16" s="4">
        <f t="shared" si="4"/>
        <v>50.159333655663495</v>
      </c>
      <c r="W16" s="4">
        <f t="shared" si="5"/>
        <v>82.437215479064321</v>
      </c>
      <c r="X16" s="4">
        <f t="shared" si="6"/>
        <v>101.54179846362403</v>
      </c>
      <c r="Y16" s="5">
        <f t="shared" si="7"/>
        <v>112.09848691805387</v>
      </c>
      <c r="Z16" s="4">
        <f>IF(ISBLANK(R16),"",R16/RelMean*100)</f>
        <v>139.0436909039592</v>
      </c>
      <c r="AA16" s="4">
        <f>IF(ISBLANK(S16),"",S16/RelMean*100)</f>
        <v>129.01905494077266</v>
      </c>
      <c r="AB16" s="4">
        <f>IF(ISBLANK(T16),"",T16/RelMean*100)</f>
        <v>173.91390055985084</v>
      </c>
      <c r="AC16" s="4">
        <f>IF(ISBLANK(U16),"",U16/RelMean*100)</f>
        <v>107.49421906556648</v>
      </c>
      <c r="AD16" s="4">
        <f>IF(ISBLANK(V16),"",V16/RelMean*100)</f>
        <v>49.990088759628492</v>
      </c>
      <c r="AE16" s="4">
        <f>IF(ISBLANK(W16),"",W16/RelMean*100)</f>
        <v>82.159060309401411</v>
      </c>
      <c r="AF16" s="4">
        <f>IF(ISBLANK(X16),"",X16/RelMean*100)</f>
        <v>101.19918164893191</v>
      </c>
      <c r="AG16" s="9">
        <f>IF(ISBLANK(Y16),"",Y16/RelMean*100)</f>
        <v>111.72025029923496</v>
      </c>
      <c r="AH16" s="7">
        <f t="shared" si="8"/>
        <v>111.81743081091825</v>
      </c>
      <c r="AI16" s="5">
        <f t="shared" si="9"/>
        <v>37.276615901899525</v>
      </c>
    </row>
    <row r="17" spans="1:35" x14ac:dyDescent="0.25">
      <c r="A17" s="11" t="s">
        <v>89</v>
      </c>
      <c r="B17">
        <v>6.336777777777778E-3</v>
      </c>
      <c r="C17">
        <v>5.5809230769230771E-3</v>
      </c>
      <c r="D17">
        <v>5.4571428571428575E-3</v>
      </c>
      <c r="E17">
        <v>7.5112666666666671E-3</v>
      </c>
      <c r="F17">
        <v>7.4695555555555565E-3</v>
      </c>
      <c r="G17">
        <v>1.0121000000000002E-2</v>
      </c>
      <c r="H17">
        <v>5.6597857142857136E-3</v>
      </c>
      <c r="I17" s="3">
        <v>7.1292307692307679E-3</v>
      </c>
      <c r="J17">
        <v>4.215E-3</v>
      </c>
      <c r="K17">
        <v>3.5313076923076925E-3</v>
      </c>
      <c r="L17">
        <v>4.2452857142857145E-3</v>
      </c>
      <c r="M17">
        <v>3.7618000000000005E-3</v>
      </c>
      <c r="N17">
        <v>3.4395555555555559E-3</v>
      </c>
      <c r="O17">
        <v>4.893357142857142E-3</v>
      </c>
      <c r="P17">
        <v>4.7438571428571417E-3</v>
      </c>
      <c r="Q17" s="3">
        <v>4.8841538461538454E-3</v>
      </c>
      <c r="R17" s="4">
        <f t="shared" si="0"/>
        <v>66.516455962546686</v>
      </c>
      <c r="S17" s="4">
        <f t="shared" si="1"/>
        <v>63.274616826551991</v>
      </c>
      <c r="T17" s="4">
        <f t="shared" si="2"/>
        <v>77.793193717277489</v>
      </c>
      <c r="U17" s="4">
        <f t="shared" si="3"/>
        <v>50.082098891443081</v>
      </c>
      <c r="V17" s="4">
        <f t="shared" si="4"/>
        <v>46.047660131496741</v>
      </c>
      <c r="W17" s="4">
        <f t="shared" si="5"/>
        <v>48.34855392606601</v>
      </c>
      <c r="X17" s="4">
        <f t="shared" si="6"/>
        <v>83.816903719222069</v>
      </c>
      <c r="Y17" s="5">
        <f t="shared" si="7"/>
        <v>68.50884764782046</v>
      </c>
      <c r="Z17" s="4">
        <f>IF(ISBLANK(R17),"",R17/RelMean*100)</f>
        <v>68.745872623614545</v>
      </c>
      <c r="AA17" s="4">
        <f>IF(ISBLANK(S17),"",S17/RelMean*100)</f>
        <v>65.39537751553442</v>
      </c>
      <c r="AB17" s="4">
        <f>IF(ISBLANK(T17),"",T17/RelMean*100)</f>
        <v>80.400570187975703</v>
      </c>
      <c r="AC17" s="4">
        <f>IF(ISBLANK(U17),"",U17/RelMean*100)</f>
        <v>51.760689009844761</v>
      </c>
      <c r="AD17" s="4">
        <f>IF(ISBLANK(V17),"",V17/RelMean*100)</f>
        <v>47.59102889964268</v>
      </c>
      <c r="AE17" s="4">
        <f>IF(ISBLANK(W17),"",W17/RelMean*100)</f>
        <v>49.969041219045089</v>
      </c>
      <c r="AF17" s="4">
        <f>IF(ISBLANK(X17),"",X17/RelMean*100)</f>
        <v>86.626175484031236</v>
      </c>
      <c r="AG17" s="9">
        <f>IF(ISBLANK(Y17),"",Y17/RelMean*100)</f>
        <v>70.805042839918656</v>
      </c>
      <c r="AH17" s="7">
        <f t="shared" si="8"/>
        <v>65.161724722450884</v>
      </c>
      <c r="AI17" s="5">
        <f t="shared" si="9"/>
        <v>14.426303103811957</v>
      </c>
    </row>
    <row r="18" spans="1:35" x14ac:dyDescent="0.25">
      <c r="A18" s="11" t="s">
        <v>90</v>
      </c>
      <c r="B18">
        <v>0.82258644444444451</v>
      </c>
      <c r="C18">
        <v>0.80526523076923084</v>
      </c>
      <c r="D18">
        <v>0.8316702142857143</v>
      </c>
      <c r="E18">
        <v>0.82166386666666669</v>
      </c>
      <c r="F18">
        <v>0.75564466666666663</v>
      </c>
      <c r="G18">
        <v>0.80918400000000001</v>
      </c>
      <c r="H18">
        <v>0.76091257142857138</v>
      </c>
      <c r="I18" s="3">
        <v>0.81992046153846154</v>
      </c>
      <c r="J18">
        <v>0.4784302222222222</v>
      </c>
      <c r="K18">
        <v>0.36032138461538454</v>
      </c>
      <c r="L18">
        <v>0.47877421428571437</v>
      </c>
      <c r="M18">
        <v>0.38018473333333341</v>
      </c>
      <c r="N18">
        <v>0.60255788888888884</v>
      </c>
      <c r="O18">
        <v>0.5754786428571429</v>
      </c>
      <c r="P18">
        <v>0.70628614285714286</v>
      </c>
      <c r="Q18" s="3">
        <v>0.53200969230769235</v>
      </c>
      <c r="R18" s="4">
        <f t="shared" si="0"/>
        <v>58.161695400334821</v>
      </c>
      <c r="S18" s="4">
        <f t="shared" si="1"/>
        <v>44.745677678295756</v>
      </c>
      <c r="T18" s="4">
        <f t="shared" si="2"/>
        <v>57.567796232418026</v>
      </c>
      <c r="U18" s="4">
        <f t="shared" si="3"/>
        <v>46.270104936665916</v>
      </c>
      <c r="V18" s="4">
        <f t="shared" si="4"/>
        <v>79.740904087488502</v>
      </c>
      <c r="W18" s="4">
        <f t="shared" si="5"/>
        <v>71.118391225869871</v>
      </c>
      <c r="X18" s="4">
        <f t="shared" si="6"/>
        <v>92.820932309099533</v>
      </c>
      <c r="Y18" s="5">
        <f t="shared" si="7"/>
        <v>64.885524543375041</v>
      </c>
      <c r="Z18" s="4">
        <f>IF(ISBLANK(R18),"",R18/RelMean*100)</f>
        <v>58.997726587430869</v>
      </c>
      <c r="AA18" s="4">
        <f>IF(ISBLANK(S18),"",S18/RelMean*100)</f>
        <v>45.388863571851864</v>
      </c>
      <c r="AB18" s="4">
        <f>IF(ISBLANK(T18),"",T18/RelMean*100)</f>
        <v>58.395290559937472</v>
      </c>
      <c r="AC18" s="4">
        <f>IF(ISBLANK(U18),"",U18/RelMean*100)</f>
        <v>46.935203340194164</v>
      </c>
      <c r="AD18" s="4">
        <f>IF(ISBLANK(V18),"",V18/RelMean*100)</f>
        <v>80.8871203771875</v>
      </c>
      <c r="AE18" s="4">
        <f>IF(ISBLANK(W18),"",W18/RelMean*100)</f>
        <v>72.140665295283995</v>
      </c>
      <c r="AF18" s="4">
        <f>IF(ISBLANK(X18),"",X18/RelMean*100)</f>
        <v>94.155164292737524</v>
      </c>
      <c r="AG18" s="9">
        <f>IF(ISBLANK(Y18),"",Y18/RelMean*100)</f>
        <v>65.81820578204875</v>
      </c>
      <c r="AH18" s="7">
        <f t="shared" si="8"/>
        <v>65.33977997583402</v>
      </c>
      <c r="AI18" s="5">
        <f t="shared" si="9"/>
        <v>16.663656690926626</v>
      </c>
    </row>
    <row r="19" spans="1:35" x14ac:dyDescent="0.25">
      <c r="A19" s="11" t="s">
        <v>91</v>
      </c>
      <c r="B19">
        <v>9.224453555555554</v>
      </c>
      <c r="C19">
        <v>28.374875153846151</v>
      </c>
      <c r="D19">
        <v>10.856373714285715</v>
      </c>
      <c r="E19">
        <v>17.345229066666668</v>
      </c>
      <c r="F19">
        <v>15.905779000000003</v>
      </c>
      <c r="G19">
        <v>14.725348642857144</v>
      </c>
      <c r="H19">
        <v>10.496590000000001</v>
      </c>
      <c r="I19" s="3">
        <v>10.835298769230768</v>
      </c>
      <c r="J19">
        <v>11.304596666666667</v>
      </c>
      <c r="K19">
        <v>9.3587859230769244</v>
      </c>
      <c r="L19">
        <v>24.752232285714289</v>
      </c>
      <c r="M19">
        <v>16.842778266666667</v>
      </c>
      <c r="N19">
        <v>4.390871555555556</v>
      </c>
      <c r="O19">
        <v>14.621299642857144</v>
      </c>
      <c r="P19">
        <v>9.9135972857142871</v>
      </c>
      <c r="Q19" s="3">
        <v>12.343565615384612</v>
      </c>
      <c r="R19" s="4">
        <f t="shared" si="0"/>
        <v>122.55031258581511</v>
      </c>
      <c r="S19" s="4">
        <f t="shared" si="1"/>
        <v>32.982650574969533</v>
      </c>
      <c r="T19" s="4">
        <f t="shared" si="2"/>
        <v>227.99723864648519</v>
      </c>
      <c r="U19" s="4">
        <f t="shared" si="3"/>
        <v>97.103233413241057</v>
      </c>
      <c r="V19" s="4">
        <f t="shared" si="4"/>
        <v>27.605510899878311</v>
      </c>
      <c r="W19" s="4">
        <f t="shared" si="5"/>
        <v>99.29340212905268</v>
      </c>
      <c r="X19" s="4">
        <f t="shared" si="6"/>
        <v>94.445884670300401</v>
      </c>
      <c r="Y19" s="5">
        <f t="shared" si="7"/>
        <v>113.91993777261501</v>
      </c>
      <c r="Z19" s="4">
        <f>IF(ISBLANK(R19),"",R19/RelMean*100)</f>
        <v>131.17891097001544</v>
      </c>
      <c r="AA19" s="4">
        <f>IF(ISBLANK(S19),"",S19/RelMean*100)</f>
        <v>35.304913484405539</v>
      </c>
      <c r="AB19" s="4">
        <f>IF(ISBLANK(T19),"",T19/RelMean*100)</f>
        <v>244.05020957309637</v>
      </c>
      <c r="AC19" s="4">
        <f>IF(ISBLANK(U19),"",U19/RelMean*100)</f>
        <v>103.94013807101913</v>
      </c>
      <c r="AD19" s="4">
        <f>IF(ISBLANK(V19),"",V19/RelMean*100)</f>
        <v>29.549176825486771</v>
      </c>
      <c r="AE19" s="4">
        <f>IF(ISBLANK(W19),"",W19/RelMean*100)</f>
        <v>106.28451354357931</v>
      </c>
      <c r="AF19" s="4">
        <f>IF(ISBLANK(X19),"",X19/RelMean*100)</f>
        <v>101.09568907034934</v>
      </c>
      <c r="AG19" s="9">
        <f>IF(ISBLANK(Y19),"",Y19/RelMean*100)</f>
        <v>121.94088337652499</v>
      </c>
      <c r="AH19" s="7">
        <f t="shared" si="8"/>
        <v>109.16805436430961</v>
      </c>
      <c r="AI19" s="5">
        <f t="shared" si="9"/>
        <v>66.264143506251557</v>
      </c>
    </row>
    <row r="20" spans="1:35" x14ac:dyDescent="0.25">
      <c r="A20" s="11" t="s">
        <v>92</v>
      </c>
      <c r="B20">
        <v>0.15777766666666668</v>
      </c>
      <c r="C20">
        <v>0.10935892307692306</v>
      </c>
      <c r="D20">
        <v>0.14000007142857143</v>
      </c>
      <c r="E20">
        <v>0.13255553333333334</v>
      </c>
      <c r="F20">
        <v>8.0555666666666664E-2</v>
      </c>
      <c r="G20">
        <v>8.9761857142857129E-2</v>
      </c>
      <c r="H20">
        <v>9.7500071428571436E-2</v>
      </c>
      <c r="I20" s="3">
        <v>0.12987184615384614</v>
      </c>
      <c r="J20">
        <v>0.16888899999999998</v>
      </c>
      <c r="K20">
        <v>0.10846146153846153</v>
      </c>
      <c r="L20">
        <v>0.12285707142857145</v>
      </c>
      <c r="M20">
        <v>0.12344446666666667</v>
      </c>
      <c r="N20">
        <v>0.20833333333333334</v>
      </c>
      <c r="O20">
        <v>0.14380964285714287</v>
      </c>
      <c r="P20">
        <v>0.19059528571428569</v>
      </c>
      <c r="Q20" s="3">
        <v>0.17871799999999999</v>
      </c>
      <c r="R20" s="4">
        <f t="shared" si="0"/>
        <v>107.04239932563331</v>
      </c>
      <c r="S20" s="4">
        <f t="shared" si="1"/>
        <v>99.179343108718925</v>
      </c>
      <c r="T20" s="4">
        <f t="shared" si="2"/>
        <v>87.755006247445806</v>
      </c>
      <c r="U20" s="4">
        <f t="shared" si="3"/>
        <v>93.12660404469473</v>
      </c>
      <c r="V20" s="4">
        <f t="shared" si="4"/>
        <v>258.62033293747186</v>
      </c>
      <c r="W20" s="4">
        <f t="shared" si="5"/>
        <v>160.21241921083251</v>
      </c>
      <c r="X20" s="4">
        <f t="shared" si="6"/>
        <v>195.48220111194055</v>
      </c>
      <c r="Y20" s="5">
        <f t="shared" si="7"/>
        <v>137.61104141716035</v>
      </c>
      <c r="Z20" s="4">
        <f>IF(ISBLANK(R20),"",R20/RelMean*100)</f>
        <v>104.47247790070777</v>
      </c>
      <c r="AA20" s="4">
        <f>IF(ISBLANK(S20),"",S20/RelMean*100)</f>
        <v>96.79820142681622</v>
      </c>
      <c r="AB20" s="4">
        <f>IF(ISBLANK(T20),"",T20/RelMean*100)</f>
        <v>85.648145114655591</v>
      </c>
      <c r="AC20" s="4">
        <f>IF(ISBLANK(U20),"",U20/RelMean*100)</f>
        <v>90.890779208248745</v>
      </c>
      <c r="AD20" s="4">
        <f>IF(ISBLANK(V20),"",V20/RelMean*100)</f>
        <v>252.41126121706407</v>
      </c>
      <c r="AE20" s="4">
        <f>IF(ISBLANK(W20),"",W20/RelMean*100)</f>
        <v>156.36596835338733</v>
      </c>
      <c r="AF20" s="4">
        <f>IF(ISBLANK(X20),"",X20/RelMean*100)</f>
        <v>190.78897767903794</v>
      </c>
      <c r="AG20" s="9">
        <f>IF(ISBLANK(Y20),"",Y20/RelMean*100)</f>
        <v>134.30721446753788</v>
      </c>
      <c r="AH20" s="7">
        <f t="shared" si="8"/>
        <v>138.96037817093196</v>
      </c>
      <c r="AI20" s="5">
        <f t="shared" si="9"/>
        <v>58.556270914272609</v>
      </c>
    </row>
    <row r="21" spans="1:35" x14ac:dyDescent="0.25">
      <c r="A21" s="11" t="s">
        <v>93</v>
      </c>
      <c r="B21">
        <v>0.60699688888888881</v>
      </c>
      <c r="C21">
        <v>0.65396446153846155</v>
      </c>
      <c r="D21">
        <v>0.67710314285714301</v>
      </c>
      <c r="E21">
        <v>0.53624806666666669</v>
      </c>
      <c r="F21">
        <v>0.63846800000000004</v>
      </c>
      <c r="G21">
        <v>0.46413307142857141</v>
      </c>
      <c r="H21">
        <v>0.33816335714285717</v>
      </c>
      <c r="I21" s="3">
        <v>0.76580953846153832</v>
      </c>
      <c r="J21">
        <v>0.75368088888888896</v>
      </c>
      <c r="K21">
        <v>0.33155976923076924</v>
      </c>
      <c r="L21">
        <v>0.59910085714285721</v>
      </c>
      <c r="M21">
        <v>0.24544380000000002</v>
      </c>
      <c r="N21">
        <v>0.53580355555555548</v>
      </c>
      <c r="O21">
        <v>0.4673005714285714</v>
      </c>
      <c r="P21">
        <v>0.43523571428571428</v>
      </c>
      <c r="Q21" s="3">
        <v>0.52310969230769233</v>
      </c>
      <c r="R21" s="4">
        <f t="shared" si="0"/>
        <v>124.16552748211049</v>
      </c>
      <c r="S21" s="4">
        <f t="shared" si="1"/>
        <v>50.699967464710504</v>
      </c>
      <c r="T21" s="4">
        <f t="shared" si="2"/>
        <v>88.479999459883928</v>
      </c>
      <c r="U21" s="4">
        <f t="shared" si="3"/>
        <v>45.770570610293419</v>
      </c>
      <c r="V21" s="4">
        <f t="shared" si="4"/>
        <v>83.920189509193165</v>
      </c>
      <c r="W21" s="4">
        <f t="shared" si="5"/>
        <v>100.68245513948202</v>
      </c>
      <c r="X21" s="4">
        <f t="shared" si="6"/>
        <v>128.7057586496129</v>
      </c>
      <c r="Y21" s="5">
        <f t="shared" si="7"/>
        <v>68.30806695860511</v>
      </c>
      <c r="Z21" s="4">
        <f>IF(ISBLANK(R21),"",R21/RelMean*100)</f>
        <v>140.17303617437139</v>
      </c>
      <c r="AA21" s="4">
        <f>IF(ISBLANK(S21),"",S21/RelMean*100)</f>
        <v>57.236243566027191</v>
      </c>
      <c r="AB21" s="4">
        <f>IF(ISBLANK(T21),"",T21/RelMean*100)</f>
        <v>99.88690433248955</v>
      </c>
      <c r="AC21" s="4">
        <f>IF(ISBLANK(U21),"",U21/RelMean*100)</f>
        <v>51.671345340216554</v>
      </c>
      <c r="AD21" s="4">
        <f>IF(ISBLANK(V21),"",V21/RelMean*100)</f>
        <v>94.739240418618408</v>
      </c>
      <c r="AE21" s="4">
        <f>IF(ISBLANK(W21),"",W21/RelMean*100)</f>
        <v>113.6625093339575</v>
      </c>
      <c r="AF21" s="4">
        <f>IF(ISBLANK(X21),"",X21/RelMean*100)</f>
        <v>145.29859719430925</v>
      </c>
      <c r="AG21" s="9">
        <f>IF(ISBLANK(Y21),"",Y21/RelMean*100)</f>
        <v>77.114391852194871</v>
      </c>
      <c r="AH21" s="7">
        <f t="shared" si="8"/>
        <v>97.472783526523088</v>
      </c>
      <c r="AI21" s="5">
        <f t="shared" si="9"/>
        <v>34.88192836981095</v>
      </c>
    </row>
    <row r="22" spans="1:35" x14ac:dyDescent="0.25">
      <c r="A22" s="11" t="s">
        <v>94</v>
      </c>
      <c r="B22">
        <v>76.336951111111105</v>
      </c>
      <c r="C22">
        <v>54.922045692307691</v>
      </c>
      <c r="D22">
        <v>72.167720928571427</v>
      </c>
      <c r="E22">
        <v>70.560362799999993</v>
      </c>
      <c r="F22">
        <v>84.964458555555538</v>
      </c>
      <c r="G22">
        <v>80.347596142857142</v>
      </c>
      <c r="H22">
        <v>86.33738842857143</v>
      </c>
      <c r="I22" s="3">
        <v>79.968142076923087</v>
      </c>
      <c r="J22">
        <v>67.58622311111111</v>
      </c>
      <c r="K22">
        <v>52.153411692307685</v>
      </c>
      <c r="L22">
        <v>55.119172499999998</v>
      </c>
      <c r="M22">
        <v>68.033182066666683</v>
      </c>
      <c r="N22">
        <v>56.17007811111111</v>
      </c>
      <c r="O22">
        <v>55.421887428571431</v>
      </c>
      <c r="P22">
        <v>70.622774000000007</v>
      </c>
      <c r="Q22" s="3">
        <v>63.237478076923075</v>
      </c>
      <c r="R22" s="4">
        <f t="shared" si="0"/>
        <v>88.536707488797916</v>
      </c>
      <c r="S22" s="4">
        <f t="shared" si="1"/>
        <v>94.958975098067441</v>
      </c>
      <c r="T22" s="4">
        <f t="shared" si="2"/>
        <v>76.376490473565923</v>
      </c>
      <c r="U22" s="4">
        <f t="shared" si="3"/>
        <v>96.418413067834592</v>
      </c>
      <c r="V22" s="4">
        <f t="shared" si="4"/>
        <v>66.110087754379435</v>
      </c>
      <c r="W22" s="4">
        <f t="shared" si="5"/>
        <v>68.97765470174356</v>
      </c>
      <c r="X22" s="4">
        <f t="shared" si="6"/>
        <v>81.79859882885799</v>
      </c>
      <c r="Y22" s="5">
        <f t="shared" si="7"/>
        <v>79.078338491462731</v>
      </c>
      <c r="Z22" s="4">
        <f>IF(ISBLANK(R22),"",R22/RelMean*100)</f>
        <v>95.344523386851847</v>
      </c>
      <c r="AA22" s="4">
        <f>IF(ISBLANK(S22),"",S22/RelMean*100)</f>
        <v>102.26061572455363</v>
      </c>
      <c r="AB22" s="4">
        <f>IF(ISBLANK(T22),"",T22/RelMean*100)</f>
        <v>82.24927590721552</v>
      </c>
      <c r="AC22" s="4">
        <f>IF(ISBLANK(U22),"",U22/RelMean*100)</f>
        <v>103.83227364573541</v>
      </c>
      <c r="AD22" s="4">
        <f>IF(ISBLANK(V22),"",V22/RelMean*100)</f>
        <v>71.193462991627214</v>
      </c>
      <c r="AE22" s="4">
        <f>IF(ISBLANK(W22),"",W22/RelMean*100)</f>
        <v>74.281524561015416</v>
      </c>
      <c r="AF22" s="4">
        <f>IF(ISBLANK(X22),"",X22/RelMean*100)</f>
        <v>88.08830416510051</v>
      </c>
      <c r="AG22" s="9">
        <f>IF(ISBLANK(Y22),"",Y22/RelMean*100)</f>
        <v>85.158875991030186</v>
      </c>
      <c r="AH22" s="7">
        <f t="shared" si="8"/>
        <v>87.801107046641206</v>
      </c>
      <c r="AI22" s="5">
        <f t="shared" si="9"/>
        <v>12.068012450848135</v>
      </c>
    </row>
    <row r="23" spans="1:35" ht="15.75" x14ac:dyDescent="0.25">
      <c r="A23" s="13" t="s">
        <v>910</v>
      </c>
      <c r="I23" s="3"/>
      <c r="Q23" s="3"/>
      <c r="R23" s="4" t="str">
        <f t="shared" si="0"/>
        <v/>
      </c>
      <c r="S23" s="4" t="str">
        <f t="shared" si="1"/>
        <v/>
      </c>
      <c r="T23" s="4" t="str">
        <f t="shared" si="2"/>
        <v/>
      </c>
      <c r="U23" s="4" t="str">
        <f t="shared" si="3"/>
        <v/>
      </c>
      <c r="V23" s="4" t="str">
        <f t="shared" si="4"/>
        <v/>
      </c>
      <c r="W23" s="4" t="str">
        <f t="shared" si="5"/>
        <v/>
      </c>
      <c r="X23" s="4" t="str">
        <f t="shared" si="6"/>
        <v/>
      </c>
      <c r="Y23" s="5" t="str">
        <f t="shared" si="7"/>
        <v/>
      </c>
      <c r="Z23" s="4" t="e">
        <f>IF(ISBLANK(R23),"",R23/RelMean*100)</f>
        <v>#VALUE!</v>
      </c>
      <c r="AA23" s="4" t="e">
        <f>IF(ISBLANK(S23),"",S23/RelMean*100)</f>
        <v>#VALUE!</v>
      </c>
      <c r="AB23" s="4" t="e">
        <f>IF(ISBLANK(T23),"",T23/RelMean*100)</f>
        <v>#VALUE!</v>
      </c>
      <c r="AC23" s="4" t="e">
        <f>IF(ISBLANK(U23),"",U23/RelMean*100)</f>
        <v>#VALUE!</v>
      </c>
      <c r="AD23" s="4" t="e">
        <f>IF(ISBLANK(V23),"",V23/RelMean*100)</f>
        <v>#VALUE!</v>
      </c>
      <c r="AE23" s="4" t="e">
        <f>IF(ISBLANK(W23),"",W23/RelMean*100)</f>
        <v>#VALUE!</v>
      </c>
      <c r="AF23" s="4" t="e">
        <f>IF(ISBLANK(X23),"",X23/RelMean*100)</f>
        <v>#VALUE!</v>
      </c>
      <c r="AG23" s="9" t="e">
        <f>IF(ISBLANK(Y23),"",Y23/RelMean*100)</f>
        <v>#VALUE!</v>
      </c>
      <c r="AH23" s="7" t="e">
        <f t="shared" si="8"/>
        <v>#VALUE!</v>
      </c>
      <c r="AI23" s="5" t="e">
        <f t="shared" si="9"/>
        <v>#VALUE!</v>
      </c>
    </row>
    <row r="24" spans="1:35" x14ac:dyDescent="0.25">
      <c r="A24" s="11" t="s">
        <v>96</v>
      </c>
      <c r="B24">
        <v>143</v>
      </c>
      <c r="C24">
        <v>152</v>
      </c>
      <c r="D24">
        <v>135</v>
      </c>
      <c r="E24">
        <v>134</v>
      </c>
      <c r="F24">
        <v>70</v>
      </c>
      <c r="G24">
        <v>84</v>
      </c>
      <c r="H24">
        <v>67</v>
      </c>
      <c r="I24" s="3">
        <v>101</v>
      </c>
      <c r="J24">
        <v>154</v>
      </c>
      <c r="K24">
        <v>125</v>
      </c>
      <c r="L24">
        <v>141</v>
      </c>
      <c r="M24">
        <v>111</v>
      </c>
      <c r="N24">
        <v>224</v>
      </c>
      <c r="O24">
        <v>164</v>
      </c>
      <c r="P24">
        <v>153</v>
      </c>
      <c r="Q24" s="3">
        <v>167</v>
      </c>
      <c r="R24" s="4">
        <f t="shared" si="0"/>
        <v>107.69230769230769</v>
      </c>
      <c r="S24" s="4">
        <f t="shared" si="1"/>
        <v>82.23684210526315</v>
      </c>
      <c r="T24" s="4">
        <f t="shared" si="2"/>
        <v>104.44444444444446</v>
      </c>
      <c r="U24" s="4">
        <f t="shared" si="3"/>
        <v>82.835820895522389</v>
      </c>
      <c r="V24" s="4">
        <f t="shared" si="4"/>
        <v>320</v>
      </c>
      <c r="W24" s="4">
        <f t="shared" si="5"/>
        <v>195.23809523809524</v>
      </c>
      <c r="X24" s="4">
        <f t="shared" si="6"/>
        <v>228.35820895522389</v>
      </c>
      <c r="Y24" s="5">
        <f t="shared" si="7"/>
        <v>165.34653465346534</v>
      </c>
      <c r="Z24" s="4">
        <f>IF(ISBLANK(R24),"",R24/RelMean*100)</f>
        <v>97.659201983841299</v>
      </c>
      <c r="AA24" s="4">
        <f>IF(ISBLANK(S24),"",S24/RelMean*100)</f>
        <v>74.575283469803622</v>
      </c>
      <c r="AB24" s="4">
        <f>IF(ISBLANK(T24),"",T24/RelMean*100)</f>
        <v>94.713924463693715</v>
      </c>
      <c r="AC24" s="4">
        <f>IF(ISBLANK(U24),"",U24/RelMean*100)</f>
        <v>75.118458668807563</v>
      </c>
      <c r="AD24" s="4">
        <f>IF(ISBLANK(V24),"",V24/RelMean*100)</f>
        <v>290.18734303769986</v>
      </c>
      <c r="AE24" s="4">
        <f>IF(ISBLANK(W24),"",W24/RelMean*100)</f>
        <v>177.04882536526333</v>
      </c>
      <c r="AF24" s="4">
        <f>IF(ISBLANK(X24),"",X24/RelMean*100)</f>
        <v>207.0833184923884</v>
      </c>
      <c r="AG24" s="9">
        <f>IF(ISBLANK(Y24),"",Y24/RelMean*100)</f>
        <v>149.94209866118774</v>
      </c>
      <c r="AH24" s="7">
        <f t="shared" si="8"/>
        <v>145.7910567678357</v>
      </c>
      <c r="AI24" s="5">
        <f t="shared" si="9"/>
        <v>76.151315024942363</v>
      </c>
    </row>
    <row r="25" spans="1:35" x14ac:dyDescent="0.25">
      <c r="A25" s="11" t="s">
        <v>97</v>
      </c>
      <c r="B25">
        <v>0.23833299999999999</v>
      </c>
      <c r="C25">
        <v>0.25333299999999997</v>
      </c>
      <c r="D25">
        <v>0.22500000000000001</v>
      </c>
      <c r="E25">
        <v>0.223333</v>
      </c>
      <c r="F25">
        <v>0.11666700000000001</v>
      </c>
      <c r="G25">
        <v>0.14000000000000001</v>
      </c>
      <c r="H25">
        <v>0.111667</v>
      </c>
      <c r="I25" s="3">
        <v>0.16833300000000001</v>
      </c>
      <c r="J25">
        <v>0.25666699999999998</v>
      </c>
      <c r="K25">
        <v>0.20833299999999999</v>
      </c>
      <c r="L25">
        <v>0.23499999999999999</v>
      </c>
      <c r="M25">
        <v>0.185</v>
      </c>
      <c r="N25">
        <v>0.37333300000000003</v>
      </c>
      <c r="O25">
        <v>0.27333299999999999</v>
      </c>
      <c r="P25">
        <v>0.255</v>
      </c>
      <c r="Q25" s="3">
        <v>0.278333</v>
      </c>
      <c r="R25" s="4">
        <f t="shared" si="0"/>
        <v>107.69259817146597</v>
      </c>
      <c r="S25" s="4">
        <f t="shared" si="1"/>
        <v>82.236818732656232</v>
      </c>
      <c r="T25" s="4">
        <f t="shared" si="2"/>
        <v>104.44444444444443</v>
      </c>
      <c r="U25" s="4">
        <f t="shared" si="3"/>
        <v>82.835944531260495</v>
      </c>
      <c r="V25" s="4">
        <f t="shared" si="4"/>
        <v>319.99880000342858</v>
      </c>
      <c r="W25" s="4">
        <f t="shared" si="5"/>
        <v>195.23785714285714</v>
      </c>
      <c r="X25" s="4">
        <f t="shared" si="6"/>
        <v>228.3575272909633</v>
      </c>
      <c r="Y25" s="5">
        <f t="shared" si="7"/>
        <v>165.34666405280009</v>
      </c>
      <c r="Z25" s="4">
        <f>IF(ISBLANK(R25),"",R25/RelMean*100)</f>
        <v>97.659546710627296</v>
      </c>
      <c r="AA25" s="4">
        <f>IF(ISBLANK(S25),"",S25/RelMean*100)</f>
        <v>74.575324365079396</v>
      </c>
      <c r="AB25" s="4">
        <f>IF(ISBLANK(T25),"",T25/RelMean*100)</f>
        <v>94.714003321263633</v>
      </c>
      <c r="AC25" s="4">
        <f>IF(ISBLANK(U25),"",U25/RelMean*100)</f>
        <v>75.118633328813146</v>
      </c>
      <c r="AD25" s="4">
        <f>IF(ISBLANK(V25),"",V25/RelMean*100)</f>
        <v>290.18649644353832</v>
      </c>
      <c r="AE25" s="4">
        <f>IF(ISBLANK(W25),"",W25/RelMean*100)</f>
        <v>177.04875686040927</v>
      </c>
      <c r="AF25" s="4">
        <f>IF(ISBLANK(X25),"",X25/RelMean*100)</f>
        <v>207.08287274941137</v>
      </c>
      <c r="AG25" s="9">
        <f>IF(ISBLANK(Y25),"",Y25/RelMean*100)</f>
        <v>149.94234084501164</v>
      </c>
      <c r="AH25" s="7">
        <f t="shared" si="8"/>
        <v>145.79099682801925</v>
      </c>
      <c r="AI25" s="5">
        <f t="shared" si="9"/>
        <v>76.150965011776279</v>
      </c>
    </row>
    <row r="26" spans="1:35" x14ac:dyDescent="0.25">
      <c r="A26" s="11" t="s">
        <v>98</v>
      </c>
      <c r="B26">
        <v>0.23725399999999999</v>
      </c>
      <c r="C26">
        <v>0.202431</v>
      </c>
      <c r="D26">
        <v>0.25857799999999997</v>
      </c>
      <c r="E26">
        <v>0.24523500000000001</v>
      </c>
      <c r="F26">
        <v>0.40501599999999999</v>
      </c>
      <c r="G26">
        <v>0.39200600000000002</v>
      </c>
      <c r="H26">
        <v>0.39739099999999999</v>
      </c>
      <c r="I26" s="3">
        <v>0.38150000000000001</v>
      </c>
      <c r="J26">
        <v>0.18676499999999999</v>
      </c>
      <c r="K26">
        <v>0.24553</v>
      </c>
      <c r="L26">
        <v>0.159024</v>
      </c>
      <c r="M26">
        <v>0.16859199999999999</v>
      </c>
      <c r="N26">
        <v>0.19772999999999999</v>
      </c>
      <c r="O26">
        <v>0.24008499999999999</v>
      </c>
      <c r="P26">
        <v>0.36383399999999999</v>
      </c>
      <c r="Q26" s="3">
        <v>0.20796100000000001</v>
      </c>
      <c r="R26" s="4">
        <f t="shared" si="0"/>
        <v>78.719431495359402</v>
      </c>
      <c r="S26" s="4">
        <f t="shared" si="1"/>
        <v>121.29071140289778</v>
      </c>
      <c r="T26" s="4">
        <f t="shared" si="2"/>
        <v>61.499431506160619</v>
      </c>
      <c r="U26" s="4">
        <f t="shared" si="3"/>
        <v>68.747120109282918</v>
      </c>
      <c r="V26" s="4">
        <f t="shared" si="4"/>
        <v>48.820293519268368</v>
      </c>
      <c r="W26" s="4">
        <f t="shared" si="5"/>
        <v>61.245236042305471</v>
      </c>
      <c r="X26" s="4">
        <f t="shared" si="6"/>
        <v>91.555671869770578</v>
      </c>
      <c r="Y26" s="5">
        <f t="shared" si="7"/>
        <v>54.511402359108786</v>
      </c>
      <c r="Z26" s="4">
        <f>IF(ISBLANK(R26),"",R26/RelMean*100)</f>
        <v>66.931553979581381</v>
      </c>
      <c r="AA26" s="4">
        <f>IF(ISBLANK(S26),"",S26/RelMean*100)</f>
        <v>103.12797797534216</v>
      </c>
      <c r="AB26" s="4">
        <f>IF(ISBLANK(T26),"",T26/RelMean*100)</f>
        <v>52.290170817745484</v>
      </c>
      <c r="AC26" s="4">
        <f>IF(ISBLANK(U26),"",U26/RelMean*100)</f>
        <v>58.452550953781838</v>
      </c>
      <c r="AD26" s="4">
        <f>IF(ISBLANK(V26),"",V26/RelMean*100)</f>
        <v>41.509676186832564</v>
      </c>
      <c r="AE26" s="4">
        <f>IF(ISBLANK(W26),"",W26/RelMean*100)</f>
        <v>52.074039970670093</v>
      </c>
      <c r="AF26" s="4">
        <f>IF(ISBLANK(X26),"",X26/RelMean*100)</f>
        <v>77.845625628656123</v>
      </c>
      <c r="AG26" s="9">
        <f>IF(ISBLANK(Y26),"",Y26/RelMean*100)</f>
        <v>46.348567312969671</v>
      </c>
      <c r="AH26" s="7">
        <f t="shared" si="8"/>
        <v>62.322520353197419</v>
      </c>
      <c r="AI26" s="5">
        <f t="shared" si="9"/>
        <v>20.129200781254823</v>
      </c>
    </row>
    <row r="27" spans="1:35" x14ac:dyDescent="0.25">
      <c r="A27" s="11" t="s">
        <v>99</v>
      </c>
      <c r="B27">
        <v>125.895105</v>
      </c>
      <c r="C27">
        <v>84.796053000000001</v>
      </c>
      <c r="D27">
        <v>147.933333</v>
      </c>
      <c r="E27">
        <v>163.179104</v>
      </c>
      <c r="F27">
        <v>131.88571400000001</v>
      </c>
      <c r="G27">
        <v>191.36904799999999</v>
      </c>
      <c r="H27">
        <v>295.88059700000002</v>
      </c>
      <c r="I27" s="3">
        <v>224.643564</v>
      </c>
      <c r="J27">
        <v>126.344156</v>
      </c>
      <c r="K27">
        <v>110.352</v>
      </c>
      <c r="L27">
        <v>142.59574499999999</v>
      </c>
      <c r="M27">
        <v>166.14414400000001</v>
      </c>
      <c r="N27">
        <v>86.133928999999995</v>
      </c>
      <c r="O27">
        <v>132.13414599999999</v>
      </c>
      <c r="P27">
        <v>171.14379099999999</v>
      </c>
      <c r="Q27" s="3">
        <v>201.30538899999999</v>
      </c>
      <c r="R27" s="4">
        <f t="shared" si="0"/>
        <v>100.35668662415429</v>
      </c>
      <c r="S27" s="4">
        <f t="shared" si="1"/>
        <v>130.13813272653152</v>
      </c>
      <c r="T27" s="4">
        <f t="shared" si="2"/>
        <v>96.391896341577038</v>
      </c>
      <c r="U27" s="4">
        <f t="shared" si="3"/>
        <v>101.8170463786834</v>
      </c>
      <c r="V27" s="4">
        <f t="shared" si="4"/>
        <v>65.309521696944358</v>
      </c>
      <c r="W27" s="4">
        <f t="shared" si="5"/>
        <v>69.046769778569413</v>
      </c>
      <c r="X27" s="4">
        <f t="shared" si="6"/>
        <v>57.842181182296315</v>
      </c>
      <c r="Y27" s="5">
        <f t="shared" si="7"/>
        <v>89.61101997117531</v>
      </c>
      <c r="Z27" s="4">
        <f>IF(ISBLANK(R27),"",R27/RelMean*100)</f>
        <v>106.35889728355394</v>
      </c>
      <c r="AA27" s="4">
        <f>IF(ISBLANK(S27),"",S27/RelMean*100)</f>
        <v>137.92153524529854</v>
      </c>
      <c r="AB27" s="4">
        <f>IF(ISBLANK(T27),"",T27/RelMean*100)</f>
        <v>102.15697774435333</v>
      </c>
      <c r="AC27" s="4">
        <f>IF(ISBLANK(U27),"",U27/RelMean*100)</f>
        <v>107.90659936852506</v>
      </c>
      <c r="AD27" s="4">
        <f>IF(ISBLANK(V27),"",V27/RelMean*100)</f>
        <v>69.215604295683164</v>
      </c>
      <c r="AE27" s="4">
        <f>IF(ISBLANK(W27),"",W27/RelMean*100)</f>
        <v>73.17637261324785</v>
      </c>
      <c r="AF27" s="4">
        <f>IF(ISBLANK(X27),"",X27/RelMean*100)</f>
        <v>61.301651279745151</v>
      </c>
      <c r="AG27" s="9">
        <f>IF(ISBLANK(Y27),"",Y27/RelMean*100)</f>
        <v>94.970545453368814</v>
      </c>
      <c r="AH27" s="7">
        <f t="shared" si="8"/>
        <v>94.126022910471974</v>
      </c>
      <c r="AI27" s="5">
        <f t="shared" si="9"/>
        <v>25.240726822156706</v>
      </c>
    </row>
    <row r="28" spans="1:35" x14ac:dyDescent="0.25">
      <c r="A28" s="11" t="s">
        <v>100</v>
      </c>
      <c r="B28">
        <v>1.8710000000000001E-3</v>
      </c>
      <c r="C28">
        <v>2.4060000000000002E-3</v>
      </c>
      <c r="D28">
        <v>1.56E-3</v>
      </c>
      <c r="E28">
        <v>1.6119999999999999E-3</v>
      </c>
      <c r="F28">
        <v>3.3400000000000001E-3</v>
      </c>
      <c r="G28">
        <v>1.9889999999999999E-3</v>
      </c>
      <c r="H28">
        <v>1.4630000000000001E-3</v>
      </c>
      <c r="I28" s="3">
        <v>1.5269999999999999E-3</v>
      </c>
      <c r="J28">
        <v>1.521E-3</v>
      </c>
      <c r="K28">
        <v>2.2279999999999999E-3</v>
      </c>
      <c r="L28">
        <v>1.122E-3</v>
      </c>
      <c r="M28">
        <v>1.0150000000000001E-3</v>
      </c>
      <c r="N28">
        <v>2.2910000000000001E-3</v>
      </c>
      <c r="O28">
        <v>1.8450000000000001E-3</v>
      </c>
      <c r="P28">
        <v>2.183E-3</v>
      </c>
      <c r="Q28" s="3">
        <v>1.029E-3</v>
      </c>
      <c r="R28" s="4">
        <f t="shared" si="0"/>
        <v>81.293425975414209</v>
      </c>
      <c r="S28" s="4">
        <f t="shared" si="1"/>
        <v>92.601828761429744</v>
      </c>
      <c r="T28" s="4">
        <f t="shared" si="2"/>
        <v>71.92307692307692</v>
      </c>
      <c r="U28" s="4">
        <f t="shared" si="3"/>
        <v>62.965260545905707</v>
      </c>
      <c r="V28" s="4">
        <f t="shared" si="4"/>
        <v>68.592814371257475</v>
      </c>
      <c r="W28" s="4">
        <f t="shared" si="5"/>
        <v>92.76018099547511</v>
      </c>
      <c r="X28" s="4">
        <f t="shared" si="6"/>
        <v>149.21394395078605</v>
      </c>
      <c r="Y28" s="5">
        <f t="shared" si="7"/>
        <v>67.387033398821217</v>
      </c>
      <c r="Z28" s="4">
        <f>IF(ISBLANK(R28),"",R28/RelMean*100)</f>
        <v>57.277843745542491</v>
      </c>
      <c r="AA28" s="4">
        <f>IF(ISBLANK(S28),"",S28/RelMean*100)</f>
        <v>65.245535105787866</v>
      </c>
      <c r="AB28" s="4">
        <f>IF(ISBLANK(T28),"",T28/RelMean*100)</f>
        <v>50.675669185655117</v>
      </c>
      <c r="AC28" s="4">
        <f>IF(ISBLANK(U28),"",U28/RelMean*100)</f>
        <v>44.364157515473465</v>
      </c>
      <c r="AD28" s="4">
        <f>IF(ISBLANK(V28),"",V28/RelMean*100)</f>
        <v>48.329227812493706</v>
      </c>
      <c r="AE28" s="4">
        <f>IF(ISBLANK(W28),"",W28/RelMean*100)</f>
        <v>65.357107159857179</v>
      </c>
      <c r="AF28" s="4">
        <f>IF(ISBLANK(X28),"",X28/RelMean*100)</f>
        <v>105.13338395719778</v>
      </c>
      <c r="AG28" s="9">
        <f>IF(ISBLANK(Y28),"",Y28/RelMean*100)</f>
        <v>47.479656850243458</v>
      </c>
      <c r="AH28" s="7">
        <f t="shared" si="8"/>
        <v>60.482822666531391</v>
      </c>
      <c r="AI28" s="5">
        <f t="shared" si="9"/>
        <v>19.72370005612472</v>
      </c>
    </row>
    <row r="29" spans="1:35" x14ac:dyDescent="0.25">
      <c r="A29" s="11" t="s">
        <v>101</v>
      </c>
      <c r="B29">
        <v>8.8400000000000002E-4</v>
      </c>
      <c r="C29">
        <v>7.8299999999999995E-4</v>
      </c>
      <c r="D29">
        <v>4.5800000000000002E-4</v>
      </c>
      <c r="E29">
        <v>6.0999999999999997E-4</v>
      </c>
      <c r="F29">
        <v>1.7060000000000001E-3</v>
      </c>
      <c r="G29">
        <v>7.9799999999999999E-4</v>
      </c>
      <c r="H29">
        <v>5.1500000000000005E-4</v>
      </c>
      <c r="I29" s="3">
        <v>6.02E-4</v>
      </c>
      <c r="J29">
        <v>5.7799999999999995E-4</v>
      </c>
      <c r="K29">
        <v>5.0699999999999996E-4</v>
      </c>
      <c r="L29">
        <v>4.26E-4</v>
      </c>
      <c r="M29">
        <v>3.7500000000000001E-4</v>
      </c>
      <c r="N29">
        <v>9.3599999999999998E-4</v>
      </c>
      <c r="O29">
        <v>5.5099999999999995E-4</v>
      </c>
      <c r="P29">
        <v>5.04E-4</v>
      </c>
      <c r="Q29" s="3">
        <v>4.2400000000000001E-4</v>
      </c>
      <c r="R29" s="4">
        <f t="shared" si="0"/>
        <v>65.384615384615373</v>
      </c>
      <c r="S29" s="4">
        <f t="shared" si="1"/>
        <v>64.750957854406138</v>
      </c>
      <c r="T29" s="4">
        <f t="shared" si="2"/>
        <v>93.013100436681214</v>
      </c>
      <c r="U29" s="4">
        <f t="shared" si="3"/>
        <v>61.475409836065573</v>
      </c>
      <c r="V29" s="4">
        <f t="shared" si="4"/>
        <v>54.865181711606091</v>
      </c>
      <c r="W29" s="4">
        <f t="shared" si="5"/>
        <v>69.047619047619051</v>
      </c>
      <c r="X29" s="4">
        <f t="shared" si="6"/>
        <v>97.864077669902912</v>
      </c>
      <c r="Y29" s="5">
        <f t="shared" si="7"/>
        <v>70.431893687707642</v>
      </c>
      <c r="Z29" s="4">
        <f>IF(ISBLANK(R29),"",R29/RelMean*100)</f>
        <v>54.932356304683914</v>
      </c>
      <c r="AA29" s="4">
        <f>IF(ISBLANK(S29),"",S29/RelMean*100)</f>
        <v>54.399994050660624</v>
      </c>
      <c r="AB29" s="4">
        <f>IF(ISBLANK(T29),"",T29/RelMean*100)</f>
        <v>78.144204781746609</v>
      </c>
      <c r="AC29" s="4">
        <f>IF(ISBLANK(U29),"",U29/RelMean*100)</f>
        <v>51.648068849630505</v>
      </c>
      <c r="AD29" s="4">
        <f>IF(ISBLANK(V29),"",V29/RelMean*100)</f>
        <v>46.094539101813254</v>
      </c>
      <c r="AE29" s="4">
        <f>IF(ISBLANK(W29),"",W29/RelMean*100)</f>
        <v>58.009799234918326</v>
      </c>
      <c r="AF29" s="4">
        <f>IF(ISBLANK(X29),"",X29/RelMean*100)</f>
        <v>82.21971410811858</v>
      </c>
      <c r="AG29" s="9">
        <f>IF(ISBLANK(Y29),"",Y29/RelMean*100)</f>
        <v>59.172786388785973</v>
      </c>
      <c r="AH29" s="7">
        <f t="shared" si="8"/>
        <v>60.577682852544726</v>
      </c>
      <c r="AI29" s="5">
        <f t="shared" si="9"/>
        <v>12.789845189581468</v>
      </c>
    </row>
    <row r="30" spans="1:35" x14ac:dyDescent="0.25">
      <c r="A30" s="11" t="s">
        <v>102</v>
      </c>
      <c r="B30">
        <v>0.53813900000000003</v>
      </c>
      <c r="C30">
        <v>0.48486299999999999</v>
      </c>
      <c r="D30">
        <v>0.43720500000000001</v>
      </c>
      <c r="E30">
        <v>0.47224100000000002</v>
      </c>
      <c r="F30">
        <v>0.44031199999999998</v>
      </c>
      <c r="G30">
        <v>0.426178</v>
      </c>
      <c r="H30">
        <v>0.33064300000000002</v>
      </c>
      <c r="I30" s="3">
        <v>0.43176700000000001</v>
      </c>
      <c r="J30">
        <v>0.38846599999999998</v>
      </c>
      <c r="K30">
        <v>0.248137</v>
      </c>
      <c r="L30">
        <v>0.38376399999999999</v>
      </c>
      <c r="M30">
        <v>0.37722499999999998</v>
      </c>
      <c r="N30">
        <v>0.42911700000000003</v>
      </c>
      <c r="O30">
        <v>0.32527499999999998</v>
      </c>
      <c r="P30">
        <v>0.25269599999999998</v>
      </c>
      <c r="Q30" s="3">
        <v>0.42172500000000002</v>
      </c>
      <c r="R30" s="4">
        <f t="shared" si="0"/>
        <v>72.186925682769683</v>
      </c>
      <c r="S30" s="4">
        <f t="shared" si="1"/>
        <v>51.176724146820852</v>
      </c>
      <c r="T30" s="4">
        <f t="shared" si="2"/>
        <v>87.776672270445204</v>
      </c>
      <c r="U30" s="4">
        <f t="shared" si="3"/>
        <v>79.879764781118112</v>
      </c>
      <c r="V30" s="4">
        <f t="shared" si="4"/>
        <v>97.45748469267248</v>
      </c>
      <c r="W30" s="4">
        <f t="shared" si="5"/>
        <v>76.323742661517016</v>
      </c>
      <c r="X30" s="4">
        <f t="shared" si="6"/>
        <v>76.425631269980002</v>
      </c>
      <c r="Y30" s="5">
        <f t="shared" si="7"/>
        <v>97.674208543033629</v>
      </c>
      <c r="Z30" s="4">
        <f>IF(ISBLANK(R30),"",R30/RelMean*100)</f>
        <v>80.162736049332253</v>
      </c>
      <c r="AA30" s="4">
        <f>IF(ISBLANK(S30),"",S30/RelMean*100)</f>
        <v>56.831153160333393</v>
      </c>
      <c r="AB30" s="4">
        <f>IF(ISBLANK(T30),"",T30/RelMean*100)</f>
        <v>97.474967162702768</v>
      </c>
      <c r="AC30" s="4">
        <f>IF(ISBLANK(U30),"",U30/RelMean*100)</f>
        <v>88.705543826199289</v>
      </c>
      <c r="AD30" s="4">
        <f>IF(ISBLANK(V30),"",V30/RelMean*100)</f>
        <v>108.22539604724155</v>
      </c>
      <c r="AE30" s="4">
        <f>IF(ISBLANK(W30),"",W30/RelMean*100)</f>
        <v>84.756622884311739</v>
      </c>
      <c r="AF30" s="4">
        <f>IF(ISBLANK(X30),"",X30/RelMean*100)</f>
        <v>84.869768991441248</v>
      </c>
      <c r="AG30" s="9">
        <f>IF(ISBLANK(Y30),"",Y30/RelMean*100)</f>
        <v>108.46606534639474</v>
      </c>
      <c r="AH30" s="7">
        <f t="shared" si="8"/>
        <v>88.686531683494621</v>
      </c>
      <c r="AI30" s="5">
        <f t="shared" si="9"/>
        <v>16.765893208980884</v>
      </c>
    </row>
    <row r="31" spans="1:35" x14ac:dyDescent="0.25">
      <c r="A31" s="11" t="s">
        <v>103</v>
      </c>
      <c r="B31">
        <v>10.097901999999999</v>
      </c>
      <c r="C31">
        <v>11.953946999999999</v>
      </c>
      <c r="D31">
        <v>15.444444000000001</v>
      </c>
      <c r="E31">
        <v>14.402984999999999</v>
      </c>
      <c r="F31">
        <v>10.371428999999999</v>
      </c>
      <c r="G31">
        <v>13.75</v>
      </c>
      <c r="H31">
        <v>14.358209</v>
      </c>
      <c r="I31" s="3">
        <v>13.653465000000001</v>
      </c>
      <c r="J31">
        <v>11.292208</v>
      </c>
      <c r="K31">
        <v>13.304</v>
      </c>
      <c r="L31">
        <v>15.368793999999999</v>
      </c>
      <c r="M31">
        <v>15.36036</v>
      </c>
      <c r="N31">
        <v>10.004464</v>
      </c>
      <c r="O31">
        <v>14.628049000000001</v>
      </c>
      <c r="P31">
        <v>14.261438</v>
      </c>
      <c r="Q31" s="3">
        <v>13.754491</v>
      </c>
      <c r="R31" s="4">
        <f t="shared" si="0"/>
        <v>111.82726867422561</v>
      </c>
      <c r="S31" s="4">
        <f t="shared" si="1"/>
        <v>111.29378438770057</v>
      </c>
      <c r="T31" s="4">
        <f t="shared" si="2"/>
        <v>99.510179842019554</v>
      </c>
      <c r="U31" s="4">
        <f t="shared" si="3"/>
        <v>106.64705961993295</v>
      </c>
      <c r="V31" s="4">
        <f t="shared" si="4"/>
        <v>96.461770118659658</v>
      </c>
      <c r="W31" s="4">
        <f t="shared" si="5"/>
        <v>106.38581090909092</v>
      </c>
      <c r="X31" s="4">
        <f t="shared" si="6"/>
        <v>99.326023182974978</v>
      </c>
      <c r="Y31" s="5">
        <f t="shared" si="7"/>
        <v>100.73992938788798</v>
      </c>
      <c r="Z31" s="4">
        <f>IF(ISBLANK(R31),"",R31/RelMean*100)</f>
        <v>112.66088372403351</v>
      </c>
      <c r="AA31" s="4">
        <f>IF(ISBLANK(S31),"",S31/RelMean*100)</f>
        <v>112.12342258521335</v>
      </c>
      <c r="AB31" s="4">
        <f>IF(ISBLANK(T31),"",T31/RelMean*100)</f>
        <v>100.25197729901598</v>
      </c>
      <c r="AC31" s="4">
        <f>IF(ISBLANK(U31),"",U31/RelMean*100)</f>
        <v>107.44205886270196</v>
      </c>
      <c r="AD31" s="4">
        <f>IF(ISBLANK(V31),"",V31/RelMean*100)</f>
        <v>97.18084324147982</v>
      </c>
      <c r="AE31" s="4">
        <f>IF(ISBLANK(W31),"",W31/RelMean*100)</f>
        <v>107.17886267643928</v>
      </c>
      <c r="AF31" s="4">
        <f>IF(ISBLANK(X31),"",X31/RelMean*100)</f>
        <v>100.06644784633778</v>
      </c>
      <c r="AG31" s="9">
        <f>IF(ISBLANK(Y31),"",Y31/RelMean*100)</f>
        <v>101.49089399830848</v>
      </c>
      <c r="AH31" s="7">
        <f t="shared" si="8"/>
        <v>104.79942377919126</v>
      </c>
      <c r="AI31" s="5">
        <f t="shared" si="9"/>
        <v>5.8573303282166158</v>
      </c>
    </row>
    <row r="32" spans="1:35" x14ac:dyDescent="0.25">
      <c r="A32" s="11" t="s">
        <v>104</v>
      </c>
      <c r="B32">
        <v>12.253132000000001</v>
      </c>
      <c r="C32">
        <v>7.0046369999999998</v>
      </c>
      <c r="D32">
        <v>9.4931380000000001</v>
      </c>
      <c r="E32">
        <v>11.195746</v>
      </c>
      <c r="F32">
        <v>12.20309</v>
      </c>
      <c r="G32">
        <v>13.574759</v>
      </c>
      <c r="H32">
        <v>20.435865</v>
      </c>
      <c r="I32" s="3">
        <v>16.014244000000001</v>
      </c>
      <c r="J32">
        <v>11.17802</v>
      </c>
      <c r="K32">
        <v>8.3326189999999993</v>
      </c>
      <c r="L32">
        <v>9.2854019999999995</v>
      </c>
      <c r="M32">
        <v>10.822362</v>
      </c>
      <c r="N32">
        <v>8.619745</v>
      </c>
      <c r="O32">
        <v>9.0080810000000007</v>
      </c>
      <c r="P32">
        <v>11.998443999999999</v>
      </c>
      <c r="Q32" s="3">
        <v>14.648939</v>
      </c>
      <c r="R32" s="4">
        <f t="shared" si="0"/>
        <v>91.225818835543421</v>
      </c>
      <c r="S32" s="4">
        <f t="shared" si="1"/>
        <v>118.95861270184307</v>
      </c>
      <c r="T32" s="4">
        <f t="shared" si="2"/>
        <v>97.811724637311698</v>
      </c>
      <c r="U32" s="4">
        <f t="shared" si="3"/>
        <v>96.664947561332667</v>
      </c>
      <c r="V32" s="4">
        <f t="shared" si="4"/>
        <v>70.63575700908541</v>
      </c>
      <c r="W32" s="4">
        <f t="shared" si="5"/>
        <v>66.35904917354334</v>
      </c>
      <c r="X32" s="4">
        <f t="shared" si="6"/>
        <v>58.712679889008854</v>
      </c>
      <c r="Y32" s="5">
        <f t="shared" si="7"/>
        <v>91.474433635456037</v>
      </c>
      <c r="Z32" s="4">
        <f>IF(ISBLANK(R32),"",R32/RelMean*100)</f>
        <v>96.428066096760517</v>
      </c>
      <c r="AA32" s="4">
        <f>IF(ISBLANK(S32),"",S32/RelMean*100)</f>
        <v>125.7423513958413</v>
      </c>
      <c r="AB32" s="4">
        <f>IF(ISBLANK(T32),"",T32/RelMean*100)</f>
        <v>103.38954003107301</v>
      </c>
      <c r="AC32" s="4">
        <f>IF(ISBLANK(U32),"",U32/RelMean*100)</f>
        <v>102.17736679884251</v>
      </c>
      <c r="AD32" s="4">
        <f>IF(ISBLANK(V32),"",V32/RelMean*100)</f>
        <v>74.663834565801608</v>
      </c>
      <c r="AE32" s="4">
        <f>IF(ISBLANK(W32),"",W32/RelMean*100)</f>
        <v>70.143243015008025</v>
      </c>
      <c r="AF32" s="4">
        <f>IF(ISBLANK(X32),"",X32/RelMean*100)</f>
        <v>62.06083156416058</v>
      </c>
      <c r="AG32" s="9">
        <f>IF(ISBLANK(Y32),"",Y32/RelMean*100)</f>
        <v>96.69085841438087</v>
      </c>
      <c r="AH32" s="7">
        <f t="shared" si="8"/>
        <v>91.412011485233549</v>
      </c>
      <c r="AI32" s="5">
        <f t="shared" si="9"/>
        <v>20.994240833971439</v>
      </c>
    </row>
    <row r="33" spans="1:35" x14ac:dyDescent="0.25">
      <c r="A33" s="11" t="s">
        <v>105</v>
      </c>
      <c r="B33">
        <v>98.912148000000002</v>
      </c>
      <c r="C33">
        <v>94.862735999999998</v>
      </c>
      <c r="D33">
        <v>98.758778000000007</v>
      </c>
      <c r="E33">
        <v>99.867549999999994</v>
      </c>
      <c r="F33">
        <v>96.801929000000001</v>
      </c>
      <c r="G33">
        <v>99.308087</v>
      </c>
      <c r="H33">
        <v>82.872789999999995</v>
      </c>
      <c r="I33" s="3">
        <v>97.970551</v>
      </c>
      <c r="J33">
        <v>99.794839999999994</v>
      </c>
      <c r="K33">
        <v>99.052132999999998</v>
      </c>
      <c r="L33">
        <v>99.890699999999995</v>
      </c>
      <c r="M33">
        <v>99.643396999999993</v>
      </c>
      <c r="N33">
        <v>99.839585999999997</v>
      </c>
      <c r="O33">
        <v>99.857149000000007</v>
      </c>
      <c r="P33">
        <v>98.229358000000005</v>
      </c>
      <c r="Q33" s="3">
        <v>99.943515000000005</v>
      </c>
      <c r="R33" s="4">
        <f t="shared" si="0"/>
        <v>100.89239999115173</v>
      </c>
      <c r="S33" s="4">
        <f t="shared" si="1"/>
        <v>104.4162725814697</v>
      </c>
      <c r="T33" s="4">
        <f t="shared" si="2"/>
        <v>101.14614824415911</v>
      </c>
      <c r="U33" s="4">
        <f t="shared" si="3"/>
        <v>99.775549715598316</v>
      </c>
      <c r="V33" s="4">
        <f t="shared" si="4"/>
        <v>103.13801287988795</v>
      </c>
      <c r="W33" s="4">
        <f t="shared" si="5"/>
        <v>100.55288750049127</v>
      </c>
      <c r="X33" s="4">
        <f t="shared" si="6"/>
        <v>118.53028961616955</v>
      </c>
      <c r="Y33" s="5">
        <f t="shared" si="7"/>
        <v>102.01383372846398</v>
      </c>
      <c r="Z33" s="4">
        <f>IF(ISBLANK(R33),"",R33/RelMean*100)</f>
        <v>107.96722245299509</v>
      </c>
      <c r="AA33" s="4">
        <f>IF(ISBLANK(S33),"",S33/RelMean*100)</f>
        <v>111.7381976294032</v>
      </c>
      <c r="AB33" s="4">
        <f>IF(ISBLANK(T33),"",T33/RelMean*100)</f>
        <v>108.23876415565958</v>
      </c>
      <c r="AC33" s="4">
        <f>IF(ISBLANK(U33),"",U33/RelMean*100)</f>
        <v>106.77205589775465</v>
      </c>
      <c r="AD33" s="4">
        <f>IF(ISBLANK(V33),"",V33/RelMean*100)</f>
        <v>110.37030322342733</v>
      </c>
      <c r="AE33" s="4">
        <f>IF(ISBLANK(W33),"",W33/RelMean*100)</f>
        <v>107.60390251405099</v>
      </c>
      <c r="AF33" s="4">
        <f>IF(ISBLANK(X33),"",X33/RelMean*100)</f>
        <v>126.84192414422932</v>
      </c>
      <c r="AG33" s="9">
        <f>IF(ISBLANK(Y33),"",Y33/RelMean*100)</f>
        <v>109.1672938735709</v>
      </c>
      <c r="AH33" s="7">
        <f t="shared" si="8"/>
        <v>111.08745798638638</v>
      </c>
      <c r="AI33" s="5">
        <f t="shared" si="9"/>
        <v>6.5621946178334394</v>
      </c>
    </row>
    <row r="34" spans="1:35" x14ac:dyDescent="0.25">
      <c r="A34" s="11" t="s">
        <v>106</v>
      </c>
      <c r="B34">
        <v>0.43301200000000001</v>
      </c>
      <c r="C34">
        <v>0.305927</v>
      </c>
      <c r="D34">
        <v>0.438444</v>
      </c>
      <c r="E34">
        <v>0.28146100000000002</v>
      </c>
      <c r="F34">
        <v>0.313309</v>
      </c>
      <c r="G34">
        <v>0.26201200000000002</v>
      </c>
      <c r="H34">
        <v>0.25329600000000002</v>
      </c>
      <c r="I34" s="3">
        <v>0.36026000000000002</v>
      </c>
      <c r="J34">
        <v>0.55239000000000005</v>
      </c>
      <c r="K34">
        <v>0.343862</v>
      </c>
      <c r="L34">
        <v>0.35406900000000002</v>
      </c>
      <c r="M34">
        <v>0.23474300000000001</v>
      </c>
      <c r="N34">
        <v>0.44361400000000001</v>
      </c>
      <c r="O34">
        <v>0.170569</v>
      </c>
      <c r="P34">
        <v>0.199744</v>
      </c>
      <c r="Q34" s="3">
        <v>0.31833899999999998</v>
      </c>
      <c r="R34" s="4">
        <f t="shared" si="0"/>
        <v>127.5692128624611</v>
      </c>
      <c r="S34" s="4">
        <f t="shared" si="1"/>
        <v>112.40001699751903</v>
      </c>
      <c r="T34" s="4">
        <f t="shared" si="2"/>
        <v>80.755809179735621</v>
      </c>
      <c r="U34" s="4">
        <f t="shared" si="3"/>
        <v>83.401608038058555</v>
      </c>
      <c r="V34" s="4">
        <f t="shared" si="4"/>
        <v>141.58993198407961</v>
      </c>
      <c r="W34" s="4">
        <f t="shared" si="5"/>
        <v>65.099690090530189</v>
      </c>
      <c r="X34" s="4">
        <f t="shared" si="6"/>
        <v>78.857936959130811</v>
      </c>
      <c r="Y34" s="5">
        <f t="shared" si="7"/>
        <v>88.36368178537721</v>
      </c>
      <c r="Z34" s="4">
        <f>IF(ISBLANK(R34),"",R34/RelMean*100)</f>
        <v>126.10624317126107</v>
      </c>
      <c r="AA34" s="4">
        <f>IF(ISBLANK(S34),"",S34/RelMean*100)</f>
        <v>111.11100835297225</v>
      </c>
      <c r="AB34" s="4">
        <f>IF(ISBLANK(T34),"",T34/RelMean*100)</f>
        <v>79.829697788379278</v>
      </c>
      <c r="AC34" s="4">
        <f>IF(ISBLANK(U34),"",U34/RelMean*100)</f>
        <v>82.445154501823481</v>
      </c>
      <c r="AD34" s="4">
        <f>IF(ISBLANK(V34),"",V34/RelMean*100)</f>
        <v>139.96617203115812</v>
      </c>
      <c r="AE34" s="4">
        <f>IF(ISBLANK(W34),"",W34/RelMean*100)</f>
        <v>64.353123804104612</v>
      </c>
      <c r="AF34" s="4">
        <f>IF(ISBLANK(X34),"",X34/RelMean*100)</f>
        <v>77.953590455040086</v>
      </c>
      <c r="AG34" s="9">
        <f>IF(ISBLANK(Y34),"",Y34/RelMean*100)</f>
        <v>87.350322955655287</v>
      </c>
      <c r="AH34" s="7">
        <f t="shared" si="8"/>
        <v>96.139414132549277</v>
      </c>
      <c r="AI34" s="5">
        <f t="shared" si="9"/>
        <v>26.497504835334521</v>
      </c>
    </row>
    <row r="35" spans="1:35" x14ac:dyDescent="0.25">
      <c r="A35" s="11" t="s">
        <v>107</v>
      </c>
      <c r="B35">
        <v>0.48045900000000002</v>
      </c>
      <c r="C35">
        <v>1.1024240000000001</v>
      </c>
      <c r="D35">
        <v>2.510872</v>
      </c>
      <c r="E35">
        <v>1.2210460000000001</v>
      </c>
      <c r="F35">
        <v>0.93362400000000001</v>
      </c>
      <c r="G35">
        <v>1.0982769999999999</v>
      </c>
      <c r="H35">
        <v>0.34029100000000001</v>
      </c>
      <c r="I35" s="3">
        <v>0.59387599999999996</v>
      </c>
      <c r="J35">
        <v>0.106626</v>
      </c>
      <c r="K35">
        <v>0.45867000000000002</v>
      </c>
      <c r="L35">
        <v>0</v>
      </c>
      <c r="M35">
        <v>0.12400899999999999</v>
      </c>
      <c r="N35">
        <v>0.74571699999999996</v>
      </c>
      <c r="O35">
        <v>0.580897</v>
      </c>
      <c r="P35">
        <v>0.41736200000000001</v>
      </c>
      <c r="Q35" s="3">
        <v>9.2994999999999994E-2</v>
      </c>
      <c r="R35" s="4">
        <f t="shared" si="0"/>
        <v>22.192528394722544</v>
      </c>
      <c r="S35" s="4">
        <f t="shared" si="1"/>
        <v>41.605589138117452</v>
      </c>
      <c r="T35" s="4">
        <f t="shared" si="2"/>
        <v>0</v>
      </c>
      <c r="U35" s="4">
        <f t="shared" si="3"/>
        <v>10.155964640152785</v>
      </c>
      <c r="V35" s="4">
        <f t="shared" si="4"/>
        <v>79.873375148882204</v>
      </c>
      <c r="W35" s="4">
        <f t="shared" si="5"/>
        <v>52.891665763737208</v>
      </c>
      <c r="X35" s="4">
        <f t="shared" si="6"/>
        <v>122.64855667649159</v>
      </c>
      <c r="Y35" s="5">
        <f t="shared" si="7"/>
        <v>15.658992786372913</v>
      </c>
      <c r="Z35" s="4">
        <f>IF(ISBLANK(R35),"",R35/RelMean*100)</f>
        <v>20.812970109124869</v>
      </c>
      <c r="AA35" s="4">
        <f>IF(ISBLANK(S35),"",S35/RelMean*100)</f>
        <v>39.019253133414537</v>
      </c>
      <c r="AB35" s="4">
        <f>IF(ISBLANK(T35),"",T35/RelMean*100)</f>
        <v>0</v>
      </c>
      <c r="AC35" s="4">
        <f>IF(ISBLANK(U35),"",U35/RelMean*100)</f>
        <v>9.5246375142678588</v>
      </c>
      <c r="AD35" s="4">
        <f>IF(ISBLANK(V35),"",V35/RelMean*100)</f>
        <v>74.908191618397439</v>
      </c>
      <c r="AE35" s="4">
        <f>IF(ISBLANK(W35),"",W35/RelMean*100)</f>
        <v>49.603751270822627</v>
      </c>
      <c r="AF35" s="4">
        <f>IF(ISBLANK(X35),"",X35/RelMean*100)</f>
        <v>115.02433155125141</v>
      </c>
      <c r="AG35" s="9">
        <f>IF(ISBLANK(Y35),"",Y35/RelMean*100)</f>
        <v>14.685579894505571</v>
      </c>
      <c r="AH35" s="7">
        <f t="shared" si="8"/>
        <v>40.44733938647304</v>
      </c>
      <c r="AI35" s="5">
        <f t="shared" si="9"/>
        <v>38.686533037813852</v>
      </c>
    </row>
    <row r="36" spans="1:35" ht="15.75" x14ac:dyDescent="0.25">
      <c r="A36" s="13" t="s">
        <v>911</v>
      </c>
      <c r="I36" s="3"/>
      <c r="Q36" s="3"/>
      <c r="R36" s="4" t="str">
        <f t="shared" si="0"/>
        <v/>
      </c>
      <c r="S36" s="4" t="str">
        <f t="shared" si="1"/>
        <v/>
      </c>
      <c r="T36" s="4" t="str">
        <f t="shared" si="2"/>
        <v/>
      </c>
      <c r="U36" s="4" t="str">
        <f t="shared" si="3"/>
        <v/>
      </c>
      <c r="V36" s="4" t="str">
        <f t="shared" si="4"/>
        <v/>
      </c>
      <c r="W36" s="4" t="str">
        <f t="shared" si="5"/>
        <v/>
      </c>
      <c r="X36" s="4" t="str">
        <f t="shared" si="6"/>
        <v/>
      </c>
      <c r="Y36" s="5" t="str">
        <f t="shared" si="7"/>
        <v/>
      </c>
      <c r="Z36" s="4" t="e">
        <f>IF(ISBLANK(R36),"",R36/RelMean*100)</f>
        <v>#VALUE!</v>
      </c>
      <c r="AA36" s="4" t="e">
        <f>IF(ISBLANK(S36),"",S36/RelMean*100)</f>
        <v>#VALUE!</v>
      </c>
      <c r="AB36" s="4" t="e">
        <f>IF(ISBLANK(T36),"",T36/RelMean*100)</f>
        <v>#VALUE!</v>
      </c>
      <c r="AC36" s="4" t="e">
        <f>IF(ISBLANK(U36),"",U36/RelMean*100)</f>
        <v>#VALUE!</v>
      </c>
      <c r="AD36" s="4" t="e">
        <f>IF(ISBLANK(V36),"",V36/RelMean*100)</f>
        <v>#VALUE!</v>
      </c>
      <c r="AE36" s="4" t="e">
        <f>IF(ISBLANK(W36),"",W36/RelMean*100)</f>
        <v>#VALUE!</v>
      </c>
      <c r="AF36" s="4" t="e">
        <f>IF(ISBLANK(X36),"",X36/RelMean*100)</f>
        <v>#VALUE!</v>
      </c>
      <c r="AG36" s="9" t="e">
        <f>IF(ISBLANK(Y36),"",Y36/RelMean*100)</f>
        <v>#VALUE!</v>
      </c>
      <c r="AH36" s="7" t="e">
        <f t="shared" si="8"/>
        <v>#VALUE!</v>
      </c>
      <c r="AI36" s="5" t="e">
        <f t="shared" si="9"/>
        <v>#VALUE!</v>
      </c>
    </row>
    <row r="37" spans="1:35" x14ac:dyDescent="0.25">
      <c r="A37" s="11" t="s">
        <v>109</v>
      </c>
      <c r="B37">
        <v>0.26319199999999998</v>
      </c>
      <c r="C37">
        <v>0.44239800000000001</v>
      </c>
      <c r="D37">
        <v>0.64564600000000005</v>
      </c>
      <c r="E37">
        <v>0.49312899999999998</v>
      </c>
      <c r="F37">
        <v>0.31824799999999998</v>
      </c>
      <c r="G37">
        <v>0.45112600000000003</v>
      </c>
      <c r="H37">
        <v>0.55575600000000003</v>
      </c>
      <c r="I37" s="3">
        <v>0.45576499999999998</v>
      </c>
      <c r="J37">
        <v>0.43706899999999999</v>
      </c>
      <c r="K37">
        <v>0.50197599999999998</v>
      </c>
      <c r="L37">
        <v>0.62131800000000004</v>
      </c>
      <c r="M37">
        <v>0.64892499999999997</v>
      </c>
      <c r="N37">
        <v>0.30796200000000001</v>
      </c>
      <c r="O37">
        <v>0.54932300000000001</v>
      </c>
      <c r="P37">
        <v>0.65741899999999998</v>
      </c>
      <c r="Q37" s="3">
        <v>0.58973500000000001</v>
      </c>
      <c r="R37" s="4">
        <f t="shared" si="0"/>
        <v>166.06469801513722</v>
      </c>
      <c r="S37" s="4">
        <f t="shared" si="1"/>
        <v>113.46705907350395</v>
      </c>
      <c r="T37" s="4">
        <f t="shared" si="2"/>
        <v>96.231990905232905</v>
      </c>
      <c r="U37" s="4">
        <f t="shared" si="3"/>
        <v>131.5933558967329</v>
      </c>
      <c r="V37" s="4">
        <f t="shared" si="4"/>
        <v>96.767929413539136</v>
      </c>
      <c r="W37" s="4">
        <f t="shared" si="5"/>
        <v>121.76708946059416</v>
      </c>
      <c r="X37" s="4">
        <f t="shared" si="6"/>
        <v>118.2927399794154</v>
      </c>
      <c r="Y37" s="5">
        <f t="shared" si="7"/>
        <v>129.39453446403303</v>
      </c>
      <c r="Z37" s="4">
        <f>IF(ISBLANK(R37),"",R37/RelMean*100)</f>
        <v>168.44380240011526</v>
      </c>
      <c r="AA37" s="4">
        <f>IF(ISBLANK(S37),"",S37/RelMean*100)</f>
        <v>115.09263019740249</v>
      </c>
      <c r="AB37" s="4">
        <f>IF(ISBLANK(T37),"",T37/RelMean*100)</f>
        <v>97.610646057557574</v>
      </c>
      <c r="AC37" s="4">
        <f>IF(ISBLANK(U37),"",U37/RelMean*100)</f>
        <v>133.47861106408556</v>
      </c>
      <c r="AD37" s="4">
        <f>IF(ISBLANK(V37),"",V37/RelMean*100)</f>
        <v>98.15426261948042</v>
      </c>
      <c r="AE37" s="4">
        <f>IF(ISBLANK(W37),"",W37/RelMean*100)</f>
        <v>123.51156989469165</v>
      </c>
      <c r="AF37" s="4">
        <f>IF(ISBLANK(X37),"",X37/RelMean*100)</f>
        <v>119.98744559571949</v>
      </c>
      <c r="AG37" s="9">
        <f>IF(ISBLANK(Y37),"",Y37/RelMean*100)</f>
        <v>131.24828850095372</v>
      </c>
      <c r="AH37" s="7">
        <f t="shared" si="8"/>
        <v>123.44090704125077</v>
      </c>
      <c r="AI37" s="5">
        <f t="shared" si="9"/>
        <v>22.599662393316436</v>
      </c>
    </row>
    <row r="38" spans="1:35" x14ac:dyDescent="0.25">
      <c r="A38" s="11" t="s">
        <v>110</v>
      </c>
      <c r="B38">
        <v>4.4097920000000004</v>
      </c>
      <c r="C38">
        <v>3.363944</v>
      </c>
      <c r="D38">
        <v>7.7726810000000004</v>
      </c>
      <c r="E38">
        <v>8.4550420000000006</v>
      </c>
      <c r="F38">
        <v>2.3144439999999999</v>
      </c>
      <c r="G38">
        <v>4.5423330000000002</v>
      </c>
      <c r="H38">
        <v>10.074667</v>
      </c>
      <c r="I38" s="3">
        <v>8.800694</v>
      </c>
      <c r="J38">
        <v>5.3887219999999996</v>
      </c>
      <c r="K38">
        <v>3.4843060000000001</v>
      </c>
      <c r="L38">
        <v>6.7157499999999999</v>
      </c>
      <c r="M38">
        <v>6.9628889999999997</v>
      </c>
      <c r="N38">
        <v>3.7951389999999998</v>
      </c>
      <c r="O38">
        <v>6.6056530000000002</v>
      </c>
      <c r="P38">
        <v>10.029806000000001</v>
      </c>
      <c r="Q38" s="3">
        <v>13.369180999999999</v>
      </c>
      <c r="R38" s="4">
        <f t="shared" si="0"/>
        <v>122.19900621163082</v>
      </c>
      <c r="S38" s="4">
        <f t="shared" si="1"/>
        <v>103.57800248755629</v>
      </c>
      <c r="T38" s="4">
        <f t="shared" si="2"/>
        <v>86.401976357964514</v>
      </c>
      <c r="U38" s="4">
        <f t="shared" si="3"/>
        <v>82.351914987530506</v>
      </c>
      <c r="V38" s="4">
        <f t="shared" si="4"/>
        <v>163.97627248704222</v>
      </c>
      <c r="W38" s="4">
        <f t="shared" si="5"/>
        <v>145.42423463889591</v>
      </c>
      <c r="X38" s="4">
        <f t="shared" si="6"/>
        <v>99.554714810921311</v>
      </c>
      <c r="Y38" s="5">
        <f t="shared" si="7"/>
        <v>151.91053114674818</v>
      </c>
      <c r="Z38" s="4">
        <f>IF(ISBLANK(R38),"",R38/RelMean*100)</f>
        <v>115.78140637762495</v>
      </c>
      <c r="AA38" s="4">
        <f>IF(ISBLANK(S38),"",S38/RelMean*100)</f>
        <v>98.138333277648002</v>
      </c>
      <c r="AB38" s="4">
        <f>IF(ISBLANK(T38),"",T38/RelMean*100)</f>
        <v>81.864351001401886</v>
      </c>
      <c r="AC38" s="4">
        <f>IF(ISBLANK(U38),"",U38/RelMean*100)</f>
        <v>78.02698917726039</v>
      </c>
      <c r="AD38" s="4">
        <f>IF(ISBLANK(V38),"",V38/RelMean*100)</f>
        <v>155.36463044740688</v>
      </c>
      <c r="AE38" s="4">
        <f>IF(ISBLANK(W38),"",W38/RelMean*100)</f>
        <v>137.78690130033576</v>
      </c>
      <c r="AF38" s="4">
        <f>IF(ISBLANK(X38),"",X38/RelMean*100)</f>
        <v>94.326339056878069</v>
      </c>
      <c r="AG38" s="9">
        <f>IF(ISBLANK(Y38),"",Y38/RelMean*100)</f>
        <v>143.93255301341765</v>
      </c>
      <c r="AH38" s="7">
        <f t="shared" si="8"/>
        <v>113.15268795649669</v>
      </c>
      <c r="AI38" s="5">
        <f t="shared" si="9"/>
        <v>29.60608000501432</v>
      </c>
    </row>
    <row r="39" spans="1:35" x14ac:dyDescent="0.25">
      <c r="A39" s="11" t="s">
        <v>111</v>
      </c>
      <c r="B39">
        <v>21</v>
      </c>
      <c r="C39">
        <v>14</v>
      </c>
      <c r="D39">
        <v>19</v>
      </c>
      <c r="E39">
        <v>19</v>
      </c>
      <c r="F39">
        <v>31</v>
      </c>
      <c r="G39">
        <v>21</v>
      </c>
      <c r="H39">
        <v>34</v>
      </c>
      <c r="I39" s="3">
        <v>27</v>
      </c>
      <c r="J39">
        <v>22</v>
      </c>
      <c r="K39">
        <v>14</v>
      </c>
      <c r="L39">
        <v>15</v>
      </c>
      <c r="M39">
        <v>14</v>
      </c>
      <c r="N39">
        <v>25</v>
      </c>
      <c r="O39">
        <v>21</v>
      </c>
      <c r="P39">
        <v>22</v>
      </c>
      <c r="Q39" s="3">
        <v>24</v>
      </c>
      <c r="R39" s="4">
        <f t="shared" si="0"/>
        <v>104.76190476190477</v>
      </c>
      <c r="S39" s="4">
        <f t="shared" si="1"/>
        <v>100</v>
      </c>
      <c r="T39" s="4">
        <f t="shared" si="2"/>
        <v>78.94736842105263</v>
      </c>
      <c r="U39" s="4">
        <f t="shared" si="3"/>
        <v>73.68421052631578</v>
      </c>
      <c r="V39" s="4">
        <f t="shared" si="4"/>
        <v>80.645161290322577</v>
      </c>
      <c r="W39" s="4">
        <f t="shared" si="5"/>
        <v>100</v>
      </c>
      <c r="X39" s="4">
        <f t="shared" si="6"/>
        <v>64.705882352941174</v>
      </c>
      <c r="Y39" s="5">
        <f t="shared" si="7"/>
        <v>88.888888888888886</v>
      </c>
      <c r="Z39" s="4">
        <f>IF(ISBLANK(R39),"",R39/RelMean*100)</f>
        <v>105.24009521262963</v>
      </c>
      <c r="AA39" s="4">
        <f>IF(ISBLANK(S39),"",S39/RelMean*100)</f>
        <v>100.45645452114644</v>
      </c>
      <c r="AB39" s="4">
        <f>IF(ISBLANK(T39),"",T39/RelMean*100)</f>
        <v>79.307727253536669</v>
      </c>
      <c r="AC39" s="4">
        <f>IF(ISBLANK(U39),"",U39/RelMean*100)</f>
        <v>74.020545436634208</v>
      </c>
      <c r="AD39" s="4">
        <f>IF(ISBLANK(V39),"",V39/RelMean*100)</f>
        <v>81.013269775118104</v>
      </c>
      <c r="AE39" s="4">
        <f>IF(ISBLANK(W39),"",W39/RelMean*100)</f>
        <v>100.45645452114644</v>
      </c>
      <c r="AF39" s="4">
        <f>IF(ISBLANK(X39),"",X39/RelMean*100)</f>
        <v>65.001235278388876</v>
      </c>
      <c r="AG39" s="9">
        <f>IF(ISBLANK(Y39),"",Y39/RelMean*100)</f>
        <v>89.29462624101906</v>
      </c>
      <c r="AH39" s="7">
        <f t="shared" si="8"/>
        <v>86.848801029952426</v>
      </c>
      <c r="AI39" s="5">
        <f t="shared" si="9"/>
        <v>14.379348879127042</v>
      </c>
    </row>
    <row r="40" spans="1:35" x14ac:dyDescent="0.25">
      <c r="A40" s="11" t="s">
        <v>112</v>
      </c>
      <c r="B40">
        <v>91</v>
      </c>
      <c r="C40">
        <v>50</v>
      </c>
      <c r="D40">
        <v>58</v>
      </c>
      <c r="E40">
        <v>85</v>
      </c>
      <c r="F40">
        <v>95</v>
      </c>
      <c r="G40">
        <v>100</v>
      </c>
      <c r="H40">
        <v>103</v>
      </c>
      <c r="I40" s="3">
        <v>97</v>
      </c>
      <c r="J40">
        <v>38</v>
      </c>
      <c r="K40">
        <v>23</v>
      </c>
      <c r="L40">
        <v>27</v>
      </c>
      <c r="M40">
        <v>26</v>
      </c>
      <c r="N40">
        <v>60</v>
      </c>
      <c r="O40">
        <v>43</v>
      </c>
      <c r="P40">
        <v>46</v>
      </c>
      <c r="Q40" s="3">
        <v>50</v>
      </c>
      <c r="R40" s="4">
        <f t="shared" si="0"/>
        <v>41.758241758241759</v>
      </c>
      <c r="S40" s="4">
        <f t="shared" si="1"/>
        <v>46</v>
      </c>
      <c r="T40" s="4">
        <f t="shared" si="2"/>
        <v>46.551724137931032</v>
      </c>
      <c r="U40" s="4">
        <f t="shared" si="3"/>
        <v>30.588235294117649</v>
      </c>
      <c r="V40" s="4">
        <f t="shared" si="4"/>
        <v>63.157894736842103</v>
      </c>
      <c r="W40" s="4">
        <f t="shared" si="5"/>
        <v>43</v>
      </c>
      <c r="X40" s="4">
        <f t="shared" si="6"/>
        <v>44.660194174757287</v>
      </c>
      <c r="Y40" s="5">
        <f t="shared" si="7"/>
        <v>51.546391752577314</v>
      </c>
      <c r="Z40" s="4">
        <f>IF(ISBLANK(R40),"",R40/RelMean*100)</f>
        <v>42.778117609558969</v>
      </c>
      <c r="AA40" s="4">
        <f>IF(ISBLANK(S40),"",S40/RelMean*100)</f>
        <v>47.123473766740481</v>
      </c>
      <c r="AB40" s="4">
        <f>IF(ISBLANK(T40),"",T40/RelMean*100)</f>
        <v>47.68867285239854</v>
      </c>
      <c r="AC40" s="4">
        <f>IF(ISBLANK(U40),"",U40/RelMean*100)</f>
        <v>31.335302248983442</v>
      </c>
      <c r="AD40" s="4">
        <f>IF(ISBLANK(V40),"",V40/RelMean*100)</f>
        <v>64.700421647698604</v>
      </c>
      <c r="AE40" s="4">
        <f>IF(ISBLANK(W40),"",W40/RelMean*100)</f>
        <v>44.050203738474799</v>
      </c>
      <c r="AF40" s="4">
        <f>IF(ISBLANK(X40),"",X40/RelMean*100)</f>
        <v>45.750945404602419</v>
      </c>
      <c r="AG40" s="9">
        <f>IF(ISBLANK(Y40),"",Y40/RelMean*100)</f>
        <v>52.805326946145762</v>
      </c>
      <c r="AH40" s="7">
        <f t="shared" si="8"/>
        <v>47.029058026825382</v>
      </c>
      <c r="AI40" s="5">
        <f t="shared" si="9"/>
        <v>9.4185075439756982</v>
      </c>
    </row>
    <row r="41" spans="1:35" x14ac:dyDescent="0.25">
      <c r="A41" s="11" t="s">
        <v>113</v>
      </c>
      <c r="B41" t="s">
        <v>114</v>
      </c>
      <c r="C41" t="s">
        <v>114</v>
      </c>
      <c r="D41" t="s">
        <v>114</v>
      </c>
      <c r="E41" t="s">
        <v>114</v>
      </c>
      <c r="F41" t="s">
        <v>114</v>
      </c>
      <c r="G41" t="s">
        <v>114</v>
      </c>
      <c r="H41" t="s">
        <v>114</v>
      </c>
      <c r="I41" s="3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s="3" t="s">
        <v>114</v>
      </c>
      <c r="R41" s="4" t="e">
        <f t="shared" si="0"/>
        <v>#VALUE!</v>
      </c>
      <c r="S41" s="4" t="e">
        <f t="shared" si="1"/>
        <v>#VALUE!</v>
      </c>
      <c r="T41" s="4" t="e">
        <f t="shared" si="2"/>
        <v>#VALUE!</v>
      </c>
      <c r="U41" s="4" t="e">
        <f t="shared" si="3"/>
        <v>#VALUE!</v>
      </c>
      <c r="V41" s="4" t="e">
        <f t="shared" si="4"/>
        <v>#VALUE!</v>
      </c>
      <c r="W41" s="4" t="e">
        <f t="shared" si="5"/>
        <v>#VALUE!</v>
      </c>
      <c r="X41" s="4" t="e">
        <f t="shared" si="6"/>
        <v>#VALUE!</v>
      </c>
      <c r="Y41" s="5" t="e">
        <f t="shared" si="7"/>
        <v>#VALUE!</v>
      </c>
      <c r="Z41" s="4" t="e">
        <f>IF(ISBLANK(R41),"",R41/RelMean*100)</f>
        <v>#VALUE!</v>
      </c>
      <c r="AA41" s="4" t="e">
        <f>IF(ISBLANK(S41),"",S41/RelMean*100)</f>
        <v>#VALUE!</v>
      </c>
      <c r="AB41" s="4" t="e">
        <f>IF(ISBLANK(T41),"",T41/RelMean*100)</f>
        <v>#VALUE!</v>
      </c>
      <c r="AC41" s="4" t="e">
        <f>IF(ISBLANK(U41),"",U41/RelMean*100)</f>
        <v>#VALUE!</v>
      </c>
      <c r="AD41" s="4" t="e">
        <f>IF(ISBLANK(V41),"",V41/RelMean*100)</f>
        <v>#VALUE!</v>
      </c>
      <c r="AE41" s="4" t="e">
        <f>IF(ISBLANK(W41),"",W41/RelMean*100)</f>
        <v>#VALUE!</v>
      </c>
      <c r="AF41" s="4" t="e">
        <f>IF(ISBLANK(X41),"",X41/RelMean*100)</f>
        <v>#VALUE!</v>
      </c>
      <c r="AG41" s="9" t="e">
        <f>IF(ISBLANK(Y41),"",Y41/RelMean*100)</f>
        <v>#VALUE!</v>
      </c>
      <c r="AH41" s="7" t="e">
        <f t="shared" si="8"/>
        <v>#VALUE!</v>
      </c>
      <c r="AI41" s="5" t="e">
        <f t="shared" si="9"/>
        <v>#VALUE!</v>
      </c>
    </row>
    <row r="42" spans="1:35" x14ac:dyDescent="0.25">
      <c r="A42" s="11" t="s">
        <v>115</v>
      </c>
      <c r="B42" t="s">
        <v>114</v>
      </c>
      <c r="C42" t="s">
        <v>114</v>
      </c>
      <c r="D42" t="s">
        <v>114</v>
      </c>
      <c r="E42" t="s">
        <v>114</v>
      </c>
      <c r="F42" t="s">
        <v>114</v>
      </c>
      <c r="G42" t="s">
        <v>114</v>
      </c>
      <c r="H42" t="s">
        <v>114</v>
      </c>
      <c r="I42" s="3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114</v>
      </c>
      <c r="P42" t="s">
        <v>114</v>
      </c>
      <c r="Q42" s="3" t="s">
        <v>114</v>
      </c>
      <c r="R42" s="4" t="e">
        <f t="shared" si="0"/>
        <v>#VALUE!</v>
      </c>
      <c r="S42" s="4" t="e">
        <f t="shared" si="1"/>
        <v>#VALUE!</v>
      </c>
      <c r="T42" s="4" t="e">
        <f t="shared" si="2"/>
        <v>#VALUE!</v>
      </c>
      <c r="U42" s="4" t="e">
        <f t="shared" si="3"/>
        <v>#VALUE!</v>
      </c>
      <c r="V42" s="4" t="e">
        <f t="shared" si="4"/>
        <v>#VALUE!</v>
      </c>
      <c r="W42" s="4" t="e">
        <f t="shared" si="5"/>
        <v>#VALUE!</v>
      </c>
      <c r="X42" s="4" t="e">
        <f t="shared" si="6"/>
        <v>#VALUE!</v>
      </c>
      <c r="Y42" s="5" t="e">
        <f t="shared" si="7"/>
        <v>#VALUE!</v>
      </c>
      <c r="Z42" s="4" t="e">
        <f>IF(ISBLANK(R42),"",R42/RelMean*100)</f>
        <v>#VALUE!</v>
      </c>
      <c r="AA42" s="4" t="e">
        <f>IF(ISBLANK(S42),"",S42/RelMean*100)</f>
        <v>#VALUE!</v>
      </c>
      <c r="AB42" s="4" t="e">
        <f>IF(ISBLANK(T42),"",T42/RelMean*100)</f>
        <v>#VALUE!</v>
      </c>
      <c r="AC42" s="4" t="e">
        <f>IF(ISBLANK(U42),"",U42/RelMean*100)</f>
        <v>#VALUE!</v>
      </c>
      <c r="AD42" s="4" t="e">
        <f>IF(ISBLANK(V42),"",V42/RelMean*100)</f>
        <v>#VALUE!</v>
      </c>
      <c r="AE42" s="4" t="e">
        <f>IF(ISBLANK(W42),"",W42/RelMean*100)</f>
        <v>#VALUE!</v>
      </c>
      <c r="AF42" s="4" t="e">
        <f>IF(ISBLANK(X42),"",X42/RelMean*100)</f>
        <v>#VALUE!</v>
      </c>
      <c r="AG42" s="9" t="e">
        <f>IF(ISBLANK(Y42),"",Y42/RelMean*100)</f>
        <v>#VALUE!</v>
      </c>
      <c r="AH42" s="7" t="e">
        <f t="shared" si="8"/>
        <v>#VALUE!</v>
      </c>
      <c r="AI42" s="5" t="e">
        <f t="shared" si="9"/>
        <v>#VALUE!</v>
      </c>
    </row>
    <row r="43" spans="1:35" x14ac:dyDescent="0.25">
      <c r="A43" s="11" t="s">
        <v>116</v>
      </c>
      <c r="I43" s="3"/>
      <c r="Q43" s="3"/>
      <c r="R43" s="4" t="str">
        <f t="shared" si="0"/>
        <v/>
      </c>
      <c r="S43" s="4" t="str">
        <f t="shared" si="1"/>
        <v/>
      </c>
      <c r="T43" s="4" t="str">
        <f t="shared" si="2"/>
        <v/>
      </c>
      <c r="U43" s="4" t="str">
        <f t="shared" si="3"/>
        <v/>
      </c>
      <c r="V43" s="4" t="str">
        <f t="shared" si="4"/>
        <v/>
      </c>
      <c r="W43" s="4" t="str">
        <f t="shared" si="5"/>
        <v/>
      </c>
      <c r="X43" s="4" t="str">
        <f t="shared" si="6"/>
        <v/>
      </c>
      <c r="Y43" s="5" t="str">
        <f t="shared" si="7"/>
        <v/>
      </c>
      <c r="Z43" s="4" t="e">
        <f>IF(ISBLANK(R43),"",R43/RelMean*100)</f>
        <v>#VALUE!</v>
      </c>
      <c r="AA43" s="4" t="e">
        <f>IF(ISBLANK(S43),"",S43/RelMean*100)</f>
        <v>#VALUE!</v>
      </c>
      <c r="AB43" s="4" t="e">
        <f>IF(ISBLANK(T43),"",T43/RelMean*100)</f>
        <v>#VALUE!</v>
      </c>
      <c r="AC43" s="4" t="e">
        <f>IF(ISBLANK(U43),"",U43/RelMean*100)</f>
        <v>#VALUE!</v>
      </c>
      <c r="AD43" s="4" t="e">
        <f>IF(ISBLANK(V43),"",V43/RelMean*100)</f>
        <v>#VALUE!</v>
      </c>
      <c r="AE43" s="4" t="e">
        <f>IF(ISBLANK(W43),"",W43/RelMean*100)</f>
        <v>#VALUE!</v>
      </c>
      <c r="AF43" s="4" t="e">
        <f>IF(ISBLANK(X43),"",X43/RelMean*100)</f>
        <v>#VALUE!</v>
      </c>
      <c r="AG43" s="9" t="e">
        <f>IF(ISBLANK(Y43),"",Y43/RelMean*100)</f>
        <v>#VALUE!</v>
      </c>
      <c r="AH43" s="7" t="e">
        <f t="shared" si="8"/>
        <v>#VALUE!</v>
      </c>
      <c r="AI43" s="5" t="e">
        <f t="shared" si="9"/>
        <v>#VALUE!</v>
      </c>
    </row>
    <row r="44" spans="1:35" x14ac:dyDescent="0.25">
      <c r="A44" s="11" t="s">
        <v>117</v>
      </c>
      <c r="B44">
        <v>13</v>
      </c>
      <c r="C44">
        <v>14</v>
      </c>
      <c r="D44">
        <v>14</v>
      </c>
      <c r="E44">
        <v>44</v>
      </c>
      <c r="F44">
        <v>22</v>
      </c>
      <c r="G44">
        <v>34</v>
      </c>
      <c r="H44">
        <v>44</v>
      </c>
      <c r="I44" s="3">
        <v>31</v>
      </c>
      <c r="J44">
        <v>22</v>
      </c>
      <c r="K44">
        <v>32</v>
      </c>
      <c r="L44">
        <v>43</v>
      </c>
      <c r="M44">
        <v>44</v>
      </c>
      <c r="N44">
        <v>43</v>
      </c>
      <c r="O44">
        <v>34</v>
      </c>
      <c r="P44">
        <v>14</v>
      </c>
      <c r="Q44" s="3">
        <v>24</v>
      </c>
      <c r="R44" s="4">
        <f t="shared" si="0"/>
        <v>169.23076923076923</v>
      </c>
      <c r="S44" s="4">
        <f t="shared" si="1"/>
        <v>228.57142857142856</v>
      </c>
      <c r="T44" s="4">
        <f t="shared" si="2"/>
        <v>307.14285714285717</v>
      </c>
      <c r="U44" s="4">
        <f t="shared" si="3"/>
        <v>100</v>
      </c>
      <c r="V44" s="4">
        <f t="shared" si="4"/>
        <v>195.45454545454547</v>
      </c>
      <c r="W44" s="4">
        <f t="shared" si="5"/>
        <v>100</v>
      </c>
      <c r="X44" s="4">
        <f t="shared" si="6"/>
        <v>31.818181818181817</v>
      </c>
      <c r="Y44" s="5">
        <f t="shared" si="7"/>
        <v>77.41935483870968</v>
      </c>
      <c r="Z44" s="4">
        <f>IF(ISBLANK(R44),"",R44/RelMean*100)</f>
        <v>179.00507170100204</v>
      </c>
      <c r="AA44" s="4">
        <f>IF(ISBLANK(S44),"",S44/RelMean*100)</f>
        <v>241.77308385589888</v>
      </c>
      <c r="AB44" s="4">
        <f>IF(ISBLANK(T44),"",T44/RelMean*100)</f>
        <v>324.88258143136414</v>
      </c>
      <c r="AC44" s="4">
        <f>IF(ISBLANK(U44),"",U44/RelMean*100)</f>
        <v>105.77572418695576</v>
      </c>
      <c r="AD44" s="4">
        <f>IF(ISBLANK(V44),"",V44/RelMean*100)</f>
        <v>206.74346091086809</v>
      </c>
      <c r="AE44" s="4">
        <f>IF(ISBLANK(W44),"",W44/RelMean*100)</f>
        <v>105.77572418695576</v>
      </c>
      <c r="AF44" s="4">
        <f>IF(ISBLANK(X44),"",X44/RelMean*100)</f>
        <v>33.655912241304101</v>
      </c>
      <c r="AG44" s="9">
        <f>IF(ISBLANK(Y44),"",Y44/RelMean*100)</f>
        <v>81.890883241514132</v>
      </c>
      <c r="AH44" s="7">
        <f t="shared" si="8"/>
        <v>159.93780521948287</v>
      </c>
      <c r="AI44" s="5">
        <f t="shared" si="9"/>
        <v>95.889536635205317</v>
      </c>
    </row>
    <row r="45" spans="1:35" x14ac:dyDescent="0.25">
      <c r="A45" s="11" t="s">
        <v>118</v>
      </c>
      <c r="B45">
        <v>20.979020999999999</v>
      </c>
      <c r="C45">
        <v>25</v>
      </c>
      <c r="D45">
        <v>14.814814999999999</v>
      </c>
      <c r="E45">
        <v>46.268656999999997</v>
      </c>
      <c r="F45">
        <v>32.857143000000001</v>
      </c>
      <c r="G45">
        <v>32.142856999999999</v>
      </c>
      <c r="H45">
        <v>37.313433000000003</v>
      </c>
      <c r="I45" s="3">
        <v>47.524751999999999</v>
      </c>
      <c r="J45">
        <v>22.077922000000001</v>
      </c>
      <c r="K45">
        <v>28</v>
      </c>
      <c r="L45">
        <v>54.609929000000001</v>
      </c>
      <c r="M45">
        <v>43.243243</v>
      </c>
      <c r="N45">
        <v>57.142856999999999</v>
      </c>
      <c r="O45">
        <v>38.414634</v>
      </c>
      <c r="P45">
        <v>34.640523000000002</v>
      </c>
      <c r="Q45" s="3">
        <v>38.922156000000001</v>
      </c>
      <c r="R45" s="4">
        <f t="shared" si="0"/>
        <v>105.23809476142858</v>
      </c>
      <c r="S45" s="4">
        <f t="shared" si="1"/>
        <v>112.00000000000001</v>
      </c>
      <c r="T45" s="4">
        <f t="shared" si="2"/>
        <v>368.6170161422873</v>
      </c>
      <c r="U45" s="4">
        <f t="shared" si="3"/>
        <v>93.4612020400765</v>
      </c>
      <c r="V45" s="4">
        <f t="shared" si="4"/>
        <v>173.9130422873346</v>
      </c>
      <c r="W45" s="4">
        <f t="shared" si="5"/>
        <v>119.51219519783199</v>
      </c>
      <c r="X45" s="4">
        <f t="shared" si="6"/>
        <v>92.836601231518955</v>
      </c>
      <c r="Y45" s="5">
        <f t="shared" si="7"/>
        <v>81.898704068987044</v>
      </c>
      <c r="Z45" s="4">
        <f>IF(ISBLANK(R45),"",R45/RelMean*100)</f>
        <v>82.357908410842597</v>
      </c>
      <c r="AA45" s="4">
        <f>IF(ISBLANK(S45),"",S45/RelMean*100)</f>
        <v>87.649683918405032</v>
      </c>
      <c r="AB45" s="4">
        <f>IF(ISBLANK(T45),"",T45/RelMean*100)</f>
        <v>288.47468706979538</v>
      </c>
      <c r="AC45" s="4">
        <f>IF(ISBLANK(U45),"",U45/RelMean*100)</f>
        <v>73.141471584347286</v>
      </c>
      <c r="AD45" s="4">
        <f>IF(ISBLANK(V45),"",V45/RelMean*100)</f>
        <v>136.10199273011682</v>
      </c>
      <c r="AE45" s="4">
        <f>IF(ISBLANK(W45),"",W45/RelMean*100)</f>
        <v>93.528626191827641</v>
      </c>
      <c r="AF45" s="4">
        <f>IF(ISBLANK(X45),"",X45/RelMean*100)</f>
        <v>72.652667446443274</v>
      </c>
      <c r="AG45" s="9">
        <f>IF(ISBLANK(Y45),"",Y45/RelMean*100)</f>
        <v>64.092817187265226</v>
      </c>
      <c r="AH45" s="7">
        <f t="shared" si="8"/>
        <v>112.24998181738043</v>
      </c>
      <c r="AI45" s="5">
        <f t="shared" si="9"/>
        <v>74.536472773737202</v>
      </c>
    </row>
    <row r="46" spans="1:35" x14ac:dyDescent="0.25">
      <c r="A46" s="11" t="s">
        <v>119</v>
      </c>
      <c r="B46">
        <v>1251.7482520000001</v>
      </c>
      <c r="C46">
        <v>1190.7894739999999</v>
      </c>
      <c r="D46">
        <v>1918.518519</v>
      </c>
      <c r="E46">
        <v>1694.029851</v>
      </c>
      <c r="F46">
        <v>1457.142857</v>
      </c>
      <c r="G46">
        <v>1654.7619050000001</v>
      </c>
      <c r="H46">
        <v>1985.074627</v>
      </c>
      <c r="I46" s="3">
        <v>2247.5247519999998</v>
      </c>
      <c r="J46">
        <v>2344.1558439999999</v>
      </c>
      <c r="K46">
        <v>2816</v>
      </c>
      <c r="L46">
        <v>3510.6382979999998</v>
      </c>
      <c r="M46">
        <v>3351.3513509999998</v>
      </c>
      <c r="N46">
        <v>1209.8214290000001</v>
      </c>
      <c r="O46">
        <v>2621.9512199999999</v>
      </c>
      <c r="P46">
        <v>915.03268000000003</v>
      </c>
      <c r="Q46" s="3">
        <v>2976.047904</v>
      </c>
      <c r="R46" s="4">
        <f t="shared" si="0"/>
        <v>187.27055062825841</v>
      </c>
      <c r="S46" s="4">
        <f t="shared" si="1"/>
        <v>236.48176789308772</v>
      </c>
      <c r="T46" s="4">
        <f t="shared" si="2"/>
        <v>182.98693826681796</v>
      </c>
      <c r="U46" s="4">
        <f t="shared" si="3"/>
        <v>197.83307531574306</v>
      </c>
      <c r="V46" s="4">
        <f t="shared" si="4"/>
        <v>83.026960821865387</v>
      </c>
      <c r="W46" s="4">
        <f t="shared" si="5"/>
        <v>158.44885068223758</v>
      </c>
      <c r="X46" s="4">
        <f t="shared" si="6"/>
        <v>46.095631245001051</v>
      </c>
      <c r="Y46" s="5">
        <f t="shared" si="7"/>
        <v>132.41446624121539</v>
      </c>
      <c r="Z46" s="4">
        <f>IF(ISBLANK(R46),"",R46/RelMean*100)</f>
        <v>271.88933064228189</v>
      </c>
      <c r="AA46" s="4">
        <f>IF(ISBLANK(S46),"",S46/RelMean*100)</f>
        <v>343.33678929148698</v>
      </c>
      <c r="AB46" s="4">
        <f>IF(ISBLANK(T46),"",T46/RelMean*100)</f>
        <v>265.67015472927375</v>
      </c>
      <c r="AC46" s="4">
        <f>IF(ISBLANK(U46),"",U46/RelMean*100)</f>
        <v>287.22456491984605</v>
      </c>
      <c r="AD46" s="4">
        <f>IF(ISBLANK(V46),"",V46/RelMean*100)</f>
        <v>120.54295097327274</v>
      </c>
      <c r="AE46" s="4">
        <f>IF(ISBLANK(W46),"",W46/RelMean*100)</f>
        <v>230.04445604770791</v>
      </c>
      <c r="AF46" s="4">
        <f>IF(ISBLANK(X46),"",X46/RelMean*100)</f>
        <v>66.92408540847012</v>
      </c>
      <c r="AG46" s="9">
        <f>IF(ISBLANK(Y46),"",Y46/RelMean*100)</f>
        <v>192.24635412721702</v>
      </c>
      <c r="AH46" s="7">
        <f t="shared" si="8"/>
        <v>222.23483576744454</v>
      </c>
      <c r="AI46" s="5">
        <f t="shared" si="9"/>
        <v>91.545860207017753</v>
      </c>
    </row>
    <row r="47" spans="1:35" x14ac:dyDescent="0.25">
      <c r="A47" s="11" t="s">
        <v>120</v>
      </c>
      <c r="B47">
        <v>56.5</v>
      </c>
      <c r="C47">
        <v>12.5</v>
      </c>
      <c r="D47">
        <v>30.5</v>
      </c>
      <c r="E47">
        <v>60.5</v>
      </c>
      <c r="F47">
        <v>60.5</v>
      </c>
      <c r="G47">
        <v>38.5</v>
      </c>
      <c r="H47">
        <v>96.5</v>
      </c>
      <c r="I47" s="3">
        <v>62.5</v>
      </c>
      <c r="J47">
        <v>12.5</v>
      </c>
      <c r="K47">
        <v>12.5</v>
      </c>
      <c r="L47">
        <v>14.5</v>
      </c>
      <c r="M47">
        <v>16.5</v>
      </c>
      <c r="N47">
        <v>60.5</v>
      </c>
      <c r="O47">
        <v>16.5</v>
      </c>
      <c r="P47">
        <v>78.5</v>
      </c>
      <c r="Q47" s="3">
        <v>16.5</v>
      </c>
      <c r="R47" s="4">
        <f t="shared" si="0"/>
        <v>22.123893805309734</v>
      </c>
      <c r="S47" s="4">
        <f t="shared" si="1"/>
        <v>100</v>
      </c>
      <c r="T47" s="4">
        <f t="shared" si="2"/>
        <v>47.540983606557376</v>
      </c>
      <c r="U47" s="4">
        <f t="shared" si="3"/>
        <v>27.27272727272727</v>
      </c>
      <c r="V47" s="4">
        <f t="shared" si="4"/>
        <v>100</v>
      </c>
      <c r="W47" s="4">
        <f t="shared" si="5"/>
        <v>42.857142857142854</v>
      </c>
      <c r="X47" s="4">
        <f t="shared" si="6"/>
        <v>81.347150259067362</v>
      </c>
      <c r="Y47" s="5">
        <f t="shared" si="7"/>
        <v>26.400000000000002</v>
      </c>
      <c r="Z47" s="4">
        <f>IF(ISBLANK(R47),"",R47/RelMean*100)</f>
        <v>27.597362258306273</v>
      </c>
      <c r="AA47" s="4">
        <f>IF(ISBLANK(S47),"",S47/RelMean*100)</f>
        <v>124.74007740754436</v>
      </c>
      <c r="AB47" s="4">
        <f>IF(ISBLANK(T47),"",T47/RelMean*100)</f>
        <v>59.302659751127642</v>
      </c>
      <c r="AC47" s="4">
        <f>IF(ISBLANK(U47),"",U47/RelMean*100)</f>
        <v>34.020021111148459</v>
      </c>
      <c r="AD47" s="4">
        <f>IF(ISBLANK(V47),"",V47/RelMean*100)</f>
        <v>124.74007740754436</v>
      </c>
      <c r="AE47" s="4">
        <f>IF(ISBLANK(W47),"",W47/RelMean*100)</f>
        <v>53.460033174661859</v>
      </c>
      <c r="AF47" s="4">
        <f>IF(ISBLANK(X47),"",X47/RelMean*100)</f>
        <v>101.47249820199204</v>
      </c>
      <c r="AG47" s="9">
        <f>IF(ISBLANK(Y47),"",Y47/RelMean*100)</f>
        <v>32.931380435591713</v>
      </c>
      <c r="AH47" s="7">
        <f t="shared" si="8"/>
        <v>69.783013718489585</v>
      </c>
      <c r="AI47" s="5">
        <f t="shared" si="9"/>
        <v>41.123025082516833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6"/>
  <sheetViews>
    <sheetView zoomScale="75" zoomScaleNormal="75" workbookViewId="0">
      <selection activeCell="F4" sqref="F4:F46"/>
    </sheetView>
  </sheetViews>
  <sheetFormatPr defaultRowHeight="15" x14ac:dyDescent="0.25"/>
  <cols>
    <col min="1" max="1" width="49.28515625" style="12" bestFit="1" customWidth="1"/>
    <col min="2" max="2" width="10.5703125" bestFit="1" customWidth="1"/>
  </cols>
  <sheetData>
    <row r="2" spans="1:6" ht="15.75" x14ac:dyDescent="0.25">
      <c r="A2" s="14"/>
      <c r="B2">
        <v>0.01</v>
      </c>
      <c r="C2">
        <v>0.1</v>
      </c>
      <c r="D2">
        <v>1</v>
      </c>
      <c r="E2">
        <v>10</v>
      </c>
      <c r="F2">
        <v>100</v>
      </c>
    </row>
    <row r="3" spans="1:6" x14ac:dyDescent="0.25">
      <c r="A3" s="12" t="s">
        <v>76</v>
      </c>
    </row>
    <row r="4" spans="1:6" ht="15.75" x14ac:dyDescent="0.25">
      <c r="A4" s="14" t="s">
        <v>908</v>
      </c>
      <c r="B4" t="e">
        <v>#VALUE!</v>
      </c>
      <c r="C4" t="e">
        <v>#VALUE!</v>
      </c>
      <c r="D4" t="e">
        <v>#VALUE!</v>
      </c>
      <c r="E4" t="e">
        <v>#VALUE!</v>
      </c>
      <c r="F4" t="e">
        <v>#VALUE!</v>
      </c>
    </row>
    <row r="5" spans="1:6" x14ac:dyDescent="0.25">
      <c r="A5" s="12" t="s">
        <v>78</v>
      </c>
      <c r="B5">
        <v>95.97557897256678</v>
      </c>
      <c r="C5">
        <v>99.473539110385488</v>
      </c>
      <c r="D5">
        <v>146.66834763321859</v>
      </c>
      <c r="E5">
        <v>184.31913789359092</v>
      </c>
      <c r="F5">
        <v>109.78126334153029</v>
      </c>
    </row>
    <row r="6" spans="1:6" x14ac:dyDescent="0.25">
      <c r="A6" s="12" t="s">
        <v>79</v>
      </c>
      <c r="B6">
        <v>95.975582184713915</v>
      </c>
      <c r="C6">
        <v>99.47353826609249</v>
      </c>
      <c r="D6">
        <v>146.6683539400079</v>
      </c>
      <c r="E6">
        <v>184.3191396234142</v>
      </c>
      <c r="F6">
        <v>109.78126438262197</v>
      </c>
    </row>
    <row r="7" spans="1:6" x14ac:dyDescent="0.25">
      <c r="A7" s="12" t="s">
        <v>80</v>
      </c>
      <c r="B7">
        <v>101.70066802692112</v>
      </c>
      <c r="C7">
        <v>105.37222438534656</v>
      </c>
      <c r="D7">
        <v>132.80745874529106</v>
      </c>
      <c r="E7">
        <v>164.73752333411437</v>
      </c>
      <c r="F7">
        <v>102.02671739549493</v>
      </c>
    </row>
    <row r="8" spans="1:6" x14ac:dyDescent="0.25">
      <c r="A8" s="12" t="s">
        <v>81</v>
      </c>
      <c r="B8">
        <v>100</v>
      </c>
      <c r="C8">
        <v>100</v>
      </c>
      <c r="D8">
        <v>100</v>
      </c>
      <c r="E8">
        <v>100</v>
      </c>
      <c r="F8">
        <v>100</v>
      </c>
    </row>
    <row r="9" spans="1:6" x14ac:dyDescent="0.25">
      <c r="A9" s="12" t="s">
        <v>82</v>
      </c>
      <c r="B9" t="e">
        <v>#VALUE!</v>
      </c>
      <c r="C9" t="e">
        <v>#VALUE!</v>
      </c>
      <c r="D9" t="e">
        <v>#VALUE!</v>
      </c>
      <c r="E9" t="e">
        <v>#VALUE!</v>
      </c>
      <c r="F9" t="e">
        <v>#VALUE!</v>
      </c>
    </row>
    <row r="10" spans="1:6" ht="15.75" x14ac:dyDescent="0.25">
      <c r="A10" s="14" t="s">
        <v>909</v>
      </c>
      <c r="B10" t="e">
        <v>#VALUE!</v>
      </c>
      <c r="C10" t="e">
        <v>#VALUE!</v>
      </c>
      <c r="D10" t="e">
        <v>#VALUE!</v>
      </c>
      <c r="E10" t="e">
        <v>#VALUE!</v>
      </c>
      <c r="F10" t="e">
        <v>#VALUE!</v>
      </c>
    </row>
    <row r="11" spans="1:6" x14ac:dyDescent="0.25">
      <c r="A11" s="12" t="s">
        <v>84</v>
      </c>
      <c r="B11">
        <v>91.5085017435851</v>
      </c>
      <c r="C11">
        <v>103.74224685998041</v>
      </c>
      <c r="D11">
        <v>160.44102235390255</v>
      </c>
      <c r="E11">
        <v>157.55250534034937</v>
      </c>
      <c r="F11">
        <v>138.96036689733438</v>
      </c>
    </row>
    <row r="12" spans="1:6" x14ac:dyDescent="0.25">
      <c r="A12" s="12" t="s">
        <v>85</v>
      </c>
      <c r="B12">
        <v>100</v>
      </c>
      <c r="C12">
        <v>100</v>
      </c>
      <c r="D12">
        <v>99.107142857142861</v>
      </c>
      <c r="E12">
        <v>100</v>
      </c>
      <c r="F12">
        <v>90.816544566544565</v>
      </c>
    </row>
    <row r="13" spans="1:6" x14ac:dyDescent="0.25">
      <c r="A13" s="12" t="s">
        <v>86</v>
      </c>
      <c r="B13">
        <v>97.680728531615586</v>
      </c>
      <c r="C13">
        <v>77.204016363501168</v>
      </c>
      <c r="D13">
        <v>86.216599455798672</v>
      </c>
      <c r="E13">
        <v>142.34918601882501</v>
      </c>
      <c r="F13">
        <v>91.223713802026154</v>
      </c>
    </row>
    <row r="14" spans="1:6" x14ac:dyDescent="0.25">
      <c r="A14" s="12" t="s">
        <v>87</v>
      </c>
      <c r="B14">
        <v>99.513297562391941</v>
      </c>
      <c r="C14">
        <v>97.201806293344859</v>
      </c>
      <c r="D14">
        <v>114.86546039703167</v>
      </c>
      <c r="E14">
        <v>164.5785822533845</v>
      </c>
      <c r="F14">
        <v>76.324481758925415</v>
      </c>
    </row>
    <row r="15" spans="1:6" x14ac:dyDescent="0.25">
      <c r="A15" s="12" t="s">
        <v>88</v>
      </c>
      <c r="B15">
        <v>104.73114274344225</v>
      </c>
      <c r="C15">
        <v>84.237809930141353</v>
      </c>
      <c r="D15">
        <v>72.209266381461362</v>
      </c>
      <c r="E15">
        <v>99.948931125401472</v>
      </c>
      <c r="F15">
        <v>111.81743081091825</v>
      </c>
    </row>
    <row r="16" spans="1:6" x14ac:dyDescent="0.25">
      <c r="A16" s="12" t="s">
        <v>89</v>
      </c>
      <c r="B16">
        <v>107.20412270666934</v>
      </c>
      <c r="C16">
        <v>85.607270341954987</v>
      </c>
      <c r="D16">
        <v>78.324344869860653</v>
      </c>
      <c r="E16">
        <v>87.568580504036603</v>
      </c>
      <c r="F16">
        <v>65.161724722450884</v>
      </c>
    </row>
    <row r="17" spans="1:6" x14ac:dyDescent="0.25">
      <c r="A17" s="12" t="s">
        <v>90</v>
      </c>
      <c r="B17">
        <v>101.10144443199067</v>
      </c>
      <c r="C17">
        <v>101.88668635865372</v>
      </c>
      <c r="D17">
        <v>103.47055172211135</v>
      </c>
      <c r="E17">
        <v>85.559434867791566</v>
      </c>
      <c r="F17">
        <v>65.33977997583402</v>
      </c>
    </row>
    <row r="18" spans="1:6" x14ac:dyDescent="0.25">
      <c r="A18" s="12" t="s">
        <v>91</v>
      </c>
      <c r="B18">
        <v>115.3200615618064</v>
      </c>
      <c r="C18">
        <v>102.46044515825881</v>
      </c>
      <c r="D18">
        <v>51.924918754969994</v>
      </c>
      <c r="E18">
        <v>56.511036715791533</v>
      </c>
      <c r="F18">
        <v>109.16805436430961</v>
      </c>
    </row>
    <row r="19" spans="1:6" x14ac:dyDescent="0.25">
      <c r="A19" s="12" t="s">
        <v>92</v>
      </c>
      <c r="B19">
        <v>91.50850816515478</v>
      </c>
      <c r="C19">
        <v>103.74217751893841</v>
      </c>
      <c r="D19">
        <v>160.44109251708608</v>
      </c>
      <c r="E19">
        <v>157.55254342002945</v>
      </c>
      <c r="F19">
        <v>138.96037817093196</v>
      </c>
    </row>
    <row r="20" spans="1:6" x14ac:dyDescent="0.25">
      <c r="A20" s="12" t="s">
        <v>93</v>
      </c>
      <c r="B20">
        <v>104.84799079193598</v>
      </c>
      <c r="C20">
        <v>108.35134079135086</v>
      </c>
      <c r="D20">
        <v>91.72301677079281</v>
      </c>
      <c r="E20">
        <v>91.98167283127249</v>
      </c>
      <c r="F20">
        <v>97.472783526523088</v>
      </c>
    </row>
    <row r="21" spans="1:6" x14ac:dyDescent="0.25">
      <c r="A21" s="12" t="s">
        <v>94</v>
      </c>
      <c r="B21">
        <v>96.242164502093274</v>
      </c>
      <c r="C21">
        <v>103.04125682126826</v>
      </c>
      <c r="D21">
        <v>124.19870757343921</v>
      </c>
      <c r="E21">
        <v>140.65179193432965</v>
      </c>
      <c r="F21">
        <v>87.801107046641206</v>
      </c>
    </row>
    <row r="22" spans="1:6" ht="15.75" x14ac:dyDescent="0.25">
      <c r="A22" s="14" t="s">
        <v>910</v>
      </c>
      <c r="B22" t="e">
        <v>#VALUE!</v>
      </c>
      <c r="C22" t="e">
        <v>#VALUE!</v>
      </c>
      <c r="D22" t="e">
        <v>#VALUE!</v>
      </c>
      <c r="E22" t="e">
        <v>#VALUE!</v>
      </c>
      <c r="F22" t="e">
        <v>#VALUE!</v>
      </c>
    </row>
    <row r="23" spans="1:6" x14ac:dyDescent="0.25">
      <c r="A23" s="12" t="s">
        <v>96</v>
      </c>
      <c r="B23">
        <v>91.252058889688854</v>
      </c>
      <c r="C23">
        <v>100.09983060847165</v>
      </c>
      <c r="D23">
        <v>129.96955085611401</v>
      </c>
      <c r="E23">
        <v>119.393447117351</v>
      </c>
      <c r="F23">
        <v>145.7910567678357</v>
      </c>
    </row>
    <row r="24" spans="1:6" x14ac:dyDescent="0.25">
      <c r="A24" s="12" t="s">
        <v>97</v>
      </c>
      <c r="B24">
        <v>91.252116107117018</v>
      </c>
      <c r="C24">
        <v>100.09998218420182</v>
      </c>
      <c r="D24">
        <v>129.96978432426994</v>
      </c>
      <c r="E24">
        <v>119.39399720550512</v>
      </c>
      <c r="F24">
        <v>145.79099682801925</v>
      </c>
    </row>
    <row r="25" spans="1:6" x14ac:dyDescent="0.25">
      <c r="A25" s="12" t="s">
        <v>98</v>
      </c>
      <c r="B25">
        <v>105.21582096536815</v>
      </c>
      <c r="C25">
        <v>100.9762241911329</v>
      </c>
      <c r="D25">
        <v>84.646677635508851</v>
      </c>
      <c r="E25">
        <v>119.95437767947783</v>
      </c>
      <c r="F25">
        <v>62.322520353197419</v>
      </c>
    </row>
    <row r="26" spans="1:6" x14ac:dyDescent="0.25">
      <c r="A26" s="12" t="s">
        <v>99</v>
      </c>
      <c r="B26">
        <v>105.06094726616818</v>
      </c>
      <c r="C26">
        <v>102.19671668653336</v>
      </c>
      <c r="D26">
        <v>143.56503050810278</v>
      </c>
      <c r="E26">
        <v>232.01457125504388</v>
      </c>
      <c r="F26">
        <v>94.126022910471974</v>
      </c>
    </row>
    <row r="27" spans="1:6" x14ac:dyDescent="0.25">
      <c r="A27" s="12" t="s">
        <v>100</v>
      </c>
      <c r="B27">
        <v>94.059092949271758</v>
      </c>
      <c r="C27">
        <v>92.7195482292707</v>
      </c>
      <c r="D27">
        <v>48.884471998703155</v>
      </c>
      <c r="E27">
        <v>43.514283884620326</v>
      </c>
      <c r="F27">
        <v>60.482822666531391</v>
      </c>
    </row>
    <row r="28" spans="1:6" x14ac:dyDescent="0.25">
      <c r="A28" s="12" t="s">
        <v>101</v>
      </c>
      <c r="B28">
        <v>99.380406145604667</v>
      </c>
      <c r="C28">
        <v>90.12382093513223</v>
      </c>
      <c r="D28">
        <v>53.027506721828438</v>
      </c>
      <c r="E28">
        <v>49.431738001784872</v>
      </c>
      <c r="F28">
        <v>60.577682852544726</v>
      </c>
    </row>
    <row r="29" spans="1:6" x14ac:dyDescent="0.25">
      <c r="A29" s="12" t="s">
        <v>102</v>
      </c>
      <c r="B29">
        <v>99.289179805257632</v>
      </c>
      <c r="C29">
        <v>94.603649021142274</v>
      </c>
      <c r="D29">
        <v>103.10570684467143</v>
      </c>
      <c r="E29">
        <v>104.99407928814139</v>
      </c>
      <c r="F29">
        <v>88.686531683494621</v>
      </c>
    </row>
    <row r="30" spans="1:6" x14ac:dyDescent="0.25">
      <c r="A30" s="12" t="s">
        <v>103</v>
      </c>
      <c r="B30">
        <v>101.7757765134394</v>
      </c>
      <c r="C30">
        <v>98.94174540376855</v>
      </c>
      <c r="D30">
        <v>109.16651006415125</v>
      </c>
      <c r="E30">
        <v>115.80042873826724</v>
      </c>
      <c r="F30">
        <v>104.79942377919126</v>
      </c>
    </row>
    <row r="31" spans="1:6" x14ac:dyDescent="0.25">
      <c r="A31" s="12" t="s">
        <v>104</v>
      </c>
      <c r="B31">
        <v>103.75586866809822</v>
      </c>
      <c r="C31">
        <v>103.00428542559504</v>
      </c>
      <c r="D31">
        <v>134.46386962371955</v>
      </c>
      <c r="E31">
        <v>206.01413095085792</v>
      </c>
      <c r="F31">
        <v>91.412011485233549</v>
      </c>
    </row>
    <row r="32" spans="1:6" x14ac:dyDescent="0.25">
      <c r="A32" s="12" t="s">
        <v>105</v>
      </c>
      <c r="B32">
        <v>96.812752327722677</v>
      </c>
      <c r="C32">
        <v>102.15511899014264</v>
      </c>
      <c r="D32">
        <v>117.74544715006218</v>
      </c>
      <c r="E32">
        <v>132.22616412099532</v>
      </c>
      <c r="F32">
        <v>111.08745798638638</v>
      </c>
    </row>
    <row r="33" spans="1:6" x14ac:dyDescent="0.25">
      <c r="A33" s="12" t="s">
        <v>106</v>
      </c>
      <c r="B33">
        <v>107.27730368220105</v>
      </c>
      <c r="C33">
        <v>117.16915910711046</v>
      </c>
      <c r="D33">
        <v>88.822177550284778</v>
      </c>
      <c r="E33">
        <v>77.283774071857351</v>
      </c>
      <c r="F33">
        <v>96.139414132549277</v>
      </c>
    </row>
    <row r="34" spans="1:6" x14ac:dyDescent="0.25">
      <c r="A34" s="12" t="s">
        <v>107</v>
      </c>
      <c r="B34">
        <v>121.02735622056919</v>
      </c>
      <c r="C34">
        <v>111.38566423109398</v>
      </c>
      <c r="D34">
        <v>100.3546370152297</v>
      </c>
      <c r="E34">
        <v>40.453052077005708</v>
      </c>
      <c r="F34">
        <v>40.44733938647304</v>
      </c>
    </row>
    <row r="35" spans="1:6" ht="15.75" x14ac:dyDescent="0.25">
      <c r="A35" s="14" t="s">
        <v>911</v>
      </c>
      <c r="B35" t="e">
        <v>#VALUE!</v>
      </c>
      <c r="C35" t="e">
        <v>#VALUE!</v>
      </c>
      <c r="D35" t="e">
        <v>#VALUE!</v>
      </c>
      <c r="E35" t="e">
        <v>#VALUE!</v>
      </c>
      <c r="F35" t="e">
        <v>#VALUE!</v>
      </c>
    </row>
    <row r="36" spans="1:6" x14ac:dyDescent="0.25">
      <c r="A36" s="12" t="s">
        <v>109</v>
      </c>
      <c r="B36">
        <v>96.267974202822657</v>
      </c>
      <c r="C36">
        <v>102.69660053885505</v>
      </c>
      <c r="D36">
        <v>128.36945276090998</v>
      </c>
      <c r="E36">
        <v>141.89271174741583</v>
      </c>
      <c r="F36">
        <v>123.44090704125077</v>
      </c>
    </row>
    <row r="37" spans="1:6" x14ac:dyDescent="0.25">
      <c r="A37" s="12" t="s">
        <v>110</v>
      </c>
      <c r="B37">
        <v>95.407393853427877</v>
      </c>
      <c r="C37">
        <v>105.9261937808636</v>
      </c>
      <c r="D37">
        <v>231.92102885211492</v>
      </c>
      <c r="E37">
        <v>281.30306927011759</v>
      </c>
      <c r="F37">
        <v>113.15268795649669</v>
      </c>
    </row>
    <row r="38" spans="1:6" x14ac:dyDescent="0.25">
      <c r="A38" s="12" t="s">
        <v>111</v>
      </c>
      <c r="B38">
        <v>91.377138645672119</v>
      </c>
      <c r="C38">
        <v>97.139156215099376</v>
      </c>
      <c r="D38">
        <v>116.09464855401896</v>
      </c>
      <c r="E38">
        <v>93.257693854691638</v>
      </c>
      <c r="F38">
        <v>86.848801029952426</v>
      </c>
    </row>
    <row r="39" spans="1:6" x14ac:dyDescent="0.25">
      <c r="A39" s="12" t="s">
        <v>112</v>
      </c>
      <c r="B39">
        <v>103.34066599399196</v>
      </c>
      <c r="C39">
        <v>96.794114533240759</v>
      </c>
      <c r="D39">
        <v>97.447559783465707</v>
      </c>
      <c r="E39">
        <v>113.92638667532282</v>
      </c>
      <c r="F39">
        <v>47.029058026825382</v>
      </c>
    </row>
    <row r="40" spans="1:6" x14ac:dyDescent="0.25">
      <c r="A40" s="12" t="s">
        <v>113</v>
      </c>
      <c r="B40" t="e">
        <v>#VALUE!</v>
      </c>
      <c r="C40" t="e">
        <v>#VALUE!</v>
      </c>
      <c r="D40" t="e">
        <v>#VALUE!</v>
      </c>
      <c r="E40" t="e">
        <v>#VALUE!</v>
      </c>
      <c r="F40" t="e">
        <v>#VALUE!</v>
      </c>
    </row>
    <row r="41" spans="1:6" x14ac:dyDescent="0.25">
      <c r="A41" s="12" t="s">
        <v>115</v>
      </c>
      <c r="B41" t="e">
        <v>#VALUE!</v>
      </c>
      <c r="C41" t="e">
        <v>#VALUE!</v>
      </c>
      <c r="D41" t="e">
        <v>#VALUE!</v>
      </c>
      <c r="E41" t="e">
        <v>#VALUE!</v>
      </c>
      <c r="F41" t="e">
        <v>#VALUE!</v>
      </c>
    </row>
    <row r="42" spans="1:6" x14ac:dyDescent="0.25">
      <c r="A42" s="12" t="s">
        <v>116</v>
      </c>
      <c r="B42" t="e">
        <v>#VALUE!</v>
      </c>
      <c r="C42" t="e">
        <v>#VALUE!</v>
      </c>
      <c r="D42" t="e">
        <v>#VALUE!</v>
      </c>
      <c r="E42" t="e">
        <v>#VALUE!</v>
      </c>
      <c r="F42" t="e">
        <v>#VALUE!</v>
      </c>
    </row>
    <row r="43" spans="1:6" x14ac:dyDescent="0.25">
      <c r="A43" s="12" t="s">
        <v>117</v>
      </c>
      <c r="B43">
        <v>132.06225088222601</v>
      </c>
      <c r="C43">
        <v>99.647991979932499</v>
      </c>
      <c r="D43">
        <v>100.68491393196859</v>
      </c>
      <c r="E43">
        <v>109.31291917607894</v>
      </c>
      <c r="F43">
        <v>159.93780521948287</v>
      </c>
    </row>
    <row r="44" spans="1:6" x14ac:dyDescent="0.25">
      <c r="A44" s="12" t="s">
        <v>118</v>
      </c>
      <c r="B44">
        <v>80.929431415701103</v>
      </c>
      <c r="C44">
        <v>96.957703060718657</v>
      </c>
      <c r="D44">
        <v>77.312728769644565</v>
      </c>
      <c r="E44">
        <v>76.872514374478442</v>
      </c>
      <c r="F44">
        <v>112.24998181738043</v>
      </c>
    </row>
    <row r="45" spans="1:6" x14ac:dyDescent="0.25">
      <c r="A45" s="12" t="s">
        <v>119</v>
      </c>
      <c r="B45">
        <v>118.19170416027174</v>
      </c>
      <c r="C45">
        <v>100.44401321712077</v>
      </c>
      <c r="D45">
        <v>230.48774742771997</v>
      </c>
      <c r="E45">
        <v>396.57326793991609</v>
      </c>
      <c r="F45">
        <v>222.23483576744454</v>
      </c>
    </row>
    <row r="46" spans="1:6" x14ac:dyDescent="0.25">
      <c r="A46" s="12" t="s">
        <v>120</v>
      </c>
      <c r="B46">
        <v>382.36891082665841</v>
      </c>
      <c r="C46">
        <v>133.07585304863102</v>
      </c>
      <c r="D46">
        <v>174.35588360130063</v>
      </c>
      <c r="E46">
        <v>52.651530625063948</v>
      </c>
      <c r="F46">
        <v>69.783013718489585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5"/>
  <sheetViews>
    <sheetView workbookViewId="0"/>
  </sheetViews>
  <sheetFormatPr defaultRowHeight="15" x14ac:dyDescent="0.25"/>
  <sheetData>
    <row r="1" spans="1:49" x14ac:dyDescent="0.25">
      <c r="A1" t="s">
        <v>0</v>
      </c>
      <c r="B1" s="1">
        <v>44179</v>
      </c>
      <c r="C1" t="s">
        <v>1</v>
      </c>
      <c r="D1" s="2">
        <v>0.554224537037037</v>
      </c>
      <c r="F1" t="s">
        <v>2</v>
      </c>
      <c r="G1">
        <v>1.1000000000000001</v>
      </c>
    </row>
    <row r="2" spans="1:49" x14ac:dyDescent="0.25">
      <c r="A2" t="s">
        <v>897</v>
      </c>
      <c r="B2" t="s">
        <v>899</v>
      </c>
    </row>
    <row r="3" spans="1:49" x14ac:dyDescent="0.25">
      <c r="A3" t="s">
        <v>898</v>
      </c>
      <c r="B3" t="s">
        <v>900</v>
      </c>
    </row>
    <row r="4" spans="1:49" x14ac:dyDescent="0.25">
      <c r="A4" t="s">
        <v>919</v>
      </c>
      <c r="B4" t="s">
        <v>901</v>
      </c>
      <c r="C4" t="s">
        <v>920</v>
      </c>
      <c r="E4" t="s">
        <v>921</v>
      </c>
      <c r="F4" t="s">
        <v>922</v>
      </c>
      <c r="G4" t="b">
        <v>1</v>
      </c>
    </row>
    <row r="5" spans="1:49" x14ac:dyDescent="0.25">
      <c r="B5">
        <v>0.01</v>
      </c>
      <c r="C5" t="s">
        <v>923</v>
      </c>
      <c r="E5" t="s">
        <v>924</v>
      </c>
      <c r="F5" t="s">
        <v>925</v>
      </c>
      <c r="G5" t="b">
        <v>1</v>
      </c>
    </row>
    <row r="6" spans="1:49" x14ac:dyDescent="0.25">
      <c r="B6">
        <v>0.1</v>
      </c>
      <c r="C6" t="s">
        <v>926</v>
      </c>
      <c r="E6" t="s">
        <v>924</v>
      </c>
      <c r="F6" t="s">
        <v>927</v>
      </c>
      <c r="G6" t="b">
        <v>1</v>
      </c>
    </row>
    <row r="7" spans="1:49" x14ac:dyDescent="0.25">
      <c r="B7">
        <v>1</v>
      </c>
      <c r="C7" t="s">
        <v>928</v>
      </c>
      <c r="E7" t="s">
        <v>924</v>
      </c>
      <c r="F7" t="s">
        <v>929</v>
      </c>
      <c r="G7" t="b">
        <v>1</v>
      </c>
    </row>
    <row r="8" spans="1:49" x14ac:dyDescent="0.25">
      <c r="B8">
        <v>10</v>
      </c>
      <c r="C8" t="s">
        <v>930</v>
      </c>
      <c r="E8" t="s">
        <v>924</v>
      </c>
      <c r="F8" t="s">
        <v>931</v>
      </c>
      <c r="G8" t="b">
        <v>1</v>
      </c>
    </row>
    <row r="9" spans="1:49" x14ac:dyDescent="0.25">
      <c r="B9">
        <v>100</v>
      </c>
      <c r="C9" t="s">
        <v>932</v>
      </c>
      <c r="E9" t="s">
        <v>924</v>
      </c>
      <c r="F9" t="s">
        <v>933</v>
      </c>
      <c r="G9" t="b">
        <v>1</v>
      </c>
    </row>
    <row r="10" spans="1:49" x14ac:dyDescent="0.25">
      <c r="A10" t="s">
        <v>934</v>
      </c>
    </row>
    <row r="11" spans="1:49" x14ac:dyDescent="0.25">
      <c r="A11" t="s">
        <v>935</v>
      </c>
      <c r="B11">
        <v>0.1</v>
      </c>
    </row>
    <row r="12" spans="1:49" x14ac:dyDescent="0.25">
      <c r="A12" t="s">
        <v>936</v>
      </c>
      <c r="B12">
        <v>5.0000000000000001E-3</v>
      </c>
    </row>
    <row r="13" spans="1:49" x14ac:dyDescent="0.25"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44</v>
      </c>
      <c r="S13" t="s">
        <v>45</v>
      </c>
      <c r="T13" t="s">
        <v>46</v>
      </c>
      <c r="U13" t="s">
        <v>47</v>
      </c>
      <c r="V13" t="s">
        <v>48</v>
      </c>
      <c r="W13" t="s">
        <v>49</v>
      </c>
      <c r="X13" t="s">
        <v>50</v>
      </c>
      <c r="Y13" t="s">
        <v>51</v>
      </c>
      <c r="Z13" t="s">
        <v>52</v>
      </c>
      <c r="AA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  <c r="AG13" t="s">
        <v>59</v>
      </c>
      <c r="AH13" t="s">
        <v>60</v>
      </c>
      <c r="AI13" t="s">
        <v>61</v>
      </c>
      <c r="AJ13" t="s">
        <v>62</v>
      </c>
      <c r="AK13" t="s">
        <v>63</v>
      </c>
      <c r="AL13" t="s">
        <v>64</v>
      </c>
      <c r="AM13" t="s">
        <v>65</v>
      </c>
      <c r="AN13" t="s">
        <v>66</v>
      </c>
      <c r="AO13" t="s">
        <v>67</v>
      </c>
      <c r="AP13" t="s">
        <v>68</v>
      </c>
      <c r="AQ13" t="s">
        <v>69</v>
      </c>
      <c r="AR13" t="s">
        <v>70</v>
      </c>
      <c r="AS13" t="s">
        <v>71</v>
      </c>
      <c r="AT13" t="s">
        <v>72</v>
      </c>
      <c r="AU13" t="s">
        <v>73</v>
      </c>
      <c r="AV13" t="s">
        <v>74</v>
      </c>
      <c r="AW13" t="s">
        <v>75</v>
      </c>
    </row>
    <row r="14" spans="1:49" x14ac:dyDescent="0.25">
      <c r="A14" t="s">
        <v>937</v>
      </c>
      <c r="B14" t="s">
        <v>939</v>
      </c>
      <c r="C14" t="s">
        <v>941</v>
      </c>
      <c r="D14" t="s">
        <v>942</v>
      </c>
      <c r="E14" t="s">
        <v>944</v>
      </c>
      <c r="F14" t="s">
        <v>945</v>
      </c>
      <c r="G14" t="s">
        <v>947</v>
      </c>
      <c r="H14" t="s">
        <v>948</v>
      </c>
      <c r="I14" t="s">
        <v>949</v>
      </c>
      <c r="J14" t="s">
        <v>951</v>
      </c>
      <c r="K14" t="s">
        <v>953</v>
      </c>
      <c r="L14" t="s">
        <v>954</v>
      </c>
      <c r="M14" t="s">
        <v>955</v>
      </c>
      <c r="N14" t="s">
        <v>956</v>
      </c>
      <c r="O14" t="s">
        <v>957</v>
      </c>
      <c r="P14" t="s">
        <v>959</v>
      </c>
      <c r="Q14" t="s">
        <v>961</v>
      </c>
      <c r="R14" t="s">
        <v>962</v>
      </c>
      <c r="S14" t="s">
        <v>964</v>
      </c>
      <c r="T14" t="s">
        <v>966</v>
      </c>
      <c r="U14" t="s">
        <v>968</v>
      </c>
      <c r="V14" t="s">
        <v>970</v>
      </c>
      <c r="W14" t="s">
        <v>971</v>
      </c>
      <c r="X14" t="s">
        <v>973</v>
      </c>
      <c r="Y14" t="s">
        <v>975</v>
      </c>
      <c r="Z14" t="s">
        <v>977</v>
      </c>
      <c r="AA14" t="s">
        <v>979</v>
      </c>
      <c r="AB14" t="s">
        <v>981</v>
      </c>
      <c r="AC14" t="s">
        <v>982</v>
      </c>
      <c r="AD14" t="s">
        <v>983</v>
      </c>
      <c r="AE14" t="s">
        <v>985</v>
      </c>
      <c r="AF14" t="s">
        <v>987</v>
      </c>
      <c r="AG14" t="s">
        <v>989</v>
      </c>
      <c r="AH14" t="s">
        <v>991</v>
      </c>
      <c r="AI14" t="s">
        <v>993</v>
      </c>
      <c r="AJ14" t="s">
        <v>995</v>
      </c>
      <c r="AK14" t="s">
        <v>996</v>
      </c>
      <c r="AL14" t="s">
        <v>997</v>
      </c>
      <c r="AM14" t="s">
        <v>999</v>
      </c>
      <c r="AN14" t="s">
        <v>1000</v>
      </c>
      <c r="AO14" t="s">
        <v>1002</v>
      </c>
      <c r="AP14" t="s">
        <v>1004</v>
      </c>
      <c r="AQ14" t="s">
        <v>1005</v>
      </c>
      <c r="AR14" t="s">
        <v>1006</v>
      </c>
      <c r="AS14" t="s">
        <v>1008</v>
      </c>
      <c r="AT14" t="s">
        <v>1010</v>
      </c>
      <c r="AU14" t="s">
        <v>1012</v>
      </c>
      <c r="AV14" t="s">
        <v>1014</v>
      </c>
      <c r="AW14" t="s">
        <v>1016</v>
      </c>
    </row>
    <row r="15" spans="1:49" x14ac:dyDescent="0.25">
      <c r="A15" t="s">
        <v>938</v>
      </c>
      <c r="B15" t="s">
        <v>940</v>
      </c>
      <c r="C15" t="s">
        <v>941</v>
      </c>
      <c r="D15" t="s">
        <v>943</v>
      </c>
      <c r="E15" t="s">
        <v>944</v>
      </c>
      <c r="F15" t="s">
        <v>946</v>
      </c>
      <c r="G15" t="s">
        <v>947</v>
      </c>
      <c r="H15" t="s">
        <v>948</v>
      </c>
      <c r="I15" t="s">
        <v>950</v>
      </c>
      <c r="J15" t="s">
        <v>952</v>
      </c>
      <c r="K15" t="s">
        <v>953</v>
      </c>
      <c r="L15" t="s">
        <v>954</v>
      </c>
      <c r="M15" t="s">
        <v>955</v>
      </c>
      <c r="N15" t="s">
        <v>956</v>
      </c>
      <c r="O15" t="s">
        <v>958</v>
      </c>
      <c r="P15" t="s">
        <v>960</v>
      </c>
      <c r="Q15" t="s">
        <v>961</v>
      </c>
      <c r="R15" t="s">
        <v>963</v>
      </c>
      <c r="S15" t="s">
        <v>965</v>
      </c>
      <c r="T15" t="s">
        <v>967</v>
      </c>
      <c r="U15" t="s">
        <v>969</v>
      </c>
      <c r="V15" t="s">
        <v>970</v>
      </c>
      <c r="W15" t="s">
        <v>972</v>
      </c>
      <c r="X15" t="s">
        <v>974</v>
      </c>
      <c r="Y15" t="s">
        <v>976</v>
      </c>
      <c r="Z15" t="s">
        <v>978</v>
      </c>
      <c r="AA15" t="s">
        <v>980</v>
      </c>
      <c r="AB15" t="s">
        <v>981</v>
      </c>
      <c r="AC15" t="s">
        <v>982</v>
      </c>
      <c r="AD15" t="s">
        <v>984</v>
      </c>
      <c r="AE15" t="s">
        <v>986</v>
      </c>
      <c r="AF15" t="s">
        <v>988</v>
      </c>
      <c r="AG15" t="s">
        <v>990</v>
      </c>
      <c r="AH15" t="s">
        <v>992</v>
      </c>
      <c r="AI15" t="s">
        <v>994</v>
      </c>
      <c r="AJ15" t="s">
        <v>995</v>
      </c>
      <c r="AK15" t="s">
        <v>996</v>
      </c>
      <c r="AL15" t="s">
        <v>998</v>
      </c>
      <c r="AM15" t="s">
        <v>999</v>
      </c>
      <c r="AN15" t="s">
        <v>1001</v>
      </c>
      <c r="AO15" t="s">
        <v>1003</v>
      </c>
      <c r="AP15" t="s">
        <v>1004</v>
      </c>
      <c r="AQ15" t="s">
        <v>1005</v>
      </c>
      <c r="AR15" t="s">
        <v>1007</v>
      </c>
      <c r="AS15" t="s">
        <v>1009</v>
      </c>
      <c r="AT15" t="s">
        <v>1011</v>
      </c>
      <c r="AU15" t="s">
        <v>1013</v>
      </c>
      <c r="AV15" t="s">
        <v>1015</v>
      </c>
      <c r="AW15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10</vt:i4>
      </vt:variant>
      <vt:variant>
        <vt:lpstr>Benoemde bereiken</vt:lpstr>
      </vt:variant>
      <vt:variant>
        <vt:i4>3</vt:i4>
      </vt:variant>
    </vt:vector>
  </HeadingPairs>
  <TitlesOfParts>
    <vt:vector size="13" baseType="lpstr">
      <vt:lpstr>baseline</vt:lpstr>
      <vt:lpstr>exposure</vt:lpstr>
      <vt:lpstr>Control</vt:lpstr>
      <vt:lpstr>0.01</vt:lpstr>
      <vt:lpstr>0.1</vt:lpstr>
      <vt:lpstr>1</vt:lpstr>
      <vt:lpstr>10</vt:lpstr>
      <vt:lpstr>100</vt:lpstr>
      <vt:lpstr>Summery</vt:lpstr>
      <vt:lpstr>Parms</vt:lpstr>
      <vt:lpstr>RelMean</vt:lpstr>
      <vt:lpstr>solvent</vt:lpstr>
      <vt:lpstr>VERSION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van Melis</dc:creator>
  <cp:lastModifiedBy>Lennart van Melis</cp:lastModifiedBy>
  <dcterms:created xsi:type="dcterms:W3CDTF">2020-12-14T12:18:04Z</dcterms:created>
  <dcterms:modified xsi:type="dcterms:W3CDTF">2020-12-14T12:18:47Z</dcterms:modified>
</cp:coreProperties>
</file>